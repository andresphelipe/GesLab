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Docente" sheetId="2" state="visible" r:id="rId2"/>
    <sheet xmlns:r="http://schemas.openxmlformats.org/officeDocument/2006/relationships" name="Plantilla" sheetId="3" state="visible" r:id="rId3"/>
    <sheet xmlns:r="http://schemas.openxmlformats.org/officeDocument/2006/relationships" name="Práctica 1" sheetId="4" state="visible" r:id="rId4"/>
    <sheet xmlns:r="http://schemas.openxmlformats.org/officeDocument/2006/relationships" name="Práctica 2" sheetId="5" state="visible" r:id="rId5"/>
    <sheet xmlns:r="http://schemas.openxmlformats.org/officeDocument/2006/relationships" name="Práctica 3" sheetId="6" state="visible" r:id="rId6"/>
    <sheet xmlns:r="http://schemas.openxmlformats.org/officeDocument/2006/relationships" name="Práctica 4" sheetId="7" state="visible" r:id="rId7"/>
    <sheet xmlns:r="http://schemas.openxmlformats.org/officeDocument/2006/relationships" name="Práctica 5" sheetId="8" state="visible" r:id="rId8"/>
    <sheet xmlns:r="http://schemas.openxmlformats.org/officeDocument/2006/relationships" name="Práctica 6" sheetId="9" state="visible" r:id="rId9"/>
    <sheet xmlns:r="http://schemas.openxmlformats.org/officeDocument/2006/relationships" name="Práctica 7" sheetId="10" state="visible" r:id="rId10"/>
    <sheet xmlns:r="http://schemas.openxmlformats.org/officeDocument/2006/relationships" name="Práctica 8" sheetId="11" state="visible" r:id="rId11"/>
    <sheet xmlns:r="http://schemas.openxmlformats.org/officeDocument/2006/relationships" name="Práctica 9" sheetId="12" state="visible" r:id="rId12"/>
    <sheet xmlns:r="http://schemas.openxmlformats.org/officeDocument/2006/relationships" name="Práctica 10" sheetId="13" state="visible" r:id="rId13"/>
    <sheet xmlns:r="http://schemas.openxmlformats.org/officeDocument/2006/relationships" name="Práctica 11" sheetId="14" state="visible" r:id="rId14"/>
  </sheets>
  <definedNames/>
  <calcPr calcId="124519" fullCalcOnLoad="1"/>
</workbook>
</file>

<file path=xl/styles.xml><?xml version="1.0" encoding="utf-8"?>
<styleSheet xmlns="http://schemas.openxmlformats.org/spreadsheetml/2006/main">
  <numFmts count="4">
    <numFmt numFmtId="164" formatCode="DD/MM/YYYY"/>
    <numFmt numFmtId="165" formatCode="HH:MM"/>
    <numFmt numFmtId="166" formatCode="0.0"/>
    <numFmt numFmtId="167" formatCode="0.##"/>
  </numFmts>
  <fonts count="9">
    <font>
      <name val="Calibri"/>
      <family val="2"/>
      <color theme="1"/>
      <sz val="11"/>
      <scheme val="minor"/>
    </font>
    <font>
      <name val="Calibri"/>
      <b val="1"/>
      <sz val="14"/>
    </font>
    <font>
      <name val="Calibri"/>
      <b val="1"/>
      <color rgb="00FFFFFF"/>
      <sz val="12"/>
    </font>
    <font>
      <name val="Calibri"/>
      <b val="1"/>
      <sz val="12"/>
    </font>
    <font>
      <name val="Calibri"/>
      <sz val="12"/>
    </font>
    <font>
      <name val="Calibri"/>
      <i val="1"/>
      <color rgb="00595959"/>
      <sz val="11"/>
    </font>
    <font>
      <name val="Calibri"/>
      <sz val="11"/>
    </font>
    <font>
      <name val="Calibri"/>
      <i val="1"/>
      <color rgb="00555555"/>
      <sz val="11"/>
    </font>
    <font>
      <name val="Calibri"/>
      <color rgb="00555555"/>
      <sz val="11"/>
    </font>
  </fonts>
  <fills count="3">
    <fill>
      <patternFill/>
    </fill>
    <fill>
      <patternFill patternType="gray125"/>
    </fill>
    <fill>
      <patternFill patternType="solid"/>
    </fill>
  </fills>
  <borders count="20">
    <border>
      <left/>
      <right/>
      <top/>
      <bottom/>
      <diagonal/>
    </border>
    <border>
      <left style="thin"/>
      <right style="thin"/>
      <top style="thin"/>
      <bottom style="thin"/>
    </border>
    <border>
      <bottom style="medium"/>
    </border>
    <border>
      <left style="medium"/>
      <right style="medium"/>
      <top style="medium"/>
      <bottom style="medium"/>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right/>
      <top/>
      <bottom style="medium"/>
      <diagonal/>
    </border>
    <border>
      <left/>
      <right/>
      <top style="medium"/>
      <bottom/>
      <diagonal/>
    </border>
    <border>
      <left style="medium"/>
      <right/>
      <top/>
      <bottom/>
      <diagonal/>
    </border>
    <border>
      <left/>
      <right style="medium"/>
      <top style="medium"/>
      <bottom/>
      <diagonal/>
    </border>
    <border>
      <left/>
      <right style="medium"/>
      <top/>
      <bottom/>
      <diagonal/>
    </border>
    <border>
      <left style="medium"/>
      <right/>
      <top/>
      <bottom style="medium"/>
      <diagonal/>
    </border>
    <border>
      <left/>
      <right style="medium"/>
      <top/>
      <bottom style="mediu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2" fillId="2" borderId="1" applyAlignment="1" pivotButton="0" quotePrefix="0" xfId="0">
      <alignment horizontal="left" vertical="center" wrapText="1"/>
    </xf>
    <xf numFmtId="0" fontId="0" fillId="2" borderId="1" pivotButton="0" quotePrefix="0" xfId="0"/>
    <xf numFmtId="0" fontId="4" fillId="0" borderId="1" applyAlignment="1" pivotButton="0" quotePrefix="0" xfId="0">
      <alignment horizontal="center" vertical="center" wrapText="1"/>
    </xf>
    <xf numFmtId="0" fontId="0" fillId="0" borderId="1" pivotButton="0" quotePrefix="0" xfId="0"/>
    <xf numFmtId="0" fontId="2" fillId="2" borderId="1" applyAlignment="1" pivotButton="0" quotePrefix="0" xfId="0">
      <alignment horizontal="center" vertical="center" wrapText="1"/>
    </xf>
    <xf numFmtId="164"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166" fontId="4"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0" fillId="0" borderId="2" pivotButton="0" quotePrefix="0" xfId="0"/>
    <xf numFmtId="1" fontId="4"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4" fillId="0" borderId="1" applyAlignment="1" pivotButton="0" quotePrefix="0" xfId="0">
      <alignment horizontal="left" vertical="center" wrapText="1"/>
    </xf>
    <xf numFmtId="167" fontId="4" fillId="0" borderId="1" applyAlignment="1" pivotButton="0" quotePrefix="0" xfId="0">
      <alignment horizontal="center" vertical="center" wrapText="1"/>
    </xf>
    <xf numFmtId="0" fontId="3" fillId="0" borderId="3" applyAlignment="1" pivotButton="0" quotePrefix="0" xfId="0">
      <alignment horizontal="left" vertical="top" wrapText="1"/>
    </xf>
    <xf numFmtId="0" fontId="0" fillId="0" borderId="3" pivotButton="0" quotePrefix="0" xfId="0"/>
    <xf numFmtId="0" fontId="7" fillId="0" borderId="0" pivotButton="0" quotePrefix="0" xfId="0"/>
    <xf numFmtId="0" fontId="4" fillId="0" borderId="1" applyAlignment="1" pivotButton="0" quotePrefix="0" xfId="0">
      <alignment horizontal="left" vertical="center"/>
    </xf>
    <xf numFmtId="49" fontId="4" fillId="0" borderId="1" applyAlignment="1" pivotButton="0" quotePrefix="0" xfId="0">
      <alignment horizontal="left" vertical="center"/>
    </xf>
    <xf numFmtId="0" fontId="8" fillId="0" borderId="0" applyAlignment="1" pivotButton="0" quotePrefix="0" xfId="0">
      <alignment vertical="top" wrapText="1"/>
    </xf>
    <xf numFmtId="0" fontId="0" fillId="0" borderId="6" pivotButton="0" quotePrefix="0" xfId="0"/>
    <xf numFmtId="0" fontId="0" fillId="0" borderId="7" pivotButton="0" quotePrefix="0" xfId="0"/>
    <xf numFmtId="0" fontId="0" fillId="0" borderId="4" pivotButton="0" quotePrefix="0" xfId="0"/>
    <xf numFmtId="0" fontId="0" fillId="0" borderId="5"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0" fontId="0" fillId="0" borderId="15" pivotButton="0" quotePrefix="0" xfId="0"/>
    <xf numFmtId="0" fontId="0" fillId="0" borderId="17" pivotButton="0" quotePrefix="0" xfId="0"/>
    <xf numFmtId="0" fontId="0" fillId="0" borderId="18" pivotButton="0" quotePrefix="0" xfId="0"/>
    <xf numFmtId="0" fontId="0" fillId="0" borderId="19" pivotButton="0" quotePrefix="0" xfId="0"/>
  </cellXfs>
  <cellStyles count="1">
    <cellStyle name="Normal" xfId="0" builtinId="0" hidden="0"/>
  </cellStyles>
  <dxfs count="2">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7.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8.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9.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0.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1.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2.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3.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_rels/sheet12.xml.rels><Relationships xmlns="http://schemas.openxmlformats.org/package/2006/relationships"><Relationship Type="http://schemas.openxmlformats.org/officeDocument/2006/relationships/drawing" Target="/xl/drawings/drawing11.xml" Id="rId1"/></Relationships>
</file>

<file path=xl/worksheets/_rels/sheet13.xml.rels><Relationships xmlns="http://schemas.openxmlformats.org/package/2006/relationships"><Relationship Type="http://schemas.openxmlformats.org/officeDocument/2006/relationships/drawing" Target="/xl/drawings/drawing12.xml" Id="rId1"/></Relationships>
</file>

<file path=xl/worksheets/_rels/sheet14.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fitToPage="1"/>
  </sheetPr>
  <dimension ref="B6:C24"/>
  <sheetViews>
    <sheetView showGridLines="0" workbookViewId="0">
      <selection activeCell="A1" sqref="A1"/>
    </sheetView>
  </sheetViews>
  <sheetFormatPr baseColWidth="8" defaultRowHeight="15"/>
  <cols>
    <col width="2" customWidth="1" min="1" max="1"/>
    <col width="34" customWidth="1" min="2" max="2"/>
    <col width="90" customWidth="1" min="3" max="3"/>
  </cols>
  <sheetData>
    <row r="6">
      <c r="B6" s="1" t="inlineStr">
        <is>
          <t>FORMULARIO DE INSUMOS POR PRÁCTICA DE LABORATORIO · GesLab</t>
        </is>
      </c>
    </row>
    <row r="8">
      <c r="B8" s="2" t="inlineStr">
        <is>
          <t>Cómo se usa</t>
        </is>
      </c>
    </row>
    <row r="9" ht="37" customHeight="1">
      <c r="B9" s="3" t="inlineStr">
        <is>
          <t>Una hoja por práctica</t>
        </is>
      </c>
      <c r="C9" s="4" t="inlineStr">
        <is>
          <t>Copie la hoja «Plantilla» para cada práctica de laboratorio y cámbiele el nombre (por ejemplo, «Práctica 12»).</t>
        </is>
      </c>
    </row>
    <row r="10" ht="54" customHeight="1">
      <c r="B10" s="3" t="inlineStr">
        <is>
          <t>Campos obligatorios</t>
        </is>
      </c>
      <c r="C10" s="4" t="inlineStr">
        <is>
          <t>Los marcados con * se resaltan en amarillo mientras estén vacíos: campus, programa académico, nombre del curso, fecha, horas, nombre de la práctica de laboratorio, número de estudiantes, número de grupos de trabajo y agua destilada estimada.</t>
        </is>
      </c>
    </row>
    <row r="11" ht="37" customHeight="1">
      <c r="B11" s="3" t="inlineStr">
        <is>
          <t>Laboratorio</t>
        </is>
      </c>
      <c r="C11" s="4" t="inlineStr">
        <is>
          <t>No se solicita. Lo asigna la persona líder de laboratorios o el técnico al aprobar la solicitud.</t>
        </is>
      </c>
    </row>
    <row r="12" ht="20" customHeight="1">
      <c r="B12" s="3" t="inlineStr">
        <is>
          <t>Campus</t>
        </is>
      </c>
      <c r="C12" s="4" t="inlineStr">
        <is>
          <t>Lista cerrada: Turbo, Apartadó o Carepa.</t>
        </is>
      </c>
    </row>
    <row r="13" ht="37" customHeight="1">
      <c r="B13" s="3" t="inlineStr">
        <is>
          <t>Otras jornadas</t>
        </is>
      </c>
      <c r="C13" s="4" t="inlineStr">
        <is>
          <t>Si la práctica se repite (por ejemplo, en la tarde), escriba cada jornada en una fila. Se crea una sesión por fila con las mismas listas.</t>
        </is>
      </c>
    </row>
    <row r="14" ht="54" customHeight="1">
      <c r="B14" s="3" t="inlineStr">
        <is>
          <t>Cantidad total y por mesa</t>
        </is>
      </c>
      <c r="C14" s="4" t="inlineStr">
        <is>
          <t>Escriba la cantidad total. La cantidad por mesa se calcula sola (total ÷ número de grupos de trabajo); si usted conoce la cantidad por mesa, puede escribirla en su lugar. Una celda en rojo claro indica que total y por mesa no son coherentes con el número de grupos.</t>
        </is>
      </c>
    </row>
    <row r="15" ht="37" customHeight="1">
      <c r="B15" s="3" t="inlineStr">
        <is>
          <t>Unidad de medida</t>
        </is>
      </c>
      <c r="C15" s="4" t="inlineStr">
        <is>
          <t>Elija de la lista (mL, L, g, kg, mg, unidad, frasco lavador, gotero). Si necesita otra, se admite con una advertencia.</t>
        </is>
      </c>
    </row>
    <row r="16" ht="20" customHeight="1">
      <c r="B16" s="3" t="inlineStr">
        <is>
          <t>Agua destilada</t>
        </is>
      </c>
      <c r="C16" s="4" t="inlineStr">
        <is>
          <t>Indique el estimado total por sesión en litros en el encabezado.</t>
        </is>
      </c>
    </row>
    <row r="17">
      <c r="B17" s="2" t="inlineStr">
        <is>
          <t>Qué cambió respecto al formulario anterior</t>
        </is>
      </c>
    </row>
    <row r="18" ht="37" customHeight="1">
      <c r="B18" s="3" t="inlineStr">
        <is>
          <t>Campos nuevos</t>
        </is>
      </c>
      <c r="C18" s="4" t="inlineStr">
        <is>
          <t>Campus, programa académico, nombre del curso y agua destilada estimada por sesión; bloque de otras jornadas. Hoja «Docente» con nombre, correo y celular.</t>
        </is>
      </c>
    </row>
    <row r="19" ht="20" customHeight="1">
      <c r="B19" s="3" t="inlineStr">
        <is>
          <t>Campo renombrado</t>
        </is>
      </c>
      <c r="C19" s="4" t="inlineStr">
        <is>
          <t>«Nombre de la práctica» pasa a «Nombre de la práctica de laboratorio».</t>
        </is>
      </c>
    </row>
    <row r="20" ht="20" customHeight="1">
      <c r="B20" s="3" t="inlineStr">
        <is>
          <t>Campo eliminado</t>
        </is>
      </c>
      <c r="C20" s="4" t="inlineStr">
        <is>
          <t>No hay campo de laboratorio.</t>
        </is>
      </c>
    </row>
    <row r="21" ht="54" customHeight="1">
      <c r="B21" s="3" t="inlineStr">
        <is>
          <t>Cálculo corregido</t>
        </is>
      </c>
      <c r="C21" s="4" t="inlineStr">
        <is>
          <t>Las fórmulas de «Cantidad x mesa» apuntaban a celdas vacías y daban 0. Ahora dividen la cantidad total entre el número de grupos de trabajo. Los valores por mesa que el docente había escrito se conservaron tal cual.</t>
        </is>
      </c>
    </row>
    <row r="22" ht="37" customHeight="1">
      <c r="B22" s="3" t="inlineStr">
        <is>
          <t>Validaciones</t>
        </is>
      </c>
      <c r="C22" s="4" t="inlineStr">
        <is>
          <t>Fecha, hora, números y unidad se validan al escribir. El rango de fechas ya no está fijado a 2019.</t>
        </is>
      </c>
    </row>
    <row r="23" ht="37" customHeight="1">
      <c r="B23" s="3" t="inlineStr">
        <is>
          <t>Celdas fijas</t>
        </is>
      </c>
      <c r="C23" s="4" t="inlineStr">
        <is>
          <t>El sistema lee cada hoja por posición: no inserte ni elimine filas o columnas. Datos generales E6 a E11, G7, K9 a K11; otras jornadas C15:G16; equipos y reactivos desde la fila 21.</t>
        </is>
      </c>
    </row>
    <row r="24" ht="37" customHeight="1">
      <c r="B24" s="3" t="inlineStr">
        <is>
          <t>Datos del docente</t>
        </is>
      </c>
      <c r="C24" s="4" t="inlineStr">
        <is>
          <t>Hoja «Docente»: nombre, correo y celular se escriben una sola vez por archivo y aplican a todas las prácticas. Celdas E6, E7 y E8.</t>
        </is>
      </c>
    </row>
  </sheetData>
  <mergeCells count="3">
    <mergeCell ref="B8:C8"/>
    <mergeCell ref="B6:C6"/>
    <mergeCell ref="B17:C17"/>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C2:F12"/>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40" customWidth="1" min="5" max="5"/>
    <col width="13" customWidth="1" min="6" max="6"/>
    <col width="4" customWidth="1" min="7" max="7"/>
  </cols>
  <sheetData>
    <row r="2" ht="22" customHeight="1">
      <c r="C2" s="5" t="inlineStr">
        <is>
          <t>DATOS DEL DOCENTE</t>
        </is>
      </c>
    </row>
    <row r="3">
      <c r="C3" s="23" t="inlineStr">
        <is>
          <t>Se escriben una sola vez: valen para todas las hojas de práctica de este archivo.</t>
        </is>
      </c>
    </row>
    <row r="6" ht="22" customHeight="1">
      <c r="C6" s="7" t="inlineStr">
        <is>
          <t>Nombre completo *</t>
        </is>
      </c>
      <c r="D6" s="7" t="n"/>
      <c r="E6" s="24" t="n"/>
      <c r="F6" s="24" t="n"/>
    </row>
    <row r="7" ht="22" customHeight="1">
      <c r="C7" s="7" t="inlineStr">
        <is>
          <t>Correo electrónico *</t>
        </is>
      </c>
      <c r="D7" s="7" t="n"/>
      <c r="E7" s="24" t="n"/>
      <c r="F7" s="24" t="n"/>
    </row>
    <row r="8" ht="22" customHeight="1">
      <c r="C8" s="7" t="inlineStr">
        <is>
          <t>Celular *</t>
        </is>
      </c>
      <c r="D8" s="7" t="n"/>
      <c r="E8" s="25" t="n"/>
      <c r="F8" s="24" t="n"/>
    </row>
    <row r="10">
      <c r="C10" s="26" t="inlineStr">
        <is>
          <t>El correo debe ser el de su cuenta en GesLab: así la solicitud queda a su nombre. Si el técnico importa el archivo por usted, el sistema busca su cuenta por este correo.</t>
        </is>
      </c>
    </row>
    <row r="11"/>
    <row r="12"/>
  </sheetData>
  <mergeCells count="9">
    <mergeCell ref="C10:F12"/>
    <mergeCell ref="E6:F6"/>
    <mergeCell ref="C6:D6"/>
    <mergeCell ref="C3:F3"/>
    <mergeCell ref="C7:D7"/>
    <mergeCell ref="E7:F7"/>
    <mergeCell ref="C2:F2"/>
    <mergeCell ref="E8:F8"/>
    <mergeCell ref="C8:D8"/>
  </mergeCells>
  <conditionalFormatting sqref="E6:F8">
    <cfRule type="expression" priority="1" dxfId="0">
      <formula>LEN($E6)=0</formula>
    </cfRule>
  </conditionalFormatting>
  <dataValidations count="2">
    <dataValidation sqref="E7" showDropDown="0" showInputMessage="0" showErrorMessage="1" allowBlank="1" errorTitle="Correo" error="Escriba un correo válido, por ejemplo nombre@udea.edu.co" type="custom">
      <formula1>ISNUMBER(FIND("@",E7))</formula1>
    </dataValidation>
    <dataValidation sqref="E8" showDropDown="0" showInputMessage="0" showErrorMessage="1" allowBlank="1" errorTitle="Celular" error="Solo números, de 7 a 15 dígitos" type="custom">
      <formula1>AND(ISNUMBER(--SUBSTITUTE(SUBSTITUTE(E8," ",""),"+","")),LEN(SUBSTITUTE(SUBSTITUTE(E8," ",""),"+",""))&gt;=7,LEN(SUBSTITUTE(SUBSTITUTE(E8," ",""),"+",""))&lt;=15)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0" customHeight="1">
      <c r="C7" s="7" t="inlineStr">
        <is>
          <t>Programa académico *</t>
        </is>
      </c>
      <c r="D7" s="27" t="n"/>
      <c r="E7" s="9" t="n"/>
      <c r="F7" s="27" t="n"/>
      <c r="G7" s="9" t="n"/>
      <c r="H7" s="29" t="n"/>
      <c r="I7" s="29" t="n"/>
      <c r="J7" s="29" t="n"/>
      <c r="K7" s="29" t="n"/>
      <c r="L7" s="30" t="n"/>
    </row>
    <row r="8" ht="30" customHeight="1">
      <c r="C8" s="7" t="inlineStr">
        <is>
          <t>Nombre del curso *</t>
        </is>
      </c>
      <c r="D8" s="27" t="n"/>
      <c r="E8" s="9" t="n"/>
      <c r="F8" s="27" t="n"/>
      <c r="G8" s="31" t="n"/>
      <c r="H8" s="32" t="n"/>
      <c r="I8" s="32" t="n"/>
      <c r="J8" s="32" t="n"/>
      <c r="K8" s="32" t="n"/>
      <c r="L8" s="33" t="n"/>
    </row>
    <row r="9" ht="22" customHeight="1">
      <c r="C9" s="7" t="inlineStr">
        <is>
          <t>Fecha de realización *</t>
        </is>
      </c>
      <c r="D9" s="27" t="n"/>
      <c r="E9" s="12" t="n"/>
      <c r="F9" s="27" t="n"/>
      <c r="G9" s="7" t="inlineStr">
        <is>
          <t>Número de estudiantes *</t>
        </is>
      </c>
      <c r="H9" s="28" t="n"/>
      <c r="I9" s="28" t="n"/>
      <c r="J9" s="27" t="n"/>
      <c r="K9" s="9" t="n"/>
      <c r="L9" s="27" t="n"/>
    </row>
    <row r="10" ht="22" customHeight="1">
      <c r="C10" s="7" t="inlineStr">
        <is>
          <t>Hora de inicio *</t>
        </is>
      </c>
      <c r="D10" s="27" t="n"/>
      <c r="E10" s="13" t="n"/>
      <c r="F10" s="27" t="n"/>
      <c r="G10" s="7" t="inlineStr">
        <is>
          <t>Número de grupos de trabajo (mesas) *</t>
        </is>
      </c>
      <c r="H10" s="28" t="n"/>
      <c r="I10" s="28" t="n"/>
      <c r="J10" s="27" t="n"/>
      <c r="K10" s="9" t="n"/>
      <c r="L10" s="27" t="n"/>
    </row>
    <row r="11" ht="22" customHeight="1">
      <c r="C11" s="7" t="inlineStr">
        <is>
          <t>Hora de fin *</t>
        </is>
      </c>
      <c r="D11" s="27" t="n"/>
      <c r="E11" s="13" t="n"/>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c r="D15" s="13" t="n"/>
      <c r="E15" s="13" t="n"/>
      <c r="F15" s="17" t="n"/>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c r="B21" s="9" t="n">
        <v>1</v>
      </c>
      <c r="C21" s="19" t="n"/>
      <c r="D21" s="27" t="n"/>
      <c r="E21" s="20" t="n"/>
      <c r="F21" s="20" t="n"/>
      <c r="G21" s="19" t="n"/>
      <c r="H21" s="27" t="n"/>
      <c r="I21" s="20" t="n"/>
      <c r="J21" s="20" t="n"/>
      <c r="K21" s="9" t="n"/>
      <c r="L21" s="9" t="n"/>
    </row>
    <row r="22">
      <c r="B22" s="9" t="n">
        <v>2</v>
      </c>
      <c r="C22" s="19" t="n"/>
      <c r="D22" s="27" t="n"/>
      <c r="E22" s="20" t="n"/>
      <c r="F22" s="20" t="n"/>
      <c r="G22" s="19" t="n"/>
      <c r="H22" s="27" t="n"/>
      <c r="I22" s="20" t="n"/>
      <c r="J22" s="20" t="n"/>
      <c r="K22" s="9" t="n"/>
      <c r="L22" s="9" t="n"/>
    </row>
    <row r="23">
      <c r="B23" s="9" t="n">
        <v>3</v>
      </c>
      <c r="C23" s="19" t="n"/>
      <c r="D23" s="27" t="n"/>
      <c r="E23" s="20" t="n"/>
      <c r="F23" s="20" t="n"/>
      <c r="G23" s="19" t="n"/>
      <c r="H23" s="27" t="n"/>
      <c r="I23" s="20" t="n"/>
      <c r="J23" s="20" t="n"/>
      <c r="K23" s="9" t="n"/>
      <c r="L23" s="9" t="n"/>
    </row>
    <row r="24">
      <c r="B24" s="9" t="n">
        <v>4</v>
      </c>
      <c r="C24" s="19" t="n"/>
      <c r="D24" s="27" t="n"/>
      <c r="E24" s="20" t="n"/>
      <c r="F24" s="20" t="n"/>
      <c r="G24" s="19" t="n"/>
      <c r="H24" s="27" t="n"/>
      <c r="I24" s="20" t="n"/>
      <c r="J24" s="20" t="n"/>
      <c r="K24" s="9" t="n"/>
      <c r="L24" s="9" t="n"/>
    </row>
    <row r="25">
      <c r="B25" s="9" t="n">
        <v>5</v>
      </c>
      <c r="C25" s="19" t="n"/>
      <c r="D25" s="27" t="n"/>
      <c r="E25" s="20" t="n"/>
      <c r="F25" s="20" t="n"/>
      <c r="G25" s="19" t="n"/>
      <c r="H25" s="27" t="n"/>
      <c r="I25" s="20" t="n"/>
      <c r="J25" s="20" t="n"/>
      <c r="K25" s="9" t="n"/>
      <c r="L25" s="9" t="n"/>
    </row>
    <row r="26">
      <c r="B26" s="9" t="n">
        <v>6</v>
      </c>
      <c r="C26" s="19" t="n"/>
      <c r="D26" s="27" t="n"/>
      <c r="E26" s="20" t="n"/>
      <c r="F26" s="20" t="n"/>
      <c r="G26" s="19" t="n"/>
      <c r="H26" s="27" t="n"/>
      <c r="I26" s="20" t="n"/>
      <c r="J26" s="20" t="n"/>
      <c r="K26" s="9" t="n"/>
      <c r="L26" s="9" t="n"/>
    </row>
    <row r="27">
      <c r="B27" s="9" t="n">
        <v>7</v>
      </c>
      <c r="C27" s="19" t="n"/>
      <c r="D27" s="27" t="n"/>
      <c r="E27" s="20" t="n"/>
      <c r="F27" s="20" t="n"/>
      <c r="G27" s="19" t="n"/>
      <c r="H27" s="27" t="n"/>
      <c r="I27" s="20" t="n"/>
      <c r="J27" s="20" t="n"/>
      <c r="K27" s="9" t="n"/>
      <c r="L27" s="9" t="n"/>
    </row>
    <row r="28">
      <c r="B28" s="9" t="n">
        <v>8</v>
      </c>
      <c r="C28" s="19" t="n"/>
      <c r="D28" s="27" t="n"/>
      <c r="E28" s="20" t="n"/>
      <c r="F28" s="20" t="n"/>
      <c r="G28" s="19" t="n"/>
      <c r="H28" s="27" t="n"/>
      <c r="I28" s="20" t="n"/>
      <c r="J28" s="20" t="n"/>
      <c r="K28" s="9" t="n"/>
      <c r="L28" s="9" t="n"/>
    </row>
    <row r="29">
      <c r="B29" s="9" t="n">
        <v>9</v>
      </c>
      <c r="C29" s="19" t="n"/>
      <c r="D29" s="27" t="n"/>
      <c r="E29" s="20" t="n"/>
      <c r="F29" s="20" t="n"/>
      <c r="G29" s="19" t="n"/>
      <c r="H29" s="27" t="n"/>
      <c r="I29" s="20" t="n"/>
      <c r="J29" s="20" t="n"/>
      <c r="K29" s="9" t="n"/>
      <c r="L29" s="9" t="n"/>
    </row>
    <row r="30">
      <c r="B30" s="9" t="n">
        <v>10</v>
      </c>
      <c r="C30" s="19" t="n"/>
      <c r="D30" s="27" t="n"/>
      <c r="E30" s="20" t="n"/>
      <c r="F30" s="20" t="n"/>
      <c r="G30" s="19" t="n"/>
      <c r="H30" s="27" t="n"/>
      <c r="I30" s="20" t="n"/>
      <c r="J30" s="20" t="n"/>
      <c r="K30" s="9" t="n"/>
      <c r="L30" s="9" t="n"/>
    </row>
    <row r="31">
      <c r="B31" s="9" t="n">
        <v>11</v>
      </c>
      <c r="C31" s="19" t="n"/>
      <c r="D31" s="27" t="n"/>
      <c r="E31" s="20" t="n"/>
      <c r="F31" s="20" t="n"/>
      <c r="G31" s="19" t="n"/>
      <c r="H31" s="27" t="n"/>
      <c r="I31" s="20" t="n"/>
      <c r="J31" s="20" t="n"/>
      <c r="K31" s="9" t="n"/>
      <c r="L31" s="9" t="n"/>
    </row>
    <row r="32">
      <c r="B32" s="9" t="n">
        <v>12</v>
      </c>
      <c r="C32" s="19" t="n"/>
      <c r="D32" s="27" t="n"/>
      <c r="E32" s="20" t="n"/>
      <c r="F32" s="20" t="n"/>
      <c r="G32" s="19" t="n"/>
      <c r="H32" s="27" t="n"/>
      <c r="I32" s="20" t="n"/>
      <c r="J32" s="20" t="n"/>
      <c r="K32" s="9" t="n"/>
      <c r="L32" s="9" t="n"/>
    </row>
    <row r="33">
      <c r="B33" s="9" t="n">
        <v>13</v>
      </c>
      <c r="C33" s="19" t="n"/>
      <c r="D33" s="27" t="n"/>
      <c r="E33" s="20" t="n"/>
      <c r="F33" s="20" t="n"/>
      <c r="G33" s="19" t="n"/>
      <c r="H33" s="27" t="n"/>
      <c r="I33" s="20" t="n"/>
      <c r="J33" s="20" t="n"/>
      <c r="K33" s="9" t="n"/>
      <c r="L33" s="9" t="n"/>
    </row>
    <row r="34">
      <c r="B34" s="9" t="n">
        <v>14</v>
      </c>
      <c r="C34" s="19" t="n"/>
      <c r="D34" s="27" t="n"/>
      <c r="E34" s="20" t="n"/>
      <c r="F34" s="20" t="n"/>
      <c r="G34" s="19" t="n"/>
      <c r="H34" s="27" t="n"/>
      <c r="I34" s="20" t="n"/>
      <c r="J34" s="20" t="n"/>
      <c r="K34" s="9" t="n"/>
      <c r="L34" s="9" t="n"/>
    </row>
    <row r="35">
      <c r="B35" s="9" t="n">
        <v>15</v>
      </c>
      <c r="C35" s="19" t="n"/>
      <c r="D35" s="27" t="n"/>
      <c r="E35" s="20" t="n"/>
      <c r="F35" s="20" t="n"/>
      <c r="G35" s="19" t="n"/>
      <c r="H35" s="27" t="n"/>
      <c r="I35" s="20" t="n"/>
      <c r="J35" s="20" t="n"/>
      <c r="K35" s="9" t="n"/>
      <c r="L35" s="9" t="n"/>
    </row>
    <row r="36">
      <c r="B36" s="9" t="n">
        <v>16</v>
      </c>
      <c r="C36" s="19" t="n"/>
      <c r="D36" s="27" t="n"/>
      <c r="E36" s="20" t="n"/>
      <c r="F36" s="20" t="n"/>
      <c r="G36" s="19" t="n"/>
      <c r="H36" s="27" t="n"/>
      <c r="I36" s="20" t="n"/>
      <c r="J36" s="20" t="n"/>
      <c r="K36" s="9" t="n"/>
      <c r="L36" s="9" t="n"/>
    </row>
    <row r="37">
      <c r="B37" s="9" t="n">
        <v>17</v>
      </c>
      <c r="C37" s="19" t="n"/>
      <c r="D37" s="27" t="n"/>
      <c r="E37" s="20" t="n"/>
      <c r="F37" s="20" t="n"/>
      <c r="G37" s="19" t="n"/>
      <c r="H37" s="27" t="n"/>
      <c r="I37" s="20" t="n"/>
      <c r="J37" s="20" t="n"/>
      <c r="K37" s="9" t="n"/>
      <c r="L37" s="9" t="n"/>
    </row>
    <row r="38">
      <c r="B38" s="9" t="n">
        <v>18</v>
      </c>
      <c r="C38" s="19" t="n"/>
      <c r="D38" s="27" t="n"/>
      <c r="E38" s="20" t="n"/>
      <c r="F38" s="20" t="n"/>
      <c r="G38" s="19" t="n"/>
      <c r="H38" s="27" t="n"/>
      <c r="I38" s="20" t="n"/>
      <c r="J38" s="20" t="n"/>
      <c r="K38" s="9" t="n"/>
      <c r="L38" s="9" t="n"/>
    </row>
    <row r="39">
      <c r="B39" s="9" t="n">
        <v>19</v>
      </c>
      <c r="C39" s="19" t="n"/>
      <c r="D39" s="27" t="n"/>
      <c r="E39" s="20" t="n"/>
      <c r="F39" s="20" t="n"/>
      <c r="G39" s="19" t="n"/>
      <c r="H39" s="27" t="n"/>
      <c r="I39" s="20" t="n"/>
      <c r="J39" s="20" t="n"/>
      <c r="K39" s="9" t="n"/>
      <c r="L39" s="9" t="n"/>
    </row>
    <row r="40">
      <c r="B40" s="9" t="n">
        <v>20</v>
      </c>
      <c r="C40" s="19" t="n"/>
      <c r="D40" s="27" t="n"/>
      <c r="E40" s="20" t="n"/>
      <c r="F40" s="20" t="n"/>
      <c r="G40" s="19" t="n"/>
      <c r="H40" s="27" t="n"/>
      <c r="I40" s="20" t="n"/>
      <c r="J40" s="20" t="n"/>
      <c r="K40" s="9" t="n"/>
      <c r="L40" s="9" t="n"/>
    </row>
    <row r="41">
      <c r="B41" s="9" t="n">
        <v>21</v>
      </c>
      <c r="C41" s="19" t="n"/>
      <c r="D41" s="27" t="n"/>
      <c r="E41" s="20" t="n"/>
      <c r="F41" s="20" t="n"/>
      <c r="G41" s="19" t="n"/>
      <c r="H41" s="27" t="n"/>
      <c r="I41" s="20" t="n"/>
      <c r="J41" s="20" t="n"/>
      <c r="K41" s="9" t="n"/>
      <c r="L41" s="9" t="n"/>
    </row>
    <row r="42">
      <c r="B42" s="9" t="n">
        <v>22</v>
      </c>
      <c r="C42" s="19" t="n"/>
      <c r="D42" s="27" t="n"/>
      <c r="E42" s="20" t="n"/>
      <c r="F42" s="20" t="n"/>
      <c r="G42" s="19" t="n"/>
      <c r="H42" s="27" t="n"/>
      <c r="I42" s="20" t="n"/>
      <c r="J42" s="20" t="n"/>
      <c r="K42" s="9" t="n"/>
      <c r="L42" s="9" t="n"/>
    </row>
    <row r="43">
      <c r="B43" s="9" t="n">
        <v>23</v>
      </c>
      <c r="C43" s="19" t="n"/>
      <c r="D43" s="27" t="n"/>
      <c r="E43" s="20" t="n"/>
      <c r="F43" s="20" t="n"/>
      <c r="G43" s="19" t="n"/>
      <c r="H43" s="27" t="n"/>
      <c r="I43" s="20" t="n"/>
      <c r="J43" s="20" t="n"/>
      <c r="K43" s="9" t="n"/>
      <c r="L43" s="9" t="n"/>
    </row>
    <row r="44">
      <c r="B44" s="9" t="n">
        <v>24</v>
      </c>
      <c r="C44" s="19" t="n"/>
      <c r="D44" s="27" t="n"/>
      <c r="E44" s="20" t="n"/>
      <c r="F44" s="20" t="n"/>
      <c r="G44" s="19" t="n"/>
      <c r="H44" s="27" t="n"/>
      <c r="I44" s="20" t="n"/>
      <c r="J44" s="20" t="n"/>
      <c r="K44" s="9" t="n"/>
      <c r="L44" s="9" t="n"/>
    </row>
    <row r="45">
      <c r="B45" s="9" t="n">
        <v>25</v>
      </c>
      <c r="C45" s="19" t="n"/>
      <c r="D45" s="27" t="n"/>
      <c r="E45" s="20" t="n"/>
      <c r="F45" s="20" t="n"/>
      <c r="G45" s="19" t="n"/>
      <c r="H45" s="27" t="n"/>
      <c r="I45" s="20" t="n"/>
      <c r="J45" s="20" t="n"/>
      <c r="K45" s="9" t="n"/>
      <c r="L45" s="9" t="n"/>
    </row>
    <row r="46">
      <c r="B46" s="9" t="n">
        <v>26</v>
      </c>
      <c r="C46" s="19" t="n"/>
      <c r="D46" s="27" t="n"/>
      <c r="E46" s="20" t="n"/>
      <c r="F46" s="20" t="n"/>
      <c r="G46" s="19" t="n"/>
      <c r="H46" s="27" t="n"/>
      <c r="I46" s="20" t="n"/>
      <c r="J46" s="20" t="n"/>
      <c r="K46" s="9" t="n"/>
      <c r="L46" s="9" t="n"/>
    </row>
    <row r="47">
      <c r="B47" s="9" t="n">
        <v>27</v>
      </c>
      <c r="C47" s="19" t="n"/>
      <c r="D47" s="27" t="n"/>
      <c r="E47" s="20" t="n"/>
      <c r="F47" s="20" t="n"/>
      <c r="G47" s="19" t="n"/>
      <c r="H47" s="27" t="n"/>
      <c r="I47" s="20" t="n"/>
      <c r="J47" s="20" t="n"/>
      <c r="K47" s="9" t="n"/>
      <c r="L47" s="9" t="n"/>
    </row>
    <row r="48">
      <c r="B48" s="9" t="n">
        <v>28</v>
      </c>
      <c r="C48" s="19" t="n"/>
      <c r="D48" s="27" t="n"/>
      <c r="E48" s="20" t="n"/>
      <c r="F48" s="20" t="n"/>
      <c r="G48" s="19" t="n"/>
      <c r="H48" s="27" t="n"/>
      <c r="I48" s="20" t="n"/>
      <c r="J48" s="20" t="n"/>
      <c r="K48" s="9" t="n"/>
      <c r="L48" s="9" t="n"/>
    </row>
    <row r="49">
      <c r="B49" s="9" t="n">
        <v>29</v>
      </c>
      <c r="C49" s="19" t="n"/>
      <c r="D49" s="27" t="n"/>
      <c r="E49" s="20" t="n"/>
      <c r="F49" s="20" t="n"/>
      <c r="G49" s="19" t="n"/>
      <c r="H49" s="27" t="n"/>
      <c r="I49" s="20" t="n"/>
      <c r="J49" s="20" t="n"/>
      <c r="K49" s="9" t="n"/>
      <c r="L49" s="9" t="n"/>
    </row>
    <row r="50">
      <c r="B50" s="9" t="n">
        <v>30</v>
      </c>
      <c r="C50" s="19" t="n"/>
      <c r="D50" s="27" t="n"/>
      <c r="E50" s="20" t="n"/>
      <c r="F50" s="20" t="n"/>
      <c r="G50" s="19" t="n"/>
      <c r="H50" s="27" t="n"/>
      <c r="I50" s="20" t="n"/>
      <c r="J50" s="20" t="n"/>
      <c r="K50" s="9" t="n"/>
      <c r="L50" s="9" t="n"/>
    </row>
    <row r="51">
      <c r="B51" s="9" t="n">
        <v>31</v>
      </c>
      <c r="C51" s="19" t="n"/>
      <c r="D51" s="27" t="n"/>
      <c r="E51" s="20" t="n"/>
      <c r="F51" s="20" t="n"/>
      <c r="G51" s="19" t="n"/>
      <c r="H51" s="27" t="n"/>
      <c r="I51" s="20" t="n"/>
      <c r="J51" s="20" t="n"/>
      <c r="K51" s="9" t="n"/>
      <c r="L51" s="9" t="n"/>
    </row>
    <row r="52">
      <c r="B52" s="9" t="n">
        <v>32</v>
      </c>
      <c r="C52" s="19" t="n"/>
      <c r="D52" s="27" t="n"/>
      <c r="E52" s="20" t="n"/>
      <c r="F52" s="20" t="n"/>
      <c r="G52" s="19" t="n"/>
      <c r="H52" s="27" t="n"/>
      <c r="I52" s="20" t="n"/>
      <c r="J52" s="20" t="n"/>
      <c r="K52" s="9" t="n"/>
      <c r="L52" s="9" t="n"/>
    </row>
    <row r="53">
      <c r="B53" s="9" t="n">
        <v>33</v>
      </c>
      <c r="C53" s="19" t="n"/>
      <c r="D53" s="27" t="n"/>
      <c r="E53" s="20" t="n"/>
      <c r="F53" s="20" t="n"/>
      <c r="G53" s="19" t="n"/>
      <c r="H53" s="27" t="n"/>
      <c r="I53" s="20" t="n"/>
      <c r="J53" s="20" t="n"/>
      <c r="K53" s="9" t="n"/>
      <c r="L53" s="9" t="n"/>
    </row>
    <row r="54">
      <c r="B54" s="9" t="n">
        <v>34</v>
      </c>
      <c r="C54" s="19" t="n"/>
      <c r="D54" s="27" t="n"/>
      <c r="E54" s="20" t="n"/>
      <c r="F54" s="20" t="n"/>
      <c r="G54" s="19" t="n"/>
      <c r="H54" s="27" t="n"/>
      <c r="I54" s="20" t="n"/>
      <c r="J54" s="20" t="n"/>
      <c r="K54" s="9" t="n"/>
      <c r="L54" s="9" t="n"/>
    </row>
    <row r="55">
      <c r="B55" s="9" t="n">
        <v>35</v>
      </c>
      <c r="C55" s="19" t="n"/>
      <c r="D55" s="27" t="n"/>
      <c r="E55" s="20" t="n"/>
      <c r="F55" s="20" t="n"/>
      <c r="G55" s="19" t="n"/>
      <c r="H55" s="27" t="n"/>
      <c r="I55" s="20" t="n"/>
      <c r="J55" s="20" t="n"/>
      <c r="K55" s="9" t="n"/>
      <c r="L55" s="9" t="n"/>
    </row>
    <row r="57" ht="18" customHeight="1">
      <c r="B57" s="21" t="inlineStr">
        <is>
          <t xml:space="preserve">Observaciones: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0" customHeight="1">
      <c r="C7" s="7" t="inlineStr">
        <is>
          <t>Programa académico *</t>
        </is>
      </c>
      <c r="D7" s="27" t="n"/>
      <c r="E7" s="9" t="n"/>
      <c r="F7" s="27" t="n"/>
      <c r="G7" s="9" t="inlineStr">
        <is>
          <t>MANEJO DE EQUIPO DE LABORATORIO. DETERMINACIÓN DE MASAS Y VOLÚMENES</t>
        </is>
      </c>
      <c r="H7" s="29" t="n"/>
      <c r="I7" s="29" t="n"/>
      <c r="J7" s="29" t="n"/>
      <c r="K7" s="29" t="n"/>
      <c r="L7" s="30" t="n"/>
    </row>
    <row r="8" ht="30"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45883</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45883</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34" customHeight="1">
      <c r="B21" s="9" t="n">
        <v>1</v>
      </c>
      <c r="C21" s="19" t="inlineStr">
        <is>
          <t>Pipeta volumétrica (8 con capacidad de 10 mL y 8 con capacidad de 5 mL)</t>
        </is>
      </c>
      <c r="D21" s="27" t="n"/>
      <c r="E21" s="20" t="n">
        <v>16</v>
      </c>
      <c r="F21" s="20">
        <f>IF(AND(ISNUMBER(E21),ISNUMBER($K$10),$K$10&gt;0),E21/$K$10,"")</f>
        <v/>
      </c>
      <c r="G21" s="19" t="inlineStr">
        <is>
          <t>Agua destilada</t>
        </is>
      </c>
      <c r="H21" s="27" t="n"/>
      <c r="I21" s="20" t="n">
        <v>4</v>
      </c>
      <c r="J21" s="20" t="n">
        <v>1</v>
      </c>
      <c r="K21" s="9" t="inlineStr">
        <is>
          <t>frasco lavador</t>
        </is>
      </c>
      <c r="L21" s="9" t="n"/>
    </row>
    <row r="22" ht="34" customHeight="1">
      <c r="B22" s="9" t="n">
        <v>2</v>
      </c>
      <c r="C22" s="19" t="inlineStr">
        <is>
          <t>Pipeta graduada (6 con capacidad de 10 mL y 6 con capacidad de 5 mL)</t>
        </is>
      </c>
      <c r="D22" s="27" t="n"/>
      <c r="E22" s="20" t="n">
        <v>16</v>
      </c>
      <c r="F22" s="20">
        <f>IF(AND(ISNUMBER(E22),ISNUMBER($K$10),$K$10&gt;0),E22/$K$10,"")</f>
        <v/>
      </c>
      <c r="G22" s="19" t="n"/>
      <c r="H22" s="27" t="n"/>
      <c r="I22" s="20" t="n"/>
      <c r="J22" s="20" t="n"/>
      <c r="K22" s="9" t="n"/>
      <c r="L22" s="9" t="n"/>
    </row>
    <row r="23" ht="18" customHeight="1">
      <c r="B23" s="9" t="n">
        <v>3</v>
      </c>
      <c r="C23" s="19" t="inlineStr">
        <is>
          <t>Pera de succión</t>
        </is>
      </c>
      <c r="D23" s="27" t="n"/>
      <c r="E23" s="20" t="n">
        <v>8</v>
      </c>
      <c r="F23" s="20">
        <f>IF(AND(ISNUMBER(E23),ISNUMBER($K$10),$K$10&gt;0),E23/$K$10,"")</f>
        <v/>
      </c>
      <c r="G23" s="19" t="n"/>
      <c r="H23" s="27" t="n"/>
      <c r="I23" s="20" t="n"/>
      <c r="J23" s="20" t="n"/>
      <c r="K23" s="9" t="n"/>
      <c r="L23" s="9" t="n"/>
    </row>
    <row r="24" ht="34" customHeight="1">
      <c r="B24" s="9" t="n">
        <v>4</v>
      </c>
      <c r="C24" s="19" t="inlineStr">
        <is>
          <t>Beaker (6 con capacidad de 250 mL y 6 con capacidad de 50 mL)</t>
        </is>
      </c>
      <c r="D24" s="27" t="n"/>
      <c r="E24" s="20" t="n">
        <v>8</v>
      </c>
      <c r="F24" s="20" t="n">
        <v>1</v>
      </c>
      <c r="G24" s="19" t="n"/>
      <c r="H24" s="27" t="n"/>
      <c r="I24" s="20" t="n"/>
      <c r="J24" s="20" t="n"/>
      <c r="K24" s="9" t="n"/>
      <c r="L24" s="9" t="n"/>
    </row>
    <row r="25" ht="18" customHeight="1">
      <c r="B25" s="9" t="n">
        <v>5</v>
      </c>
      <c r="C25" s="19" t="inlineStr">
        <is>
          <t>Balanza digital</t>
        </is>
      </c>
      <c r="D25" s="27" t="n"/>
      <c r="E25" s="20" t="n">
        <v>2</v>
      </c>
      <c r="F25" s="20">
        <f>IF(AND(ISNUMBER(E25),ISNUMBER($K$10),$K$10&gt;0),E25/$K$10,"")</f>
        <v/>
      </c>
      <c r="G25" s="19" t="n"/>
      <c r="H25" s="27" t="n"/>
      <c r="I25" s="20" t="n"/>
      <c r="J25" s="20" t="n"/>
      <c r="K25" s="9" t="n"/>
      <c r="L25" s="9" t="n"/>
    </row>
    <row r="26" ht="18" customHeight="1">
      <c r="B26" s="9" t="n">
        <v>6</v>
      </c>
      <c r="C26" s="19" t="inlineStr">
        <is>
          <t>Pie de Rey o Vernier</t>
        </is>
      </c>
      <c r="D26" s="27" t="n"/>
      <c r="E26" s="20" t="n">
        <v>8</v>
      </c>
      <c r="F26" s="20" t="n">
        <v>1</v>
      </c>
      <c r="G26" s="19" t="n"/>
      <c r="H26" s="27" t="n"/>
      <c r="I26" s="20" t="n"/>
      <c r="J26" s="20" t="n"/>
      <c r="K26" s="9" t="n"/>
      <c r="L26" s="9" t="n"/>
    </row>
    <row r="27" ht="18" customHeight="1">
      <c r="B27" s="9" t="n">
        <v>7</v>
      </c>
      <c r="C27" s="19" t="inlineStr">
        <is>
          <t>Termómetro</t>
        </is>
      </c>
      <c r="D27" s="27" t="n"/>
      <c r="E27" s="20" t="n">
        <v>8</v>
      </c>
      <c r="F27" s="20" t="n">
        <v>1</v>
      </c>
      <c r="G27" s="19" t="n"/>
      <c r="H27" s="27" t="n"/>
      <c r="I27" s="20" t="n"/>
      <c r="J27" s="20" t="n"/>
      <c r="K27" s="9" t="n"/>
      <c r="L27" s="9" t="n"/>
    </row>
    <row r="28" ht="18" customHeight="1">
      <c r="B28" s="9" t="n">
        <v>8</v>
      </c>
      <c r="C28" s="19" t="inlineStr">
        <is>
          <t>Probeta con capacidad de 50 mL</t>
        </is>
      </c>
      <c r="D28" s="27" t="n"/>
      <c r="E28" s="20" t="n">
        <v>8</v>
      </c>
      <c r="F28" s="20" t="n">
        <v>1</v>
      </c>
      <c r="G28" s="19" t="n"/>
      <c r="H28" s="27" t="n"/>
      <c r="I28" s="20" t="n"/>
      <c r="J28" s="20" t="n"/>
      <c r="K28" s="9" t="n"/>
      <c r="L28" s="9" t="n"/>
    </row>
    <row r="29" ht="18" customHeight="1">
      <c r="B29" s="9" t="n">
        <v>9</v>
      </c>
      <c r="C29" s="19" t="inlineStr">
        <is>
          <t>Pesas de metal de referencia</t>
        </is>
      </c>
      <c r="D29" s="27" t="n"/>
      <c r="E29" s="20" t="n">
        <v>8</v>
      </c>
      <c r="F29" s="20" t="n">
        <v>1</v>
      </c>
      <c r="G29" s="19" t="n"/>
      <c r="H29" s="27" t="n"/>
      <c r="I29" s="20" t="n"/>
      <c r="J29" s="20" t="n"/>
      <c r="K29" s="9" t="n"/>
      <c r="L29" s="9" t="n"/>
    </row>
    <row r="30" ht="18" customHeight="1">
      <c r="B30" s="9" t="n">
        <v>10</v>
      </c>
      <c r="C30" s="19" t="inlineStr">
        <is>
          <t>Condensador</t>
        </is>
      </c>
      <c r="D30" s="27" t="n"/>
      <c r="E30" s="20" t="n">
        <v>4</v>
      </c>
      <c r="F30" s="20" t="n">
        <v>1</v>
      </c>
      <c r="G30" s="19" t="n"/>
      <c r="H30" s="27" t="n"/>
      <c r="I30" s="20" t="n"/>
      <c r="J30" s="20" t="n"/>
      <c r="K30" s="9" t="n"/>
      <c r="L30" s="9" t="n"/>
    </row>
    <row r="31" ht="18" customHeight="1">
      <c r="B31" s="9" t="n">
        <v>11</v>
      </c>
      <c r="C31" s="19" t="inlineStr">
        <is>
          <t>Embudo</t>
        </is>
      </c>
      <c r="D31" s="27" t="n"/>
      <c r="E31" s="20" t="n">
        <v>4</v>
      </c>
      <c r="F31" s="20" t="n">
        <v>1</v>
      </c>
      <c r="G31" s="19" t="n"/>
      <c r="H31" s="27" t="n"/>
      <c r="I31" s="20" t="n"/>
      <c r="J31" s="20" t="n"/>
      <c r="K31" s="9" t="n"/>
      <c r="L31" s="9" t="n"/>
    </row>
    <row r="32" ht="18" customHeight="1">
      <c r="B32" s="9" t="n">
        <v>12</v>
      </c>
      <c r="C32" s="19" t="inlineStr">
        <is>
          <t>Crisol</t>
        </is>
      </c>
      <c r="D32" s="27" t="n"/>
      <c r="E32" s="20" t="n">
        <v>4</v>
      </c>
      <c r="F32" s="20" t="n">
        <v>1</v>
      </c>
      <c r="G32" s="19" t="n"/>
      <c r="H32" s="27" t="n"/>
      <c r="I32" s="20" t="n"/>
      <c r="J32" s="20" t="n"/>
      <c r="K32" s="9" t="n"/>
      <c r="L32" s="9" t="n"/>
    </row>
    <row r="33" ht="18" customHeight="1">
      <c r="B33" s="9" t="n">
        <v>13</v>
      </c>
      <c r="C33" s="19" t="inlineStr">
        <is>
          <t>Tubo thiele</t>
        </is>
      </c>
      <c r="D33" s="27" t="n"/>
      <c r="E33" s="20" t="n">
        <v>4</v>
      </c>
      <c r="F33" s="20" t="n">
        <v>1</v>
      </c>
      <c r="G33" s="19" t="n"/>
      <c r="H33" s="27" t="n"/>
      <c r="I33" s="20" t="n"/>
      <c r="J33" s="20" t="n"/>
      <c r="K33" s="9" t="n"/>
      <c r="L33" s="9" t="n"/>
    </row>
    <row r="34" ht="18" customHeight="1">
      <c r="B34" s="9" t="n">
        <v>14</v>
      </c>
      <c r="C34" s="19" t="inlineStr">
        <is>
          <t>Beaker</t>
        </is>
      </c>
      <c r="D34" s="27" t="n"/>
      <c r="E34" s="20" t="n">
        <v>4</v>
      </c>
      <c r="F34" s="20" t="n">
        <v>1</v>
      </c>
      <c r="G34" s="19" t="n"/>
      <c r="H34" s="27" t="n"/>
      <c r="I34" s="20" t="n"/>
      <c r="J34" s="20" t="n"/>
      <c r="K34" s="9" t="n"/>
      <c r="L34" s="9" t="n"/>
    </row>
    <row r="35" ht="18" customHeight="1">
      <c r="B35" s="9" t="n">
        <v>15</v>
      </c>
      <c r="C35" s="19" t="inlineStr">
        <is>
          <t>Tubo de ensayo</t>
        </is>
      </c>
      <c r="D35" s="27" t="n"/>
      <c r="E35" s="20" t="n">
        <v>8</v>
      </c>
      <c r="F35" s="20" t="n">
        <v>1</v>
      </c>
      <c r="G35" s="19" t="n"/>
      <c r="H35" s="27" t="n"/>
      <c r="I35" s="20" t="n"/>
      <c r="J35" s="20" t="n"/>
      <c r="K35" s="9" t="n"/>
      <c r="L35" s="9" t="n"/>
    </row>
    <row r="36" ht="18" customHeight="1">
      <c r="B36" s="9" t="n">
        <v>16</v>
      </c>
      <c r="C36" s="19" t="inlineStr">
        <is>
          <t>Embudo de separación o decantación</t>
        </is>
      </c>
      <c r="D36" s="27" t="n"/>
      <c r="E36" s="20" t="n">
        <v>4</v>
      </c>
      <c r="F36" s="20" t="n">
        <v>1</v>
      </c>
      <c r="G36" s="19" t="n"/>
      <c r="H36" s="27" t="n"/>
      <c r="I36" s="20" t="n"/>
      <c r="J36" s="20" t="n"/>
      <c r="K36" s="9" t="n"/>
      <c r="L36" s="9" t="n"/>
    </row>
    <row r="37" ht="18" customHeight="1">
      <c r="B37" s="9" t="n">
        <v>17</v>
      </c>
      <c r="C37" s="19" t="inlineStr">
        <is>
          <t>Embudo buchner</t>
        </is>
      </c>
      <c r="D37" s="27" t="n"/>
      <c r="E37" s="20" t="n">
        <v>4</v>
      </c>
      <c r="F37" s="20" t="n">
        <v>1</v>
      </c>
      <c r="G37" s="19" t="n"/>
      <c r="H37" s="27" t="n"/>
      <c r="I37" s="20" t="n"/>
      <c r="J37" s="20" t="n"/>
      <c r="K37" s="9" t="n"/>
      <c r="L37" s="9" t="n"/>
    </row>
    <row r="38" ht="18" customHeight="1">
      <c r="B38" s="9" t="n">
        <v>18</v>
      </c>
      <c r="C38" s="19" t="inlineStr">
        <is>
          <t>Balón volumétrico</t>
        </is>
      </c>
      <c r="D38" s="27" t="n"/>
      <c r="E38" s="20" t="n">
        <v>4</v>
      </c>
      <c r="F38" s="20" t="n">
        <v>1</v>
      </c>
      <c r="G38" s="19" t="n"/>
      <c r="H38" s="27" t="n"/>
      <c r="I38" s="20" t="n"/>
      <c r="J38" s="20" t="n"/>
      <c r="K38" s="9" t="n"/>
      <c r="L38" s="9" t="n"/>
    </row>
    <row r="39" ht="18" customHeight="1">
      <c r="B39" s="9" t="n">
        <v>19</v>
      </c>
      <c r="C39" s="19" t="inlineStr">
        <is>
          <t>Erlenmeyer</t>
        </is>
      </c>
      <c r="D39" s="27" t="n"/>
      <c r="E39" s="20" t="n">
        <v>4</v>
      </c>
      <c r="F39" s="20" t="n">
        <v>1</v>
      </c>
      <c r="G39" s="19" t="n"/>
      <c r="H39" s="27" t="n"/>
      <c r="I39" s="20" t="n"/>
      <c r="J39" s="20" t="n"/>
      <c r="K39" s="9" t="n"/>
      <c r="L39" s="9" t="n"/>
    </row>
    <row r="40" ht="18" customHeight="1">
      <c r="B40" s="9" t="n">
        <v>20</v>
      </c>
      <c r="C40" s="19" t="inlineStr">
        <is>
          <t>Mortero con pistilo</t>
        </is>
      </c>
      <c r="D40" s="27" t="n"/>
      <c r="E40" s="20" t="n">
        <v>4</v>
      </c>
      <c r="F40" s="20" t="n">
        <v>1</v>
      </c>
      <c r="G40" s="19" t="n"/>
      <c r="H40" s="27" t="n"/>
      <c r="I40" s="20" t="n"/>
      <c r="J40" s="20" t="n"/>
      <c r="K40" s="9" t="n"/>
      <c r="L40" s="9" t="n"/>
    </row>
    <row r="41" ht="18" customHeight="1">
      <c r="B41" s="9" t="n">
        <v>21</v>
      </c>
      <c r="C41" s="19" t="inlineStr">
        <is>
          <t>Espátula</t>
        </is>
      </c>
      <c r="D41" s="27" t="n"/>
      <c r="E41" s="20" t="n">
        <v>4</v>
      </c>
      <c r="F41" s="20" t="n">
        <v>1</v>
      </c>
      <c r="G41" s="19" t="n"/>
      <c r="H41" s="27" t="n"/>
      <c r="I41" s="20" t="n"/>
      <c r="J41" s="20" t="n"/>
      <c r="K41" s="9" t="n"/>
      <c r="L41" s="9" t="n"/>
    </row>
    <row r="42" ht="18" customHeight="1">
      <c r="B42" s="9" t="n">
        <v>22</v>
      </c>
      <c r="C42" s="19" t="inlineStr">
        <is>
          <t>Gradilla para tubos</t>
        </is>
      </c>
      <c r="D42" s="27" t="n"/>
      <c r="E42" s="20" t="n">
        <v>4</v>
      </c>
      <c r="F42" s="20" t="n">
        <v>1</v>
      </c>
      <c r="G42" s="19" t="n"/>
      <c r="H42" s="27" t="n"/>
      <c r="I42" s="20" t="n"/>
      <c r="J42" s="20" t="n"/>
      <c r="K42" s="9" t="n"/>
      <c r="L42" s="9" t="n"/>
    </row>
    <row r="43" ht="18" customHeight="1">
      <c r="B43" s="9" t="n">
        <v>23</v>
      </c>
      <c r="C43" s="19" t="inlineStr">
        <is>
          <t>Balanza digital</t>
        </is>
      </c>
      <c r="D43" s="27" t="n"/>
      <c r="E43" s="20" t="n">
        <v>3</v>
      </c>
      <c r="F43" s="20" t="n">
        <v>1</v>
      </c>
      <c r="G43" s="19" t="n"/>
      <c r="H43" s="27" t="n"/>
      <c r="I43" s="20" t="n"/>
      <c r="J43" s="20" t="n"/>
      <c r="K43" s="9" t="n"/>
      <c r="L43" s="9" t="n"/>
    </row>
    <row r="44" ht="18" customHeight="1">
      <c r="B44" s="9" t="n">
        <v>24</v>
      </c>
      <c r="C44" s="19" t="inlineStr">
        <is>
          <t>Vidrio de reloj</t>
        </is>
      </c>
      <c r="D44" s="27" t="n"/>
      <c r="E44" s="20" t="n">
        <v>4</v>
      </c>
      <c r="F44" s="20" t="n">
        <v>1</v>
      </c>
      <c r="G44" s="19" t="n"/>
      <c r="H44" s="27" t="n"/>
      <c r="I44" s="20" t="n"/>
      <c r="J44" s="20" t="n"/>
      <c r="K44" s="9" t="n"/>
      <c r="L44" s="9" t="n"/>
    </row>
    <row r="45" ht="18" customHeight="1">
      <c r="B45" s="9" t="n">
        <v>25</v>
      </c>
      <c r="C45" s="19" t="inlineStr">
        <is>
          <t>Mechero</t>
        </is>
      </c>
      <c r="D45" s="27" t="n"/>
      <c r="E45" s="20" t="n">
        <v>4</v>
      </c>
      <c r="F45" s="20" t="n">
        <v>1</v>
      </c>
      <c r="G45" s="19" t="n"/>
      <c r="H45" s="27" t="n"/>
      <c r="I45" s="20" t="n"/>
      <c r="J45" s="20" t="n"/>
      <c r="K45" s="9" t="n"/>
      <c r="L45" s="9" t="n"/>
    </row>
    <row r="46" ht="18" customHeight="1">
      <c r="B46" s="9" t="n">
        <v>26</v>
      </c>
      <c r="C46" s="19" t="inlineStr">
        <is>
          <t>Pinzas para tubo de ensayo</t>
        </is>
      </c>
      <c r="D46" s="27" t="n"/>
      <c r="E46" s="20" t="n">
        <v>4</v>
      </c>
      <c r="F46" s="20" t="n">
        <v>1</v>
      </c>
      <c r="G46" s="19" t="n"/>
      <c r="H46" s="27" t="n"/>
      <c r="I46" s="20" t="n"/>
      <c r="J46" s="20" t="n"/>
      <c r="K46" s="9" t="n"/>
      <c r="L46" s="9" t="n"/>
    </row>
    <row r="47" ht="18" customHeight="1">
      <c r="B47" s="9" t="n">
        <v>27</v>
      </c>
      <c r="C47" s="19" t="inlineStr">
        <is>
          <t>Bureta</t>
        </is>
      </c>
      <c r="D47" s="27" t="n"/>
      <c r="E47" s="20" t="n">
        <v>4</v>
      </c>
      <c r="F47" s="20" t="n">
        <v>1</v>
      </c>
      <c r="G47" s="19" t="n"/>
      <c r="H47" s="27" t="n"/>
      <c r="I47" s="20" t="n"/>
      <c r="J47" s="20" t="n"/>
      <c r="K47" s="9" t="n"/>
      <c r="L47" s="9" t="n"/>
    </row>
    <row r="48" ht="18" customHeight="1">
      <c r="B48" s="9" t="n">
        <v>28</v>
      </c>
      <c r="C48" s="19" t="inlineStr">
        <is>
          <t>Varilla de vidrio</t>
        </is>
      </c>
      <c r="D48" s="27" t="n"/>
      <c r="E48" s="20" t="n">
        <v>4</v>
      </c>
      <c r="F48" s="20" t="n">
        <v>1</v>
      </c>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0" customHeight="1">
      <c r="C7" s="7" t="inlineStr">
        <is>
          <t>Programa académico *</t>
        </is>
      </c>
      <c r="D7" s="27" t="n"/>
      <c r="E7" s="9" t="n"/>
      <c r="F7" s="27" t="n"/>
      <c r="G7" s="9" t="inlineStr">
        <is>
          <t>Propiedades físicas 1 PARTE 1
Determinación de densidades (sólido y líquido) y viscosidad</t>
        </is>
      </c>
      <c r="H7" s="29" t="n"/>
      <c r="I7" s="29" t="n"/>
      <c r="J7" s="29" t="n"/>
      <c r="K7" s="29" t="n"/>
      <c r="L7" s="30" t="n"/>
    </row>
    <row r="8" ht="30"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45890</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45890</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18" customHeight="1">
      <c r="B21" s="9" t="n">
        <v>1</v>
      </c>
      <c r="C21" s="19" t="inlineStr">
        <is>
          <t>Balanza digital</t>
        </is>
      </c>
      <c r="D21" s="27" t="n"/>
      <c r="E21" s="20" t="n">
        <v>2</v>
      </c>
      <c r="F21" s="20">
        <f>IF(AND(ISNUMBER(E21),ISNUMBER($K$10),$K$10&gt;0),E21/$K$10,"")</f>
        <v/>
      </c>
      <c r="G21" s="19" t="inlineStr">
        <is>
          <t>Agua destilada</t>
        </is>
      </c>
      <c r="H21" s="27" t="n"/>
      <c r="I21" s="20" t="n">
        <v>400</v>
      </c>
      <c r="J21" s="20">
        <f>IF(AND(ISNUMBER(I21),ISNUMBER($K$10),$K$10&gt;0),I21/$K$10,"")</f>
        <v/>
      </c>
      <c r="K21" s="9" t="inlineStr">
        <is>
          <t>mL</t>
        </is>
      </c>
      <c r="L21" s="9" t="n"/>
    </row>
    <row r="22" ht="18" customHeight="1">
      <c r="B22" s="9" t="n">
        <v>2</v>
      </c>
      <c r="C22" s="19" t="inlineStr">
        <is>
          <t>Probeta graduada de 25 mL</t>
        </is>
      </c>
      <c r="D22" s="27" t="n"/>
      <c r="E22" s="20" t="n">
        <v>8</v>
      </c>
      <c r="F22" s="20">
        <f>IF(AND(ISNUMBER(E22),ISNUMBER($K$10),$K$10&gt;0),E22/$K$10,"")</f>
        <v/>
      </c>
      <c r="G22" s="19" t="inlineStr">
        <is>
          <t>Etanol</t>
        </is>
      </c>
      <c r="H22" s="27" t="n"/>
      <c r="I22" s="20" t="n">
        <v>100</v>
      </c>
      <c r="J22" s="20">
        <f>IF(AND(ISNUMBER(I22),ISNUMBER($K$10),$K$10&gt;0),I22/$K$10,"")</f>
        <v/>
      </c>
      <c r="K22" s="9" t="inlineStr">
        <is>
          <t>mL</t>
        </is>
      </c>
      <c r="L22" s="9" t="n"/>
    </row>
    <row r="23" ht="18" customHeight="1">
      <c r="B23" s="9" t="n">
        <v>3</v>
      </c>
      <c r="C23" s="19" t="inlineStr">
        <is>
          <t>Pie de rey o Vernier</t>
        </is>
      </c>
      <c r="D23" s="27" t="n"/>
      <c r="E23" s="20" t="n">
        <v>8</v>
      </c>
      <c r="F23" s="20">
        <f>IF(AND(ISNUMBER(E23),ISNUMBER($K$10),$K$10&gt;0),E23/$K$10,"")</f>
        <v/>
      </c>
      <c r="G23" s="19" t="inlineStr">
        <is>
          <t>Glicerina</t>
        </is>
      </c>
      <c r="H23" s="27" t="n"/>
      <c r="I23" s="20" t="n">
        <v>200</v>
      </c>
      <c r="J23" s="20">
        <f>IF(AND(ISNUMBER(I23),ISNUMBER($K$10),$K$10&gt;0),I23/$K$10,"")</f>
        <v/>
      </c>
      <c r="K23" s="9" t="inlineStr">
        <is>
          <t>mL</t>
        </is>
      </c>
      <c r="L23" s="9" t="n"/>
    </row>
    <row r="24" ht="18" customHeight="1">
      <c r="B24" s="9" t="n">
        <v>4</v>
      </c>
      <c r="C24" s="19" t="inlineStr">
        <is>
          <t>Termómetro como mínimo 0 - 100 ºC</t>
        </is>
      </c>
      <c r="D24" s="27" t="n"/>
      <c r="E24" s="20" t="n">
        <v>8</v>
      </c>
      <c r="F24" s="20">
        <f>IF(AND(ISNUMBER(E24),ISNUMBER($K$10),$K$10&gt;0),E24/$K$10,"")</f>
        <v/>
      </c>
      <c r="G24" s="19" t="inlineStr">
        <is>
          <t>Coruro de sodio sólido</t>
        </is>
      </c>
      <c r="H24" s="27" t="n"/>
      <c r="I24" s="20" t="n">
        <v>100</v>
      </c>
      <c r="J24" s="20">
        <f>IF(AND(ISNUMBER(I24),ISNUMBER($K$10),$K$10&gt;0),I24/$K$10,"")</f>
        <v/>
      </c>
      <c r="K24" s="9" t="inlineStr">
        <is>
          <t>g</t>
        </is>
      </c>
      <c r="L24" s="9" t="n"/>
    </row>
    <row r="25" ht="18" customHeight="1">
      <c r="B25" s="9" t="n">
        <v>5</v>
      </c>
      <c r="C25" s="19" t="inlineStr">
        <is>
          <t>Picnómetro</t>
        </is>
      </c>
      <c r="D25" s="27" t="n"/>
      <c r="E25" s="20" t="n">
        <v>8</v>
      </c>
      <c r="F25" s="20">
        <f>IF(AND(ISNUMBER(E25),ISNUMBER($K$10),$K$10&gt;0),E25/$K$10,"")</f>
        <v/>
      </c>
      <c r="G25" s="19" t="n"/>
      <c r="H25" s="27" t="n"/>
      <c r="I25" s="20" t="n"/>
      <c r="J25" s="20" t="n"/>
      <c r="K25" s="9" t="n"/>
      <c r="L25" s="9" t="n"/>
    </row>
    <row r="26" ht="34" customHeight="1">
      <c r="B26" s="9" t="n">
        <v>6</v>
      </c>
      <c r="C26" s="19" t="inlineStr">
        <is>
          <t>Sólido de forma geometrica regular (cubo cilindro y esfera)</t>
        </is>
      </c>
      <c r="D26" s="27" t="n"/>
      <c r="E26" s="20" t="n">
        <v>8</v>
      </c>
      <c r="F26" s="20">
        <f>IF(AND(ISNUMBER(E26),ISNUMBER($K$10),$K$10&gt;0),E26/$K$10,"")</f>
        <v/>
      </c>
      <c r="G26" s="19" t="n"/>
      <c r="H26" s="27" t="n"/>
      <c r="I26" s="20" t="n"/>
      <c r="J26" s="20" t="n"/>
      <c r="K26" s="9" t="n"/>
      <c r="L26" s="9" t="n"/>
    </row>
    <row r="27" ht="18" customHeight="1">
      <c r="B27" s="9" t="n">
        <v>7</v>
      </c>
      <c r="C27" s="19" t="inlineStr">
        <is>
          <t>Beaker 50-100 mL</t>
        </is>
      </c>
      <c r="D27" s="27" t="n"/>
      <c r="E27" s="20" t="n">
        <v>8</v>
      </c>
      <c r="F27" s="20">
        <f>IF(AND(ISNUMBER(E27),ISNUMBER($K$10),$K$10&gt;0),E27/$K$10,"")</f>
        <v/>
      </c>
      <c r="G27" s="19" t="n"/>
      <c r="H27" s="27" t="n"/>
      <c r="I27" s="20" t="n"/>
      <c r="J27" s="20" t="n"/>
      <c r="K27" s="9" t="n"/>
      <c r="L27" s="9" t="n"/>
    </row>
    <row r="28" ht="34" customHeight="1">
      <c r="B28" s="9" t="n">
        <v>8</v>
      </c>
      <c r="C28" s="19" t="inlineStr">
        <is>
          <t>Recipiente o beaker para residuos líquidos</t>
        </is>
      </c>
      <c r="D28" s="27" t="n"/>
      <c r="E28" s="20" t="n"/>
      <c r="F28" s="20">
        <f>IF(AND(ISNUMBER(E28),ISNUMBER($K$10),$K$10&gt;0),E28/$K$10,"")</f>
        <v/>
      </c>
      <c r="G28" s="19" t="n"/>
      <c r="H28" s="27" t="n"/>
      <c r="I28" s="20" t="n"/>
      <c r="J28" s="20" t="n"/>
      <c r="K28" s="9" t="n"/>
      <c r="L28" s="9" t="n"/>
    </row>
    <row r="29" ht="18" customHeight="1">
      <c r="B29" s="9" t="n">
        <v>9</v>
      </c>
      <c r="C29" s="19" t="inlineStr">
        <is>
          <t>Probeta graduada de 100 mL</t>
        </is>
      </c>
      <c r="D29" s="27" t="n"/>
      <c r="E29" s="20" t="n">
        <v>8</v>
      </c>
      <c r="F29" s="20">
        <f>IF(AND(ISNUMBER(E29),ISNUMBER($K$10),$K$10&gt;0),E29/$K$10,"")</f>
        <v/>
      </c>
      <c r="G29" s="19" t="n"/>
      <c r="H29" s="27" t="n"/>
      <c r="I29" s="20" t="n"/>
      <c r="J29" s="20" t="n"/>
      <c r="K29" s="9" t="n"/>
      <c r="L29" s="9" t="n"/>
    </row>
    <row r="30" ht="18" customHeight="1">
      <c r="B30" s="9" t="n">
        <v>10</v>
      </c>
      <c r="C30" s="19" t="inlineStr">
        <is>
          <t>Cronómetro</t>
        </is>
      </c>
      <c r="D30" s="27" t="n"/>
      <c r="E30" s="20" t="n">
        <v>8</v>
      </c>
      <c r="F30" s="20">
        <f>IF(AND(ISNUMBER(E30),ISNUMBER($K$10),$K$10&gt;0),E30/$K$10,"")</f>
        <v/>
      </c>
      <c r="G30" s="19" t="n"/>
      <c r="H30" s="27" t="n"/>
      <c r="I30" s="20" t="n"/>
      <c r="J30" s="20" t="n"/>
      <c r="K30" s="9" t="n"/>
      <c r="L30" s="9" t="n"/>
    </row>
    <row r="31" ht="18" customHeight="1">
      <c r="B31" s="9" t="n">
        <v>11</v>
      </c>
      <c r="C31" s="19" t="inlineStr">
        <is>
          <t>Canicas</t>
        </is>
      </c>
      <c r="D31" s="27" t="n"/>
      <c r="E31" s="20" t="n">
        <v>8</v>
      </c>
      <c r="F31" s="20">
        <f>IF(AND(ISNUMBER(E31),ISNUMBER($K$10),$K$10&gt;0),E31/$K$10,"")</f>
        <v/>
      </c>
      <c r="G31" s="19" t="n"/>
      <c r="H31" s="27" t="n"/>
      <c r="I31" s="20" t="n"/>
      <c r="J31" s="20" t="n"/>
      <c r="K31" s="9" t="n"/>
      <c r="L31" s="9" t="n"/>
    </row>
    <row r="32" ht="18" customHeight="1">
      <c r="B32" s="9" t="n">
        <v>12</v>
      </c>
      <c r="C32" s="19" t="inlineStr">
        <is>
          <t>Baño maría</t>
        </is>
      </c>
      <c r="D32" s="27" t="n"/>
      <c r="E32" s="20" t="n">
        <v>2</v>
      </c>
      <c r="F32" s="20">
        <f>IF(AND(ISNUMBER(E32),ISNUMBER($K$10),$K$10&gt;0),E32/$K$10,"")</f>
        <v/>
      </c>
      <c r="G32" s="19" t="n"/>
      <c r="H32" s="27" t="n"/>
      <c r="I32" s="20" t="n"/>
      <c r="J32" s="20" t="n"/>
      <c r="K32" s="9" t="n"/>
      <c r="L32" s="9" t="n"/>
    </row>
    <row r="33" ht="18" customHeight="1">
      <c r="B33" s="9" t="n">
        <v>13</v>
      </c>
      <c r="C33" s="19" t="n"/>
      <c r="D33" s="27" t="n"/>
      <c r="E33" s="20" t="n"/>
      <c r="F33" s="20" t="n"/>
      <c r="G33" s="19" t="n"/>
      <c r="H33" s="27" t="n"/>
      <c r="I33" s="20" t="n"/>
      <c r="J33" s="20" t="n"/>
      <c r="K33" s="9" t="n"/>
      <c r="L33" s="9" t="n"/>
    </row>
    <row r="34" ht="18" customHeight="1">
      <c r="B34" s="9" t="n">
        <v>14</v>
      </c>
      <c r="C34" s="19" t="n"/>
      <c r="D34" s="27" t="n"/>
      <c r="E34" s="20" t="n"/>
      <c r="F34" s="20" t="n"/>
      <c r="G34" s="19" t="n"/>
      <c r="H34" s="27" t="n"/>
      <c r="I34" s="20" t="n"/>
      <c r="J34" s="20" t="n"/>
      <c r="K34" s="9" t="n"/>
      <c r="L34" s="9" t="n"/>
    </row>
    <row r="35" ht="18" customHeight="1">
      <c r="B35" s="9" t="n">
        <v>15</v>
      </c>
      <c r="C35" s="19" t="n"/>
      <c r="D35" s="27" t="n"/>
      <c r="E35" s="20" t="n"/>
      <c r="F35" s="20" t="n"/>
      <c r="G35" s="19" t="n"/>
      <c r="H35" s="27" t="n"/>
      <c r="I35" s="20" t="n"/>
      <c r="J35" s="20" t="n"/>
      <c r="K35" s="9" t="n"/>
      <c r="L35" s="9" t="n"/>
    </row>
    <row r="36" ht="18" customHeight="1">
      <c r="B36" s="9" t="n">
        <v>16</v>
      </c>
      <c r="C36" s="19" t="n"/>
      <c r="D36" s="27" t="n"/>
      <c r="E36" s="20" t="n"/>
      <c r="F36" s="20" t="n"/>
      <c r="G36" s="19" t="n"/>
      <c r="H36" s="27" t="n"/>
      <c r="I36" s="20" t="n"/>
      <c r="J36" s="20" t="n"/>
      <c r="K36" s="9" t="n"/>
      <c r="L36" s="9" t="n"/>
    </row>
    <row r="37" ht="18" customHeight="1">
      <c r="B37" s="9" t="n">
        <v>17</v>
      </c>
      <c r="C37" s="19" t="n"/>
      <c r="D37" s="27" t="n"/>
      <c r="E37" s="20" t="n"/>
      <c r="F37" s="20" t="n"/>
      <c r="G37" s="19" t="n"/>
      <c r="H37" s="27" t="n"/>
      <c r="I37" s="20" t="n"/>
      <c r="J37" s="20" t="n"/>
      <c r="K37" s="9" t="n"/>
      <c r="L37" s="9" t="n"/>
    </row>
    <row r="38" ht="18" customHeight="1">
      <c r="B38" s="9" t="n">
        <v>18</v>
      </c>
      <c r="C38" s="19" t="n"/>
      <c r="D38" s="27" t="n"/>
      <c r="E38" s="20" t="n"/>
      <c r="F38" s="20" t="n"/>
      <c r="G38" s="19" t="n"/>
      <c r="H38" s="27" t="n"/>
      <c r="I38" s="20" t="n"/>
      <c r="J38" s="20" t="n"/>
      <c r="K38" s="9" t="n"/>
      <c r="L38" s="9" t="n"/>
    </row>
    <row r="39" ht="18" customHeight="1">
      <c r="B39" s="9" t="n">
        <v>19</v>
      </c>
      <c r="C39" s="19" t="n"/>
      <c r="D39" s="27" t="n"/>
      <c r="E39" s="20" t="n"/>
      <c r="F39" s="20" t="n"/>
      <c r="G39" s="19" t="n"/>
      <c r="H39" s="27" t="n"/>
      <c r="I39" s="20" t="n"/>
      <c r="J39" s="20" t="n"/>
      <c r="K39" s="9" t="n"/>
      <c r="L39" s="9" t="n"/>
    </row>
    <row r="40" ht="18" customHeight="1">
      <c r="B40" s="9" t="n">
        <v>20</v>
      </c>
      <c r="C40" s="19" t="n"/>
      <c r="D40" s="27" t="n"/>
      <c r="E40" s="20" t="n"/>
      <c r="F40" s="20" t="n"/>
      <c r="G40" s="19" t="n"/>
      <c r="H40" s="27" t="n"/>
      <c r="I40" s="20" t="n"/>
      <c r="J40" s="20" t="n"/>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8" customHeight="1">
      <c r="C7" s="7" t="inlineStr">
        <is>
          <t>Programa académico *</t>
        </is>
      </c>
      <c r="D7" s="27" t="n"/>
      <c r="E7" s="9" t="n"/>
      <c r="F7" s="27" t="n"/>
      <c r="G7" s="9" t="inlineStr">
        <is>
          <t>Propiedades físicas 1 PARTE 2
Temperatura de Fusión Y Ebullición, Volatilidad, Tensión Superficial, Viscosidad.</t>
        </is>
      </c>
      <c r="H7" s="29" t="n"/>
      <c r="I7" s="29" t="n"/>
      <c r="J7" s="29" t="n"/>
      <c r="K7" s="29" t="n"/>
      <c r="L7" s="30" t="n"/>
    </row>
    <row r="8" ht="38"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45897</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45897</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18" customHeight="1">
      <c r="B21" s="9" t="n">
        <v>1</v>
      </c>
      <c r="C21" s="19" t="inlineStr">
        <is>
          <t>Termómetro</t>
        </is>
      </c>
      <c r="D21" s="27" t="n"/>
      <c r="E21" s="20" t="n">
        <v>8</v>
      </c>
      <c r="F21" s="20" t="n">
        <v>1</v>
      </c>
      <c r="G21" s="19" t="inlineStr">
        <is>
          <t>Agua destilada</t>
        </is>
      </c>
      <c r="H21" s="27" t="n"/>
      <c r="I21" s="20" t="n">
        <v>8</v>
      </c>
      <c r="J21" s="20" t="n">
        <v>1</v>
      </c>
      <c r="K21" s="9" t="inlineStr">
        <is>
          <t>frasco lavador</t>
        </is>
      </c>
      <c r="L21" s="9" t="n"/>
    </row>
    <row r="22" ht="18" customHeight="1">
      <c r="B22" s="9" t="n">
        <v>2</v>
      </c>
      <c r="C22" s="19" t="inlineStr">
        <is>
          <t>Capilares</t>
        </is>
      </c>
      <c r="D22" s="27" t="n"/>
      <c r="E22" s="20" t="n">
        <v>18</v>
      </c>
      <c r="F22" s="20" t="n">
        <v>3</v>
      </c>
      <c r="G22" s="19" t="inlineStr">
        <is>
          <t>Acetanilida</t>
        </is>
      </c>
      <c r="H22" s="27" t="n"/>
      <c r="I22" s="20" t="n">
        <v>50</v>
      </c>
      <c r="J22" s="20">
        <f>IF(AND(ISNUMBER(I22),ISNUMBER($K$10),$K$10&gt;0),I22/$K$10,"")</f>
        <v/>
      </c>
      <c r="K22" s="9" t="inlineStr">
        <is>
          <t>g</t>
        </is>
      </c>
      <c r="L22" s="9" t="n"/>
    </row>
    <row r="23" ht="18" customHeight="1">
      <c r="B23" s="9" t="n">
        <v>3</v>
      </c>
      <c r="C23" s="19" t="inlineStr">
        <is>
          <t>Bandas de caucho</t>
        </is>
      </c>
      <c r="D23" s="27" t="n"/>
      <c r="E23" s="20" t="n">
        <v>8</v>
      </c>
      <c r="F23" s="20" t="n">
        <v>1</v>
      </c>
      <c r="G23" s="19" t="inlineStr">
        <is>
          <t>Etanol</t>
        </is>
      </c>
      <c r="H23" s="27" t="n"/>
      <c r="I23" s="20" t="n">
        <v>50</v>
      </c>
      <c r="J23" s="20">
        <f>IF(AND(ISNUMBER(I23),ISNUMBER($K$10),$K$10&gt;0),I23/$K$10,"")</f>
        <v/>
      </c>
      <c r="K23" s="9" t="inlineStr">
        <is>
          <t>ml</t>
        </is>
      </c>
      <c r="L23" s="9" t="inlineStr">
        <is>
          <t>Absoluto</t>
        </is>
      </c>
    </row>
    <row r="24" ht="18" customHeight="1">
      <c r="B24" s="9" t="n">
        <v>4</v>
      </c>
      <c r="C24" s="19" t="inlineStr">
        <is>
          <t>Beakers con capacidad de 50 - 100 mL</t>
        </is>
      </c>
      <c r="D24" s="27" t="n"/>
      <c r="E24" s="20" t="n">
        <v>16</v>
      </c>
      <c r="F24" s="20" t="n">
        <v>2</v>
      </c>
      <c r="G24" s="19" t="inlineStr">
        <is>
          <t>Jabón líquido</t>
        </is>
      </c>
      <c r="H24" s="27" t="n"/>
      <c r="I24" s="20" t="n">
        <v>100</v>
      </c>
      <c r="J24" s="20">
        <f>IF(AND(ISNUMBER(I24),ISNUMBER($K$10),$K$10&gt;0),I24/$K$10,"")</f>
        <v/>
      </c>
      <c r="K24" s="9" t="inlineStr">
        <is>
          <t>ml</t>
        </is>
      </c>
      <c r="L24" s="9" t="n"/>
    </row>
    <row r="25" ht="18" customHeight="1">
      <c r="B25" s="9" t="n">
        <v>5</v>
      </c>
      <c r="C25" s="19" t="inlineStr">
        <is>
          <t>Tubo de ensayo largo</t>
        </is>
      </c>
      <c r="D25" s="27" t="n"/>
      <c r="E25" s="20" t="n">
        <v>10</v>
      </c>
      <c r="F25" s="20">
        <f>IF(AND(ISNUMBER(E25),ISNUMBER($K$10),$K$10&gt;0),E25/$K$10,"")</f>
        <v/>
      </c>
      <c r="G25" s="19" t="inlineStr">
        <is>
          <t>Aceite mineral</t>
        </is>
      </c>
      <c r="H25" s="27" t="n"/>
      <c r="I25" s="20" t="n">
        <v>800</v>
      </c>
      <c r="J25" s="20">
        <f>IF(AND(ISNUMBER(I25),ISNUMBER($K$10),$K$10&gt;0),I25/$K$10,"")</f>
        <v/>
      </c>
      <c r="K25" s="9" t="inlineStr">
        <is>
          <t>ml</t>
        </is>
      </c>
      <c r="L25" s="9" t="n"/>
    </row>
    <row r="26" ht="18" customHeight="1">
      <c r="B26" s="9" t="n">
        <v>6</v>
      </c>
      <c r="C26" s="19" t="inlineStr">
        <is>
          <t>Mechero de alcohol</t>
        </is>
      </c>
      <c r="D26" s="27" t="n"/>
      <c r="E26" s="20" t="n">
        <v>8</v>
      </c>
      <c r="F26" s="20" t="n">
        <v>1</v>
      </c>
      <c r="G26" s="19" t="n"/>
      <c r="H26" s="27" t="n"/>
      <c r="I26" s="20" t="n"/>
      <c r="J26" s="20" t="n"/>
      <c r="K26" s="9" t="n"/>
      <c r="L26" s="9" t="n"/>
    </row>
    <row r="27" ht="18" customHeight="1">
      <c r="B27" s="9" t="n">
        <v>7</v>
      </c>
      <c r="C27" s="19" t="inlineStr">
        <is>
          <t>Plancha de calentamiento</t>
        </is>
      </c>
      <c r="D27" s="27" t="n"/>
      <c r="E27" s="20" t="n">
        <v>8</v>
      </c>
      <c r="F27" s="20" t="n">
        <v>1</v>
      </c>
      <c r="G27" s="19" t="n"/>
      <c r="H27" s="27" t="n"/>
      <c r="I27" s="20" t="n"/>
      <c r="J27" s="20" t="n"/>
      <c r="K27" s="9" t="n"/>
      <c r="L27" s="9" t="n"/>
    </row>
    <row r="28" ht="18" customHeight="1">
      <c r="B28" s="9" t="n">
        <v>8</v>
      </c>
      <c r="C28" s="19" t="inlineStr">
        <is>
          <t>Soporte universal</t>
        </is>
      </c>
      <c r="D28" s="27" t="n"/>
      <c r="E28" s="20" t="n">
        <v>8</v>
      </c>
      <c r="F28" s="20" t="n">
        <v>1</v>
      </c>
      <c r="G28" s="19" t="n"/>
      <c r="H28" s="27" t="n"/>
      <c r="I28" s="20" t="n"/>
      <c r="J28" s="20" t="n"/>
      <c r="K28" s="9" t="n"/>
      <c r="L28" s="9" t="n"/>
    </row>
    <row r="29" ht="18" customHeight="1">
      <c r="B29" s="9" t="n">
        <v>9</v>
      </c>
      <c r="C29" s="19" t="inlineStr">
        <is>
          <t>Placa de calentamiento (schott)</t>
        </is>
      </c>
      <c r="D29" s="27" t="n"/>
      <c r="E29" s="20" t="n">
        <v>8</v>
      </c>
      <c r="F29" s="20" t="n">
        <v>1</v>
      </c>
      <c r="G29" s="19" t="n"/>
      <c r="H29" s="27" t="n"/>
      <c r="I29" s="20" t="n"/>
      <c r="J29" s="20" t="n"/>
      <c r="K29" s="9" t="n"/>
      <c r="L29" s="9" t="n"/>
    </row>
    <row r="30" ht="18" customHeight="1">
      <c r="B30" s="9" t="n">
        <v>10</v>
      </c>
      <c r="C30" s="19" t="inlineStr">
        <is>
          <t>Pinzas</t>
        </is>
      </c>
      <c r="D30" s="27" t="n"/>
      <c r="E30" s="20" t="n">
        <v>8</v>
      </c>
      <c r="F30" s="20" t="n">
        <v>1</v>
      </c>
      <c r="G30" s="19" t="n"/>
      <c r="H30" s="27" t="n"/>
      <c r="I30" s="20" t="n"/>
      <c r="J30" s="20" t="n"/>
      <c r="K30" s="9" t="n"/>
      <c r="L30" s="9" t="n"/>
    </row>
    <row r="31" ht="18" customHeight="1">
      <c r="B31" s="9" t="n">
        <v>11</v>
      </c>
      <c r="C31" s="19" t="inlineStr">
        <is>
          <t>Nuez</t>
        </is>
      </c>
      <c r="D31" s="27" t="n"/>
      <c r="E31" s="20" t="n">
        <v>8</v>
      </c>
      <c r="F31" s="20" t="n">
        <v>1</v>
      </c>
      <c r="G31" s="19" t="n"/>
      <c r="H31" s="27" t="n"/>
      <c r="I31" s="20" t="n"/>
      <c r="J31" s="20" t="n"/>
      <c r="K31" s="9" t="n"/>
      <c r="L31" s="9" t="n"/>
    </row>
    <row r="32" ht="18" customHeight="1">
      <c r="B32" s="9" t="n">
        <v>12</v>
      </c>
      <c r="C32" s="19" t="inlineStr">
        <is>
          <t>Tubo de Thiele</t>
        </is>
      </c>
      <c r="D32" s="27" t="n"/>
      <c r="E32" s="20" t="n">
        <v>8</v>
      </c>
      <c r="F32" s="20" t="n">
        <v>1</v>
      </c>
      <c r="G32" s="19" t="n"/>
      <c r="H32" s="27" t="n"/>
      <c r="I32" s="20" t="n"/>
      <c r="J32" s="20" t="n"/>
      <c r="K32" s="9" t="n"/>
      <c r="L32" s="9" t="n"/>
    </row>
    <row r="33" ht="18" customHeight="1">
      <c r="B33" s="9" t="n">
        <v>13</v>
      </c>
      <c r="C33" s="19" t="n"/>
      <c r="D33" s="27" t="n"/>
      <c r="E33" s="20" t="n"/>
      <c r="F33" s="20" t="n"/>
      <c r="G33" s="19" t="n"/>
      <c r="H33" s="27" t="n"/>
      <c r="I33" s="20" t="n"/>
      <c r="J33" s="20" t="n"/>
      <c r="K33" s="9" t="n"/>
      <c r="L33" s="9" t="n"/>
    </row>
    <row r="34" ht="18" customHeight="1">
      <c r="B34" s="9" t="n">
        <v>14</v>
      </c>
      <c r="C34" s="19" t="n"/>
      <c r="D34" s="27" t="n"/>
      <c r="E34" s="20" t="n"/>
      <c r="F34" s="20" t="n"/>
      <c r="G34" s="19" t="n"/>
      <c r="H34" s="27" t="n"/>
      <c r="I34" s="20" t="n"/>
      <c r="J34" s="20" t="n"/>
      <c r="K34" s="9" t="n"/>
      <c r="L34" s="9" t="n"/>
    </row>
    <row r="35" ht="18" customHeight="1">
      <c r="B35" s="9" t="n">
        <v>15</v>
      </c>
      <c r="C35" s="19" t="n"/>
      <c r="D35" s="27" t="n"/>
      <c r="E35" s="20" t="n"/>
      <c r="F35" s="20" t="n"/>
      <c r="G35" s="19" t="n"/>
      <c r="H35" s="27" t="n"/>
      <c r="I35" s="20" t="n"/>
      <c r="J35" s="20" t="n"/>
      <c r="K35" s="9" t="n"/>
      <c r="L35" s="9" t="n"/>
    </row>
    <row r="36" ht="18" customHeight="1">
      <c r="B36" s="9" t="n">
        <v>16</v>
      </c>
      <c r="C36" s="19" t="n"/>
      <c r="D36" s="27" t="n"/>
      <c r="E36" s="20" t="n"/>
      <c r="F36" s="20" t="n"/>
      <c r="G36" s="19" t="n"/>
      <c r="H36" s="27" t="n"/>
      <c r="I36" s="20" t="n"/>
      <c r="J36" s="20" t="n"/>
      <c r="K36" s="9" t="n"/>
      <c r="L36" s="9" t="n"/>
    </row>
    <row r="37" ht="18" customHeight="1">
      <c r="B37" s="9" t="n">
        <v>17</v>
      </c>
      <c r="C37" s="19" t="n"/>
      <c r="D37" s="27" t="n"/>
      <c r="E37" s="20" t="n"/>
      <c r="F37" s="20" t="n"/>
      <c r="G37" s="19" t="n"/>
      <c r="H37" s="27" t="n"/>
      <c r="I37" s="20" t="n"/>
      <c r="J37" s="20" t="n"/>
      <c r="K37" s="9" t="n"/>
      <c r="L37" s="9" t="n"/>
    </row>
    <row r="38" ht="18" customHeight="1">
      <c r="B38" s="9" t="n">
        <v>18</v>
      </c>
      <c r="C38" s="19" t="n"/>
      <c r="D38" s="27" t="n"/>
      <c r="E38" s="20" t="n"/>
      <c r="F38" s="20" t="n"/>
      <c r="G38" s="19" t="n"/>
      <c r="H38" s="27" t="n"/>
      <c r="I38" s="20" t="n"/>
      <c r="J38" s="20" t="n"/>
      <c r="K38" s="9" t="n"/>
      <c r="L38" s="9" t="n"/>
    </row>
    <row r="39" ht="18" customHeight="1">
      <c r="B39" s="9" t="n">
        <v>19</v>
      </c>
      <c r="C39" s="19" t="n"/>
      <c r="D39" s="27" t="n"/>
      <c r="E39" s="20" t="n"/>
      <c r="F39" s="20" t="n"/>
      <c r="G39" s="19" t="n"/>
      <c r="H39" s="27" t="n"/>
      <c r="I39" s="20" t="n"/>
      <c r="J39" s="20" t="n"/>
      <c r="K39" s="9" t="n"/>
      <c r="L39" s="9" t="n"/>
    </row>
    <row r="40" ht="18" customHeight="1">
      <c r="B40" s="9" t="n">
        <v>20</v>
      </c>
      <c r="C40" s="19" t="n"/>
      <c r="D40" s="27" t="n"/>
      <c r="E40" s="20" t="n"/>
      <c r="F40" s="20" t="n"/>
      <c r="G40" s="19" t="n"/>
      <c r="H40" s="27" t="n"/>
      <c r="I40" s="20" t="n"/>
      <c r="J40" s="20" t="n"/>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8" customHeight="1">
      <c r="C7" s="7" t="inlineStr">
        <is>
          <t>Programa académico *</t>
        </is>
      </c>
      <c r="D7" s="27" t="n"/>
      <c r="E7" s="9" t="n"/>
      <c r="F7" s="27" t="n"/>
      <c r="G7" s="9" t="inlineStr">
        <is>
          <t>SEPARACIÓN DE MEZCLAS parte 1: Separación de mezcla sólida
(Ésta práctica se realizará en dos sesiones)</t>
        </is>
      </c>
      <c r="H7" s="29" t="n"/>
      <c r="I7" s="29" t="n"/>
      <c r="J7" s="29" t="n"/>
      <c r="K7" s="29" t="n"/>
      <c r="L7" s="30" t="n"/>
    </row>
    <row r="8" ht="38"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45904</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45904</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18" customHeight="1">
      <c r="B21" s="9" t="n">
        <v>1</v>
      </c>
      <c r="C21" s="19" t="inlineStr">
        <is>
          <t>Papel filtro</t>
        </is>
      </c>
      <c r="D21" s="27" t="n"/>
      <c r="E21" s="20" t="n">
        <v>16</v>
      </c>
      <c r="F21" s="20" t="n">
        <v>2</v>
      </c>
      <c r="G21" s="19" t="inlineStr">
        <is>
          <t>Agua destilada</t>
        </is>
      </c>
      <c r="H21" s="27" t="n"/>
      <c r="I21" s="20" t="n">
        <v>8</v>
      </c>
      <c r="J21" s="20" t="n">
        <v>1</v>
      </c>
      <c r="K21" s="9" t="inlineStr">
        <is>
          <t>frasco lavador</t>
        </is>
      </c>
      <c r="L21" s="9" t="n"/>
    </row>
    <row r="22" ht="18" customHeight="1">
      <c r="B22" s="9" t="n">
        <v>2</v>
      </c>
      <c r="C22" s="19" t="inlineStr">
        <is>
          <t>Probeta</t>
        </is>
      </c>
      <c r="D22" s="27" t="n"/>
      <c r="E22" s="20" t="n">
        <v>8</v>
      </c>
      <c r="F22" s="20" t="n">
        <v>1</v>
      </c>
      <c r="G22" s="19" t="inlineStr">
        <is>
          <t>Colorante</t>
        </is>
      </c>
      <c r="H22" s="27" t="n"/>
      <c r="I22" s="20" t="n">
        <v>25</v>
      </c>
      <c r="J22" s="20">
        <f>IF(AND(ISNUMBER(I22),ISNUMBER($K$10),$K$10&gt;0),I22/$K$10,"")</f>
        <v/>
      </c>
      <c r="K22" s="9" t="inlineStr">
        <is>
          <t>g</t>
        </is>
      </c>
      <c r="L22" s="9" t="n"/>
    </row>
    <row r="23" ht="18" customHeight="1">
      <c r="B23" s="9" t="n">
        <v>3</v>
      </c>
      <c r="C23" s="19" t="inlineStr">
        <is>
          <t>Vidrio de reloj</t>
        </is>
      </c>
      <c r="D23" s="27" t="n"/>
      <c r="E23" s="20" t="n">
        <v>8</v>
      </c>
      <c r="F23" s="20" t="n">
        <v>1</v>
      </c>
      <c r="G23" s="19" t="inlineStr">
        <is>
          <t>carbonato de calcio (CaCO3)</t>
        </is>
      </c>
      <c r="H23" s="27" t="n"/>
      <c r="I23" s="20" t="n">
        <v>20</v>
      </c>
      <c r="J23" s="20">
        <f>IF(AND(ISNUMBER(I23),ISNUMBER($K$10),$K$10&gt;0),I23/$K$10,"")</f>
        <v/>
      </c>
      <c r="K23" s="9" t="inlineStr">
        <is>
          <t>g</t>
        </is>
      </c>
      <c r="L23" s="9" t="n"/>
    </row>
    <row r="24" ht="18" customHeight="1">
      <c r="B24" s="9" t="n">
        <v>4</v>
      </c>
      <c r="C24" s="19" t="inlineStr">
        <is>
          <t>Cápsula de porcelana</t>
        </is>
      </c>
      <c r="D24" s="27" t="n"/>
      <c r="E24" s="20" t="n">
        <v>8</v>
      </c>
      <c r="F24" s="20" t="n">
        <v>1</v>
      </c>
      <c r="G24" s="19" t="inlineStr">
        <is>
          <t>cloruro de sodio (NaCl)</t>
        </is>
      </c>
      <c r="H24" s="27" t="n"/>
      <c r="I24" s="20" t="n">
        <v>20</v>
      </c>
      <c r="J24" s="20">
        <f>IF(AND(ISNUMBER(I24),ISNUMBER($K$10),$K$10&gt;0),I24/$K$10,"")</f>
        <v/>
      </c>
      <c r="K24" s="9" t="inlineStr">
        <is>
          <t>g</t>
        </is>
      </c>
      <c r="L24" s="9" t="n"/>
    </row>
    <row r="25" ht="18" customHeight="1">
      <c r="B25" s="9" t="n">
        <v>5</v>
      </c>
      <c r="C25" s="19" t="inlineStr">
        <is>
          <t>Espátula</t>
        </is>
      </c>
      <c r="D25" s="27" t="n"/>
      <c r="E25" s="20" t="n">
        <v>8</v>
      </c>
      <c r="F25" s="20" t="n">
        <v>1</v>
      </c>
      <c r="G25" s="19" t="inlineStr">
        <is>
          <t>dióxido de silicio (SiO2)</t>
        </is>
      </c>
      <c r="H25" s="27" t="n"/>
      <c r="I25" s="20" t="n">
        <v>20</v>
      </c>
      <c r="J25" s="20">
        <f>IF(AND(ISNUMBER(I25),ISNUMBER($K$10),$K$10&gt;0),I25/$K$10,"")</f>
        <v/>
      </c>
      <c r="K25" s="9" t="inlineStr">
        <is>
          <t>g</t>
        </is>
      </c>
      <c r="L25" s="9" t="n"/>
    </row>
    <row r="26" ht="18" customHeight="1">
      <c r="B26" s="9" t="n">
        <v>6</v>
      </c>
      <c r="C26" s="19" t="inlineStr">
        <is>
          <t>Varilla de agitación</t>
        </is>
      </c>
      <c r="D26" s="27" t="n"/>
      <c r="E26" s="20" t="n">
        <v>8</v>
      </c>
      <c r="F26" s="20" t="n">
        <v>1</v>
      </c>
      <c r="G26" s="19" t="inlineStr">
        <is>
          <t>Ácido clorhídrico 4 M</t>
        </is>
      </c>
      <c r="H26" s="27" t="n"/>
      <c r="I26" s="20" t="n">
        <v>80</v>
      </c>
      <c r="J26" s="20">
        <f>IF(AND(ISNUMBER(I26),ISNUMBER($K$10),$K$10&gt;0),I26/$K$10,"")</f>
        <v/>
      </c>
      <c r="K26" s="9" t="inlineStr">
        <is>
          <t>mL</t>
        </is>
      </c>
      <c r="L26" s="9" t="n"/>
    </row>
    <row r="27" ht="18" customHeight="1">
      <c r="B27" s="9" t="n">
        <v>7</v>
      </c>
      <c r="C27" s="19" t="inlineStr">
        <is>
          <t>Embudo de separación</t>
        </is>
      </c>
      <c r="D27" s="27" t="n"/>
      <c r="E27" s="20" t="n">
        <v>8</v>
      </c>
      <c r="F27" s="20" t="n">
        <v>1</v>
      </c>
      <c r="G27" s="19" t="n"/>
      <c r="H27" s="27" t="n"/>
      <c r="I27" s="20" t="n"/>
      <c r="J27" s="20" t="n"/>
      <c r="K27" s="9" t="n"/>
      <c r="L27" s="9" t="n"/>
    </row>
    <row r="28" ht="18" customHeight="1">
      <c r="B28" s="9" t="n">
        <v>8</v>
      </c>
      <c r="C28" s="19" t="inlineStr">
        <is>
          <t>Erlenmeyer</t>
        </is>
      </c>
      <c r="D28" s="27" t="n"/>
      <c r="E28" s="20" t="n">
        <v>16</v>
      </c>
      <c r="F28" s="20" t="n">
        <v>2</v>
      </c>
      <c r="G28" s="19" t="n"/>
      <c r="H28" s="27" t="n"/>
      <c r="I28" s="20" t="n"/>
      <c r="J28" s="20" t="n"/>
      <c r="K28" s="9" t="n"/>
      <c r="L28" s="9" t="n"/>
    </row>
    <row r="29" ht="18" customHeight="1">
      <c r="B29" s="9" t="n">
        <v>9</v>
      </c>
      <c r="C29" s="19" t="inlineStr">
        <is>
          <t>Termómetro</t>
        </is>
      </c>
      <c r="D29" s="27" t="n"/>
      <c r="E29" s="20" t="n">
        <v>8</v>
      </c>
      <c r="F29" s="20" t="n">
        <v>1</v>
      </c>
      <c r="G29" s="19" t="n"/>
      <c r="H29" s="27" t="n"/>
      <c r="I29" s="20" t="n"/>
      <c r="J29" s="20" t="n"/>
      <c r="K29" s="9" t="n"/>
      <c r="L29" s="9" t="n"/>
    </row>
    <row r="30" ht="18" customHeight="1">
      <c r="B30" s="9" t="n">
        <v>10</v>
      </c>
      <c r="C30" s="19" t="inlineStr">
        <is>
          <t>Placa de calentamiento Schott</t>
        </is>
      </c>
      <c r="D30" s="27" t="n"/>
      <c r="E30" s="20" t="n">
        <v>8</v>
      </c>
      <c r="F30" s="20" t="n">
        <v>1</v>
      </c>
      <c r="G30" s="19" t="n"/>
      <c r="H30" s="27" t="n"/>
      <c r="I30" s="20" t="n"/>
      <c r="J30" s="20" t="n"/>
      <c r="K30" s="9" t="n"/>
      <c r="L30" s="9" t="n"/>
    </row>
    <row r="31" ht="18" customHeight="1">
      <c r="B31" s="9" t="n">
        <v>11</v>
      </c>
      <c r="C31" s="19" t="inlineStr">
        <is>
          <t>Beaker 250 mL</t>
        </is>
      </c>
      <c r="D31" s="27" t="n"/>
      <c r="E31" s="20" t="n">
        <v>8</v>
      </c>
      <c r="F31" s="20" t="n">
        <v>1</v>
      </c>
      <c r="G31" s="19" t="n"/>
      <c r="H31" s="27" t="n"/>
      <c r="I31" s="20" t="n"/>
      <c r="J31" s="20" t="n"/>
      <c r="K31" s="9" t="n"/>
      <c r="L31" s="9" t="n"/>
    </row>
    <row r="32" ht="18" customHeight="1">
      <c r="B32" s="9" t="n">
        <v>12</v>
      </c>
      <c r="C32" s="19" t="inlineStr">
        <is>
          <t>Mechero</t>
        </is>
      </c>
      <c r="D32" s="27" t="n"/>
      <c r="E32" s="20" t="n">
        <v>8</v>
      </c>
      <c r="F32" s="20" t="n">
        <v>1</v>
      </c>
      <c r="G32" s="19" t="n"/>
      <c r="H32" s="27" t="n"/>
      <c r="I32" s="20" t="n"/>
      <c r="J32" s="20" t="n"/>
      <c r="K32" s="9" t="n"/>
      <c r="L32" s="9" t="n"/>
    </row>
    <row r="33" ht="18" customHeight="1">
      <c r="B33" s="9" t="n">
        <v>13</v>
      </c>
      <c r="C33" s="19" t="inlineStr">
        <is>
          <t>Plancha de calentamiento</t>
        </is>
      </c>
      <c r="D33" s="27" t="n"/>
      <c r="E33" s="20" t="n">
        <v>8</v>
      </c>
      <c r="F33" s="20" t="n">
        <v>1</v>
      </c>
      <c r="G33" s="19" t="n"/>
      <c r="H33" s="27" t="n"/>
      <c r="I33" s="20" t="n"/>
      <c r="J33" s="20" t="n"/>
      <c r="K33" s="9" t="n"/>
      <c r="L33" s="9" t="n"/>
    </row>
    <row r="34" ht="18" customHeight="1">
      <c r="B34" s="9" t="n">
        <v>14</v>
      </c>
      <c r="C34" s="19" t="inlineStr">
        <is>
          <t>Soporte universal</t>
        </is>
      </c>
      <c r="D34" s="27" t="n"/>
      <c r="E34" s="20" t="n">
        <v>8</v>
      </c>
      <c r="F34" s="20" t="n">
        <v>1</v>
      </c>
      <c r="G34" s="19" t="n"/>
      <c r="H34" s="27" t="n"/>
      <c r="I34" s="20" t="n"/>
      <c r="J34" s="20" t="n"/>
      <c r="K34" s="9" t="n"/>
      <c r="L34" s="9" t="n"/>
    </row>
    <row r="35" ht="18" customHeight="1">
      <c r="B35" s="9" t="n">
        <v>15</v>
      </c>
      <c r="C35" s="19" t="inlineStr">
        <is>
          <t>pinzas</t>
        </is>
      </c>
      <c r="D35" s="27" t="n"/>
      <c r="E35" s="20" t="n">
        <v>8</v>
      </c>
      <c r="F35" s="20" t="n">
        <v>1</v>
      </c>
      <c r="G35" s="19" t="n"/>
      <c r="H35" s="27" t="n"/>
      <c r="I35" s="20" t="n"/>
      <c r="J35" s="20" t="n"/>
      <c r="K35" s="9" t="n"/>
      <c r="L35" s="9" t="n"/>
    </row>
    <row r="36" ht="18" customHeight="1">
      <c r="B36" s="9" t="n">
        <v>16</v>
      </c>
      <c r="C36" s="19" t="inlineStr">
        <is>
          <t>nueces</t>
        </is>
      </c>
      <c r="D36" s="27" t="n"/>
      <c r="E36" s="20" t="n">
        <v>8</v>
      </c>
      <c r="F36" s="20" t="n">
        <v>1</v>
      </c>
      <c r="G36" s="19" t="n"/>
      <c r="H36" s="27" t="n"/>
      <c r="I36" s="20" t="n"/>
      <c r="J36" s="20" t="n"/>
      <c r="K36" s="9" t="n"/>
      <c r="L36" s="9" t="n"/>
    </row>
    <row r="37" ht="18" customHeight="1">
      <c r="B37" s="9" t="n">
        <v>17</v>
      </c>
      <c r="C37" s="19" t="inlineStr">
        <is>
          <t>Beaker 400 mL</t>
        </is>
      </c>
      <c r="D37" s="27" t="n"/>
      <c r="E37" s="20" t="n">
        <v>8</v>
      </c>
      <c r="F37" s="20" t="n">
        <v>1</v>
      </c>
      <c r="G37" s="19" t="n"/>
      <c r="H37" s="27" t="n"/>
      <c r="I37" s="20" t="n"/>
      <c r="J37" s="20" t="n"/>
      <c r="K37" s="9" t="n"/>
      <c r="L37" s="9" t="n"/>
    </row>
    <row r="38" ht="18" customHeight="1">
      <c r="B38" s="9" t="n">
        <v>18</v>
      </c>
      <c r="C38" s="19" t="inlineStr">
        <is>
          <t>Embudo de vidrio</t>
        </is>
      </c>
      <c r="D38" s="27" t="n"/>
      <c r="E38" s="20" t="n">
        <v>8</v>
      </c>
      <c r="F38" s="20" t="n">
        <v>1</v>
      </c>
      <c r="G38" s="19" t="n"/>
      <c r="H38" s="27" t="n"/>
      <c r="I38" s="20" t="n"/>
      <c r="J38" s="20" t="n"/>
      <c r="K38" s="9" t="n"/>
      <c r="L38" s="9" t="n"/>
    </row>
    <row r="39" ht="18" customHeight="1">
      <c r="B39" s="9" t="n">
        <v>19</v>
      </c>
      <c r="C39" s="19" t="n"/>
      <c r="D39" s="27" t="n"/>
      <c r="E39" s="20" t="n"/>
      <c r="F39" s="20" t="n"/>
      <c r="G39" s="19" t="n"/>
      <c r="H39" s="27" t="n"/>
      <c r="I39" s="20" t="n"/>
      <c r="J39" s="20" t="n"/>
      <c r="K39" s="9" t="n"/>
      <c r="L39" s="9" t="n"/>
    </row>
    <row r="40" ht="18" customHeight="1">
      <c r="B40" s="9" t="n">
        <v>20</v>
      </c>
      <c r="C40" s="19" t="n"/>
      <c r="D40" s="27" t="n"/>
      <c r="E40" s="20" t="n"/>
      <c r="F40" s="20" t="n"/>
      <c r="G40" s="19" t="n"/>
      <c r="H40" s="27" t="n"/>
      <c r="I40" s="20" t="n"/>
      <c r="J40" s="20" t="n"/>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8" customHeight="1">
      <c r="C7" s="7" t="inlineStr">
        <is>
          <t>Programa académico *</t>
        </is>
      </c>
      <c r="D7" s="27" t="n"/>
      <c r="E7" s="9" t="n"/>
      <c r="F7" s="27" t="n"/>
      <c r="G7" s="9" t="inlineStr">
        <is>
          <t>SEPARACIÓN DE MEZCLAS parte 2: Separación de mezcla líquida y cromatografía
(Ésta práctica se realizará en dos sesiones)</t>
        </is>
      </c>
      <c r="H7" s="29" t="n"/>
      <c r="I7" s="29" t="n"/>
      <c r="J7" s="29" t="n"/>
      <c r="K7" s="29" t="n"/>
      <c r="L7" s="30" t="n"/>
    </row>
    <row r="8" ht="38"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45918</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45918</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18" customHeight="1">
      <c r="B21" s="9" t="n">
        <v>1</v>
      </c>
      <c r="C21" s="19" t="inlineStr">
        <is>
          <t>Pipeta graduadas 10 mL</t>
        </is>
      </c>
      <c r="D21" s="27" t="n"/>
      <c r="E21" s="20" t="n">
        <v>8</v>
      </c>
      <c r="F21" s="20" t="n">
        <v>1</v>
      </c>
      <c r="G21" s="19" t="inlineStr">
        <is>
          <t>Etanol</t>
        </is>
      </c>
      <c r="H21" s="27" t="n"/>
      <c r="I21" s="20" t="n">
        <v>200</v>
      </c>
      <c r="J21" s="20">
        <f>IF(AND(ISNUMBER(I21),ISNUMBER($K$10),$K$10&gt;0),I21/$K$10,"")</f>
        <v/>
      </c>
      <c r="K21" s="9" t="inlineStr">
        <is>
          <t>mL</t>
        </is>
      </c>
      <c r="L21" s="9" t="n"/>
    </row>
    <row r="22" ht="18" customHeight="1">
      <c r="B22" s="9" t="n">
        <v>2</v>
      </c>
      <c r="C22" s="19" t="inlineStr">
        <is>
          <t>Perlas de ebullición</t>
        </is>
      </c>
      <c r="D22" s="27" t="n"/>
      <c r="E22" s="20" t="n"/>
      <c r="F22" s="20">
        <f>IF(AND(ISNUMBER(E22),ISNUMBER($K$10),$K$10&gt;0),E22/$K$10,"")</f>
        <v/>
      </c>
      <c r="G22" s="19" t="inlineStr">
        <is>
          <t>Agua destilada</t>
        </is>
      </c>
      <c r="H22" s="27" t="n"/>
      <c r="I22" s="20" t="n">
        <v>8</v>
      </c>
      <c r="J22" s="20" t="n">
        <v>1</v>
      </c>
      <c r="K22" s="9" t="inlineStr">
        <is>
          <t>frasco lavador</t>
        </is>
      </c>
      <c r="L22" s="9" t="n"/>
    </row>
    <row r="23" ht="18" customHeight="1">
      <c r="B23" s="9" t="n">
        <v>3</v>
      </c>
      <c r="C23" s="19" t="inlineStr">
        <is>
          <t>Tubos de ensayo capacidad de 10 mL o más</t>
        </is>
      </c>
      <c r="D23" s="27" t="n"/>
      <c r="E23" s="20" t="n">
        <v>40</v>
      </c>
      <c r="F23" s="20" t="n">
        <v>5</v>
      </c>
      <c r="G23" s="19" t="inlineStr">
        <is>
          <t>Colorante</t>
        </is>
      </c>
      <c r="H23" s="27" t="n"/>
      <c r="I23" s="20" t="n">
        <v>25</v>
      </c>
      <c r="J23" s="20">
        <f>IF(AND(ISNUMBER(I23),ISNUMBER($K$10),$K$10&gt;0),I23/$K$10,"")</f>
        <v/>
      </c>
      <c r="K23" s="9" t="inlineStr">
        <is>
          <t>g</t>
        </is>
      </c>
      <c r="L23" s="9" t="n"/>
    </row>
    <row r="24" ht="18" customHeight="1">
      <c r="B24" s="9" t="n">
        <v>4</v>
      </c>
      <c r="C24" s="19" t="inlineStr">
        <is>
          <t>Gradilla de tubos</t>
        </is>
      </c>
      <c r="D24" s="27" t="n"/>
      <c r="E24" s="20" t="n">
        <v>8</v>
      </c>
      <c r="F24" s="20" t="n">
        <v>1</v>
      </c>
      <c r="G24" s="19" t="inlineStr">
        <is>
          <t>acetato de etilo</t>
        </is>
      </c>
      <c r="H24" s="27" t="n"/>
      <c r="I24" s="20" t="n">
        <v>100</v>
      </c>
      <c r="J24" s="20">
        <f>IF(AND(ISNUMBER(I24),ISNUMBER($K$10),$K$10&gt;0),I24/$K$10,"")</f>
        <v/>
      </c>
      <c r="K24" s="9" t="inlineStr">
        <is>
          <t>mL</t>
        </is>
      </c>
      <c r="L24" s="9" t="n"/>
    </row>
    <row r="25" ht="18" customHeight="1">
      <c r="B25" s="9" t="n">
        <v>5</v>
      </c>
      <c r="C25" s="19" t="inlineStr">
        <is>
          <t>Probeta</t>
        </is>
      </c>
      <c r="D25" s="27" t="n"/>
      <c r="E25" s="20" t="n">
        <v>8</v>
      </c>
      <c r="F25" s="20" t="n">
        <v>1</v>
      </c>
      <c r="G25" s="19" t="inlineStr">
        <is>
          <t>Hexano</t>
        </is>
      </c>
      <c r="H25" s="27" t="n"/>
      <c r="I25" s="20" t="n">
        <v>100</v>
      </c>
      <c r="J25" s="20">
        <f>IF(AND(ISNUMBER(I25),ISNUMBER($K$10),$K$10&gt;0),I25/$K$10,"")</f>
        <v/>
      </c>
      <c r="K25" s="9" t="inlineStr">
        <is>
          <t>mL</t>
        </is>
      </c>
      <c r="L25" s="9" t="n"/>
    </row>
    <row r="26" ht="18" customHeight="1">
      <c r="B26" s="9" t="n">
        <v>6</v>
      </c>
      <c r="C26" s="19" t="inlineStr">
        <is>
          <t>vidrio reloj</t>
        </is>
      </c>
      <c r="D26" s="27" t="n"/>
      <c r="E26" s="20" t="n">
        <v>16</v>
      </c>
      <c r="F26" s="20" t="n">
        <v>2</v>
      </c>
      <c r="G26" s="19" t="n"/>
      <c r="H26" s="27" t="n"/>
      <c r="I26" s="20" t="n"/>
      <c r="J26" s="20" t="n"/>
      <c r="K26" s="9" t="n"/>
      <c r="L26" s="9" t="n"/>
    </row>
    <row r="27" ht="18" customHeight="1">
      <c r="B27" s="9" t="n">
        <v>7</v>
      </c>
      <c r="C27" s="19" t="inlineStr">
        <is>
          <t>Balón de destilación</t>
        </is>
      </c>
      <c r="D27" s="27" t="n"/>
      <c r="E27" s="20" t="n">
        <v>8</v>
      </c>
      <c r="F27" s="20" t="n">
        <v>1</v>
      </c>
      <c r="G27" s="19" t="n"/>
      <c r="H27" s="27" t="n"/>
      <c r="I27" s="20" t="n"/>
      <c r="J27" s="20" t="n"/>
      <c r="K27" s="9" t="n"/>
      <c r="L27" s="9" t="n"/>
    </row>
    <row r="28" ht="18" customHeight="1">
      <c r="B28" s="9" t="n">
        <v>8</v>
      </c>
      <c r="C28" s="19" t="inlineStr">
        <is>
          <t>condensador</t>
        </is>
      </c>
      <c r="D28" s="27" t="n"/>
      <c r="E28" s="20" t="n">
        <v>8</v>
      </c>
      <c r="F28" s="20" t="n">
        <v>1</v>
      </c>
      <c r="G28" s="19" t="n"/>
      <c r="H28" s="27" t="n"/>
      <c r="I28" s="20" t="n"/>
      <c r="J28" s="20" t="n"/>
      <c r="K28" s="9" t="n"/>
      <c r="L28" s="9" t="n"/>
    </row>
    <row r="29" ht="18" customHeight="1">
      <c r="B29" s="9" t="n">
        <v>9</v>
      </c>
      <c r="C29" s="19" t="inlineStr">
        <is>
          <t>Placa de calentamiento</t>
        </is>
      </c>
      <c r="D29" s="27" t="n"/>
      <c r="E29" s="20" t="n">
        <v>8</v>
      </c>
      <c r="F29" s="20" t="n">
        <v>1</v>
      </c>
      <c r="G29" s="19" t="n"/>
      <c r="H29" s="27" t="n"/>
      <c r="I29" s="20" t="n"/>
      <c r="J29" s="20" t="n"/>
      <c r="K29" s="9" t="n"/>
      <c r="L29" s="9" t="n"/>
    </row>
    <row r="30" ht="18" customHeight="1">
      <c r="B30" s="9" t="n">
        <v>10</v>
      </c>
      <c r="C30" s="19" t="inlineStr">
        <is>
          <t>Termómetro</t>
        </is>
      </c>
      <c r="D30" s="27" t="n"/>
      <c r="E30" s="20" t="n">
        <v>8</v>
      </c>
      <c r="F30" s="20" t="n">
        <v>1</v>
      </c>
      <c r="G30" s="19" t="n"/>
      <c r="H30" s="27" t="n"/>
      <c r="I30" s="20" t="n"/>
      <c r="J30" s="20" t="n"/>
      <c r="K30" s="9" t="n"/>
      <c r="L30" s="9" t="n"/>
    </row>
    <row r="31" ht="18" customHeight="1">
      <c r="B31" s="9" t="n">
        <v>11</v>
      </c>
      <c r="C31" s="19" t="inlineStr">
        <is>
          <t>Plancha de calentamiento</t>
        </is>
      </c>
      <c r="D31" s="27" t="n"/>
      <c r="E31" s="20" t="n">
        <v>8</v>
      </c>
      <c r="F31" s="20" t="n">
        <v>1</v>
      </c>
      <c r="G31" s="19" t="n"/>
      <c r="H31" s="27" t="n"/>
      <c r="I31" s="20" t="n"/>
      <c r="J31" s="20" t="n"/>
      <c r="K31" s="9" t="n"/>
      <c r="L31" s="9" t="n"/>
    </row>
    <row r="32" ht="18" customHeight="1">
      <c r="B32" s="9" t="n">
        <v>12</v>
      </c>
      <c r="C32" s="19" t="inlineStr">
        <is>
          <t>pinzas</t>
        </is>
      </c>
      <c r="D32" s="27" t="n"/>
      <c r="E32" s="20" t="n">
        <v>8</v>
      </c>
      <c r="F32" s="20" t="n">
        <v>1</v>
      </c>
      <c r="G32" s="19" t="n"/>
      <c r="H32" s="27" t="n"/>
      <c r="I32" s="20" t="n"/>
      <c r="J32" s="20" t="n"/>
      <c r="K32" s="9" t="n"/>
      <c r="L32" s="9" t="n"/>
    </row>
    <row r="33" ht="18" customHeight="1">
      <c r="B33" s="9" t="n">
        <v>13</v>
      </c>
      <c r="C33" s="19" t="inlineStr">
        <is>
          <t>nueces</t>
        </is>
      </c>
      <c r="D33" s="27" t="n"/>
      <c r="E33" s="20" t="n">
        <v>8</v>
      </c>
      <c r="F33" s="20" t="n">
        <v>1</v>
      </c>
      <c r="G33" s="19" t="n"/>
      <c r="H33" s="27" t="n"/>
      <c r="I33" s="20" t="n"/>
      <c r="J33" s="20" t="n"/>
      <c r="K33" s="9" t="n"/>
      <c r="L33" s="9" t="n"/>
    </row>
    <row r="34" ht="18" customHeight="1">
      <c r="B34" s="9" t="n">
        <v>14</v>
      </c>
      <c r="C34" s="19" t="inlineStr">
        <is>
          <t>Beaker 50 mL</t>
        </is>
      </c>
      <c r="D34" s="27" t="n"/>
      <c r="E34" s="20" t="n">
        <v>16</v>
      </c>
      <c r="F34" s="20" t="n">
        <v>2</v>
      </c>
      <c r="G34" s="19" t="n"/>
      <c r="H34" s="27" t="n"/>
      <c r="I34" s="20" t="n"/>
      <c r="J34" s="20" t="n"/>
      <c r="K34" s="9" t="n"/>
      <c r="L34" s="9" t="n"/>
    </row>
    <row r="35" ht="18" customHeight="1">
      <c r="B35" s="9" t="n">
        <v>15</v>
      </c>
      <c r="C35" s="19" t="inlineStr">
        <is>
          <t>Placa cromatográfica</t>
        </is>
      </c>
      <c r="D35" s="27" t="n"/>
      <c r="E35" s="20" t="n">
        <v>32</v>
      </c>
      <c r="F35" s="20" t="n">
        <v>4</v>
      </c>
      <c r="G35" s="19" t="n"/>
      <c r="H35" s="27" t="n"/>
      <c r="I35" s="20" t="n"/>
      <c r="J35" s="20" t="n"/>
      <c r="K35" s="9" t="n"/>
      <c r="L35" s="9" t="n"/>
    </row>
    <row r="36" ht="18" customHeight="1">
      <c r="B36" s="9" t="n">
        <v>16</v>
      </c>
      <c r="C36" s="19" t="n"/>
      <c r="D36" s="27" t="n"/>
      <c r="E36" s="20" t="n"/>
      <c r="F36" s="20" t="n"/>
      <c r="G36" s="19" t="n"/>
      <c r="H36" s="27" t="n"/>
      <c r="I36" s="20" t="n"/>
      <c r="J36" s="20" t="n"/>
      <c r="K36" s="9" t="n"/>
      <c r="L36" s="9" t="n"/>
    </row>
    <row r="37" ht="18" customHeight="1">
      <c r="B37" s="9" t="n">
        <v>17</v>
      </c>
      <c r="C37" s="19" t="n"/>
      <c r="D37" s="27" t="n"/>
      <c r="E37" s="20" t="n"/>
      <c r="F37" s="20" t="n"/>
      <c r="G37" s="19" t="n"/>
      <c r="H37" s="27" t="n"/>
      <c r="I37" s="20" t="n"/>
      <c r="J37" s="20" t="n"/>
      <c r="K37" s="9" t="n"/>
      <c r="L37" s="9" t="n"/>
    </row>
    <row r="38" ht="18" customHeight="1">
      <c r="B38" s="9" t="n">
        <v>18</v>
      </c>
      <c r="C38" s="19" t="n"/>
      <c r="D38" s="27" t="n"/>
      <c r="E38" s="20" t="n"/>
      <c r="F38" s="20" t="n"/>
      <c r="G38" s="19" t="n"/>
      <c r="H38" s="27" t="n"/>
      <c r="I38" s="20" t="n"/>
      <c r="J38" s="20" t="n"/>
      <c r="K38" s="9" t="n"/>
      <c r="L38" s="9" t="n"/>
    </row>
    <row r="39" ht="18" customHeight="1">
      <c r="B39" s="9" t="n">
        <v>19</v>
      </c>
      <c r="C39" s="19" t="n"/>
      <c r="D39" s="27" t="n"/>
      <c r="E39" s="20" t="n"/>
      <c r="F39" s="20" t="n"/>
      <c r="G39" s="19" t="n"/>
      <c r="H39" s="27" t="n"/>
      <c r="I39" s="20" t="n"/>
      <c r="J39" s="20" t="n"/>
      <c r="K39" s="9" t="n"/>
      <c r="L39" s="9" t="n"/>
    </row>
    <row r="40" ht="18" customHeight="1">
      <c r="B40" s="9" t="n">
        <v>20</v>
      </c>
      <c r="C40" s="19" t="n"/>
      <c r="D40" s="27" t="n"/>
      <c r="E40" s="20" t="n"/>
      <c r="F40" s="20" t="n"/>
      <c r="G40" s="19" t="n"/>
      <c r="H40" s="27" t="n"/>
      <c r="I40" s="20" t="n"/>
      <c r="J40" s="20" t="n"/>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0" customHeight="1">
      <c r="C7" s="7" t="inlineStr">
        <is>
          <t>Programa académico *</t>
        </is>
      </c>
      <c r="D7" s="27" t="n"/>
      <c r="E7" s="9" t="n"/>
      <c r="F7" s="27" t="n"/>
      <c r="G7" s="9" t="inlineStr">
        <is>
          <t>Propiedades Químicas</t>
        </is>
      </c>
      <c r="H7" s="29" t="n"/>
      <c r="I7" s="29" t="n"/>
      <c r="J7" s="29" t="n"/>
      <c r="K7" s="29" t="n"/>
      <c r="L7" s="30" t="n"/>
    </row>
    <row r="8" ht="30"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45932</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45932</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98" customHeight="1">
      <c r="B21" s="9" t="n">
        <v>1</v>
      </c>
      <c r="C21" s="19" t="inlineStr">
        <is>
          <t>Tubos de ensayo</t>
        </is>
      </c>
      <c r="D21" s="27" t="n"/>
      <c r="E21" s="20" t="n">
        <v>32</v>
      </c>
      <c r="F21" s="20" t="n">
        <v>4</v>
      </c>
      <c r="G21" s="19" t="inlineStr">
        <is>
          <t>Zinc (Zn(s)), Magnesio (Mg(s)), Cobre (Cu(s)), Azufre (S(s)), Hierro (Fe(s)), Aluminio (Al(s)), Sodio (Na(s)), Mercurio (Hg(l)), Yodo (I(s)), Plomo (Pb(s)), Carbono grafito (C(graf)).</t>
        </is>
      </c>
      <c r="H21" s="27" t="n"/>
      <c r="I21" s="20" t="n">
        <v>16</v>
      </c>
      <c r="J21" s="20" t="n">
        <v>2</v>
      </c>
      <c r="K21" s="9" t="inlineStr">
        <is>
          <t>g</t>
        </is>
      </c>
      <c r="L21" s="9" t="n"/>
    </row>
    <row r="22" ht="98" customHeight="1">
      <c r="B22" s="9" t="n">
        <v>2</v>
      </c>
      <c r="C22" s="19" t="inlineStr">
        <is>
          <t>Cápsula de porcelana</t>
        </is>
      </c>
      <c r="D22" s="27" t="n"/>
      <c r="E22" s="20" t="n">
        <v>8</v>
      </c>
      <c r="F22" s="20" t="n">
        <v>1</v>
      </c>
      <c r="G22" s="19" t="inlineStr">
        <is>
          <t>yoduro de potasio (KI(sln)),  cloruro de sodio (NaCl(sln)), cloruro de calcio (CaCl2(sln)), cloruro de níquel (NiCl2(sln)), sulfato de cobre pentahidratado (CuSO4.5H2O(sln)), nitrato de bario ((Ba(NO3)2(sln)),</t>
        </is>
      </c>
      <c r="H22" s="27" t="n"/>
      <c r="I22" s="20" t="n">
        <v>50</v>
      </c>
      <c r="J22" s="20" t="n">
        <v>1</v>
      </c>
      <c r="K22" s="9" t="inlineStr">
        <is>
          <t>mL</t>
        </is>
      </c>
      <c r="L22" s="9" t="inlineStr">
        <is>
          <t>1 M</t>
        </is>
      </c>
    </row>
    <row r="23" ht="18" customHeight="1">
      <c r="B23" s="9" t="n">
        <v>3</v>
      </c>
      <c r="C23" s="19" t="inlineStr">
        <is>
          <t>Vidrio de reloj</t>
        </is>
      </c>
      <c r="D23" s="27" t="n"/>
      <c r="E23" s="20" t="n">
        <v>8</v>
      </c>
      <c r="F23" s="20" t="n">
        <v>1</v>
      </c>
      <c r="G23" s="19" t="inlineStr">
        <is>
          <t>NaOH</t>
        </is>
      </c>
      <c r="H23" s="27" t="n"/>
      <c r="I23" s="20" t="n">
        <v>50</v>
      </c>
      <c r="J23" s="20" t="n">
        <v>1</v>
      </c>
      <c r="K23" s="9" t="inlineStr">
        <is>
          <t>mL</t>
        </is>
      </c>
      <c r="L23" s="9" t="inlineStr">
        <is>
          <t>0,1 M</t>
        </is>
      </c>
    </row>
    <row r="24" ht="18" customHeight="1">
      <c r="B24" s="9" t="n">
        <v>4</v>
      </c>
      <c r="C24" s="19" t="inlineStr">
        <is>
          <t>Gradilla para tubos</t>
        </is>
      </c>
      <c r="D24" s="27" t="n"/>
      <c r="E24" s="20" t="n">
        <v>8</v>
      </c>
      <c r="F24" s="20" t="n">
        <v>1</v>
      </c>
      <c r="G24" s="19" t="inlineStr">
        <is>
          <t>NaI</t>
        </is>
      </c>
      <c r="H24" s="27" t="n"/>
      <c r="I24" s="20" t="n">
        <v>50</v>
      </c>
      <c r="J24" s="20" t="n">
        <v>1</v>
      </c>
      <c r="K24" s="9" t="inlineStr">
        <is>
          <t>mL</t>
        </is>
      </c>
      <c r="L24" s="9" t="inlineStr">
        <is>
          <t>0,1 M</t>
        </is>
      </c>
    </row>
    <row r="25" ht="18" customHeight="1">
      <c r="B25" s="9" t="n">
        <v>5</v>
      </c>
      <c r="C25" s="19" t="n"/>
      <c r="D25" s="27" t="n"/>
      <c r="E25" s="20" t="n"/>
      <c r="F25" s="20" t="n"/>
      <c r="G25" s="19" t="inlineStr">
        <is>
          <t>acetato  de  plomo  (Pb(CH3COO)2</t>
        </is>
      </c>
      <c r="H25" s="27" t="n"/>
      <c r="I25" s="20" t="n">
        <v>50</v>
      </c>
      <c r="J25" s="20" t="n">
        <v>1</v>
      </c>
      <c r="K25" s="9" t="inlineStr">
        <is>
          <t>mL</t>
        </is>
      </c>
      <c r="L25" s="9" t="inlineStr">
        <is>
          <t>0,1 M</t>
        </is>
      </c>
    </row>
    <row r="26" ht="18" customHeight="1">
      <c r="B26" s="9" t="n">
        <v>6</v>
      </c>
      <c r="C26" s="19" t="n"/>
      <c r="D26" s="27" t="n"/>
      <c r="E26" s="20" t="n"/>
      <c r="F26" s="20" t="n"/>
      <c r="G26" s="19" t="inlineStr">
        <is>
          <t>HCl</t>
        </is>
      </c>
      <c r="H26" s="27" t="n"/>
      <c r="I26" s="20" t="n">
        <v>50</v>
      </c>
      <c r="J26" s="20" t="n">
        <v>1</v>
      </c>
      <c r="K26" s="9" t="inlineStr">
        <is>
          <t>mL</t>
        </is>
      </c>
      <c r="L26" s="9" t="inlineStr">
        <is>
          <t>0,1 M, 1 M, 4 M</t>
        </is>
      </c>
    </row>
    <row r="27" ht="18" customHeight="1">
      <c r="B27" s="9" t="n">
        <v>7</v>
      </c>
      <c r="C27" s="19" t="n"/>
      <c r="D27" s="27" t="n"/>
      <c r="E27" s="20" t="n"/>
      <c r="F27" s="20" t="n"/>
      <c r="G27" s="19" t="inlineStr">
        <is>
          <t>HNO3</t>
        </is>
      </c>
      <c r="H27" s="27" t="n"/>
      <c r="I27" s="20" t="n">
        <v>50</v>
      </c>
      <c r="J27" s="20" t="n">
        <v>1</v>
      </c>
      <c r="K27" s="9" t="inlineStr">
        <is>
          <t>mL</t>
        </is>
      </c>
      <c r="L27" s="9" t="inlineStr">
        <is>
          <t>0,1 M, 1 M, 4 M</t>
        </is>
      </c>
    </row>
    <row r="28" ht="34" customHeight="1">
      <c r="B28" s="9" t="n">
        <v>8</v>
      </c>
      <c r="C28" s="19" t="n"/>
      <c r="D28" s="27" t="n"/>
      <c r="E28" s="20" t="n"/>
      <c r="F28" s="20" t="n"/>
      <c r="G28" s="19" t="inlineStr">
        <is>
          <t>Fenolftaleína, anaranjado de metilo, azul de timol</t>
        </is>
      </c>
      <c r="H28" s="27" t="n"/>
      <c r="I28" s="20" t="n">
        <v>20</v>
      </c>
      <c r="J28" s="20" t="n">
        <v>1</v>
      </c>
      <c r="K28" s="9" t="inlineStr">
        <is>
          <t>mL</t>
        </is>
      </c>
      <c r="L28" s="9" t="n"/>
    </row>
    <row r="29" ht="18" customHeight="1">
      <c r="B29" s="9" t="n">
        <v>9</v>
      </c>
      <c r="C29" s="19" t="n"/>
      <c r="D29" s="27" t="n"/>
      <c r="E29" s="20" t="n"/>
      <c r="F29" s="20" t="n"/>
      <c r="G29" s="19" t="n"/>
      <c r="H29" s="27" t="n"/>
      <c r="I29" s="20" t="n"/>
      <c r="J29" s="20" t="n"/>
      <c r="K29" s="9" t="n"/>
      <c r="L29" s="9" t="n"/>
    </row>
    <row r="30" ht="18" customHeight="1">
      <c r="B30" s="9" t="n">
        <v>10</v>
      </c>
      <c r="C30" s="19" t="n"/>
      <c r="D30" s="27" t="n"/>
      <c r="E30" s="20" t="n"/>
      <c r="F30" s="20" t="n"/>
      <c r="G30" s="19" t="n"/>
      <c r="H30" s="27" t="n"/>
      <c r="I30" s="20" t="n"/>
      <c r="J30" s="20" t="n"/>
      <c r="K30" s="9" t="n"/>
      <c r="L30" s="9" t="n"/>
    </row>
    <row r="31" ht="18" customHeight="1">
      <c r="B31" s="9" t="n">
        <v>11</v>
      </c>
      <c r="C31" s="19" t="n"/>
      <c r="D31" s="27" t="n"/>
      <c r="E31" s="20" t="n"/>
      <c r="F31" s="20" t="n"/>
      <c r="G31" s="19" t="n"/>
      <c r="H31" s="27" t="n"/>
      <c r="I31" s="20" t="n"/>
      <c r="J31" s="20" t="n"/>
      <c r="K31" s="9" t="n"/>
      <c r="L31" s="9" t="n"/>
    </row>
    <row r="32" ht="18" customHeight="1">
      <c r="B32" s="9" t="n">
        <v>12</v>
      </c>
      <c r="C32" s="19" t="n"/>
      <c r="D32" s="27" t="n"/>
      <c r="E32" s="20" t="n"/>
      <c r="F32" s="20" t="n"/>
      <c r="G32" s="19" t="n"/>
      <c r="H32" s="27" t="n"/>
      <c r="I32" s="20" t="n"/>
      <c r="J32" s="20" t="n"/>
      <c r="K32" s="9" t="n"/>
      <c r="L32" s="9" t="n"/>
    </row>
    <row r="33" ht="18" customHeight="1">
      <c r="B33" s="9" t="n">
        <v>13</v>
      </c>
      <c r="C33" s="19" t="n"/>
      <c r="D33" s="27" t="n"/>
      <c r="E33" s="20" t="n"/>
      <c r="F33" s="20" t="n"/>
      <c r="G33" s="19" t="n"/>
      <c r="H33" s="27" t="n"/>
      <c r="I33" s="20" t="n"/>
      <c r="J33" s="20" t="n"/>
      <c r="K33" s="9" t="n"/>
      <c r="L33" s="9" t="n"/>
    </row>
    <row r="34" ht="18" customHeight="1">
      <c r="B34" s="9" t="n">
        <v>14</v>
      </c>
      <c r="C34" s="19" t="n"/>
      <c r="D34" s="27" t="n"/>
      <c r="E34" s="20" t="n"/>
      <c r="F34" s="20" t="n"/>
      <c r="G34" s="19" t="n"/>
      <c r="H34" s="27" t="n"/>
      <c r="I34" s="20" t="n"/>
      <c r="J34" s="20" t="n"/>
      <c r="K34" s="9" t="n"/>
      <c r="L34" s="9" t="n"/>
    </row>
    <row r="35" ht="18" customHeight="1">
      <c r="B35" s="9" t="n">
        <v>15</v>
      </c>
      <c r="C35" s="19" t="n"/>
      <c r="D35" s="27" t="n"/>
      <c r="E35" s="20" t="n"/>
      <c r="F35" s="20" t="n"/>
      <c r="G35" s="19" t="n"/>
      <c r="H35" s="27" t="n"/>
      <c r="I35" s="20" t="n"/>
      <c r="J35" s="20" t="n"/>
      <c r="K35" s="9" t="n"/>
      <c r="L35" s="9" t="n"/>
    </row>
    <row r="36" ht="18" customHeight="1">
      <c r="B36" s="9" t="n">
        <v>16</v>
      </c>
      <c r="C36" s="19" t="n"/>
      <c r="D36" s="27" t="n"/>
      <c r="E36" s="20" t="n"/>
      <c r="F36" s="20" t="n"/>
      <c r="G36" s="19" t="n"/>
      <c r="H36" s="27" t="n"/>
      <c r="I36" s="20" t="n"/>
      <c r="J36" s="20" t="n"/>
      <c r="K36" s="9" t="n"/>
      <c r="L36" s="9" t="n"/>
    </row>
    <row r="37" ht="18" customHeight="1">
      <c r="B37" s="9" t="n">
        <v>17</v>
      </c>
      <c r="C37" s="19" t="n"/>
      <c r="D37" s="27" t="n"/>
      <c r="E37" s="20" t="n"/>
      <c r="F37" s="20" t="n"/>
      <c r="G37" s="19" t="n"/>
      <c r="H37" s="27" t="n"/>
      <c r="I37" s="20" t="n"/>
      <c r="J37" s="20" t="n"/>
      <c r="K37" s="9" t="n"/>
      <c r="L37" s="9" t="n"/>
    </row>
    <row r="38" ht="18" customHeight="1">
      <c r="B38" s="9" t="n">
        <v>18</v>
      </c>
      <c r="C38" s="19" t="n"/>
      <c r="D38" s="27" t="n"/>
      <c r="E38" s="20" t="n"/>
      <c r="F38" s="20" t="n"/>
      <c r="G38" s="19" t="n"/>
      <c r="H38" s="27" t="n"/>
      <c r="I38" s="20" t="n"/>
      <c r="J38" s="20" t="n"/>
      <c r="K38" s="9" t="n"/>
      <c r="L38" s="9" t="n"/>
    </row>
    <row r="39" ht="18" customHeight="1">
      <c r="B39" s="9" t="n">
        <v>19</v>
      </c>
      <c r="C39" s="19" t="n"/>
      <c r="D39" s="27" t="n"/>
      <c r="E39" s="20" t="n"/>
      <c r="F39" s="20" t="n"/>
      <c r="G39" s="19" t="n"/>
      <c r="H39" s="27" t="n"/>
      <c r="I39" s="20" t="n"/>
      <c r="J39" s="20" t="n"/>
      <c r="K39" s="9" t="n"/>
      <c r="L39" s="9" t="n"/>
    </row>
    <row r="40" ht="18" customHeight="1">
      <c r="B40" s="9" t="n">
        <v>20</v>
      </c>
      <c r="C40" s="19" t="n"/>
      <c r="D40" s="27" t="n"/>
      <c r="E40" s="20" t="n"/>
      <c r="F40" s="20" t="n"/>
      <c r="G40" s="19" t="n"/>
      <c r="H40" s="27" t="n"/>
      <c r="I40" s="20" t="n"/>
      <c r="J40" s="20" t="n"/>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0" customHeight="1">
      <c r="C7" s="7" t="inlineStr">
        <is>
          <t>Programa académico *</t>
        </is>
      </c>
      <c r="D7" s="27" t="n"/>
      <c r="E7" s="9" t="n"/>
      <c r="F7" s="27" t="n"/>
      <c r="G7" s="9" t="inlineStr">
        <is>
          <t>ESTEQUIOMETRIA: MÉTODO DE JOB</t>
        </is>
      </c>
      <c r="H7" s="29" t="n"/>
      <c r="I7" s="29" t="n"/>
      <c r="J7" s="29" t="n"/>
      <c r="K7" s="29" t="n"/>
      <c r="L7" s="30" t="n"/>
    </row>
    <row r="8" ht="30"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45939</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45939</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18" customHeight="1">
      <c r="B21" s="9" t="n">
        <v>1</v>
      </c>
      <c r="C21" s="19" t="inlineStr">
        <is>
          <t>Tubos de ensayo</t>
        </is>
      </c>
      <c r="D21" s="27" t="n"/>
      <c r="E21" s="20" t="n">
        <v>120</v>
      </c>
      <c r="F21" s="20" t="n">
        <v>15</v>
      </c>
      <c r="G21" s="19" t="inlineStr">
        <is>
          <t>NaOH (2M)</t>
        </is>
      </c>
      <c r="H21" s="27" t="n"/>
      <c r="I21" s="20" t="n">
        <v>300</v>
      </c>
      <c r="J21" s="20" t="n">
        <v>50</v>
      </c>
      <c r="K21" s="9" t="inlineStr">
        <is>
          <t>mL</t>
        </is>
      </c>
      <c r="L21" s="9" t="n"/>
    </row>
    <row r="22" ht="18" customHeight="1">
      <c r="B22" s="9" t="n">
        <v>2</v>
      </c>
      <c r="C22" s="19" t="inlineStr">
        <is>
          <t>Cápsula de porcelana</t>
        </is>
      </c>
      <c r="D22" s="27" t="n"/>
      <c r="E22" s="20" t="n">
        <v>8</v>
      </c>
      <c r="F22" s="20" t="n">
        <v>1</v>
      </c>
      <c r="G22" s="19" t="inlineStr">
        <is>
          <t>HCl (2M)</t>
        </is>
      </c>
      <c r="H22" s="27" t="n"/>
      <c r="I22" s="20" t="n">
        <v>300</v>
      </c>
      <c r="J22" s="20" t="n">
        <v>50</v>
      </c>
      <c r="K22" s="9" t="inlineStr">
        <is>
          <t>mL</t>
        </is>
      </c>
      <c r="L22" s="9" t="n"/>
    </row>
    <row r="23" ht="34" customHeight="1">
      <c r="B23" s="9" t="n">
        <v>3</v>
      </c>
      <c r="C23" s="19" t="inlineStr">
        <is>
          <t>Vidrio de reloj</t>
        </is>
      </c>
      <c r="D23" s="27" t="n"/>
      <c r="E23" s="20" t="n">
        <v>8</v>
      </c>
      <c r="F23" s="20" t="n">
        <v>1</v>
      </c>
      <c r="G23" s="19" t="inlineStr">
        <is>
          <t>Indicador ácido-base: naranja de metilo</t>
        </is>
      </c>
      <c r="H23" s="27" t="n"/>
      <c r="I23" s="20" t="n">
        <v>50</v>
      </c>
      <c r="J23" s="20">
        <f>IF(AND(ISNUMBER(I23),ISNUMBER($K$10),$K$10&gt;0),I23/$K$10,"")</f>
        <v/>
      </c>
      <c r="K23" s="9" t="inlineStr">
        <is>
          <t>mL</t>
        </is>
      </c>
      <c r="L23" s="9" t="n"/>
    </row>
    <row r="24" ht="18" customHeight="1">
      <c r="B24" s="9" t="n">
        <v>4</v>
      </c>
      <c r="C24" s="19" t="inlineStr">
        <is>
          <t>Gradilla para tubos</t>
        </is>
      </c>
      <c r="D24" s="27" t="n"/>
      <c r="E24" s="20" t="n"/>
      <c r="F24" s="20">
        <f>IF(AND(ISNUMBER(E24),ISNUMBER($K$10),$K$10&gt;0),E24/$K$10,"")</f>
        <v/>
      </c>
      <c r="G24" s="19" t="inlineStr">
        <is>
          <t>Indicador ácido-base: Fenolftaleína</t>
        </is>
      </c>
      <c r="H24" s="27" t="n"/>
      <c r="I24" s="20" t="n">
        <v>50</v>
      </c>
      <c r="J24" s="20">
        <f>IF(AND(ISNUMBER(I24),ISNUMBER($K$10),$K$10&gt;0),I24/$K$10,"")</f>
        <v/>
      </c>
      <c r="K24" s="9" t="inlineStr">
        <is>
          <t>mL</t>
        </is>
      </c>
      <c r="L24" s="9" t="n"/>
    </row>
    <row r="25" ht="18" customHeight="1">
      <c r="B25" s="9" t="n">
        <v>5</v>
      </c>
      <c r="C25" s="19" t="inlineStr">
        <is>
          <t>Termómetro</t>
        </is>
      </c>
      <c r="D25" s="27" t="n"/>
      <c r="E25" s="20" t="n">
        <v>8</v>
      </c>
      <c r="F25" s="20" t="n">
        <v>1</v>
      </c>
      <c r="G25" s="19" t="n"/>
      <c r="H25" s="27" t="n"/>
      <c r="I25" s="20" t="n"/>
      <c r="J25" s="20" t="n"/>
      <c r="K25" s="9" t="n"/>
      <c r="L25" s="9" t="n"/>
    </row>
    <row r="26" ht="18" customHeight="1">
      <c r="B26" s="9" t="n">
        <v>6</v>
      </c>
      <c r="C26" s="19" t="inlineStr">
        <is>
          <t>Pipeta graduada de 10 mL</t>
        </is>
      </c>
      <c r="D26" s="27" t="n"/>
      <c r="E26" s="20" t="n">
        <v>16</v>
      </c>
      <c r="F26" s="20" t="n">
        <v>2</v>
      </c>
      <c r="G26" s="19" t="n"/>
      <c r="H26" s="27" t="n"/>
      <c r="I26" s="20" t="n"/>
      <c r="J26" s="20" t="n"/>
      <c r="K26" s="9" t="n"/>
      <c r="L26" s="9" t="n"/>
    </row>
    <row r="27" ht="18" customHeight="1">
      <c r="B27" s="9" t="n">
        <v>7</v>
      </c>
      <c r="C27" s="19" t="n"/>
      <c r="D27" s="27" t="n"/>
      <c r="E27" s="20" t="n"/>
      <c r="F27" s="20" t="n"/>
      <c r="G27" s="19" t="n"/>
      <c r="H27" s="27" t="n"/>
      <c r="I27" s="20" t="n"/>
      <c r="J27" s="20" t="n"/>
      <c r="K27" s="9" t="n"/>
      <c r="L27" s="9" t="n"/>
    </row>
    <row r="28" ht="18" customHeight="1">
      <c r="B28" s="9" t="n">
        <v>8</v>
      </c>
      <c r="C28" s="19" t="n"/>
      <c r="D28" s="27" t="n"/>
      <c r="E28" s="20" t="n"/>
      <c r="F28" s="20" t="n"/>
      <c r="G28" s="19" t="n"/>
      <c r="H28" s="27" t="n"/>
      <c r="I28" s="20" t="n"/>
      <c r="J28" s="20" t="n"/>
      <c r="K28" s="9" t="n"/>
      <c r="L28" s="9" t="n"/>
    </row>
    <row r="29" ht="18" customHeight="1">
      <c r="B29" s="9" t="n">
        <v>9</v>
      </c>
      <c r="C29" s="19" t="n"/>
      <c r="D29" s="27" t="n"/>
      <c r="E29" s="20" t="n"/>
      <c r="F29" s="20" t="n"/>
      <c r="G29" s="19" t="n"/>
      <c r="H29" s="27" t="n"/>
      <c r="I29" s="20" t="n"/>
      <c r="J29" s="20" t="n"/>
      <c r="K29" s="9" t="n"/>
      <c r="L29" s="9" t="n"/>
    </row>
    <row r="30" ht="18" customHeight="1">
      <c r="B30" s="9" t="n">
        <v>10</v>
      </c>
      <c r="C30" s="19" t="n"/>
      <c r="D30" s="27" t="n"/>
      <c r="E30" s="20" t="n"/>
      <c r="F30" s="20" t="n"/>
      <c r="G30" s="19" t="n"/>
      <c r="H30" s="27" t="n"/>
      <c r="I30" s="20" t="n"/>
      <c r="J30" s="20" t="n"/>
      <c r="K30" s="9" t="n"/>
      <c r="L30" s="9" t="n"/>
    </row>
    <row r="31" ht="18" customHeight="1">
      <c r="B31" s="9" t="n">
        <v>11</v>
      </c>
      <c r="C31" s="19" t="n"/>
      <c r="D31" s="27" t="n"/>
      <c r="E31" s="20" t="n"/>
      <c r="F31" s="20" t="n"/>
      <c r="G31" s="19" t="n"/>
      <c r="H31" s="27" t="n"/>
      <c r="I31" s="20" t="n"/>
      <c r="J31" s="20" t="n"/>
      <c r="K31" s="9" t="n"/>
      <c r="L31" s="9" t="n"/>
    </row>
    <row r="32" ht="18" customHeight="1">
      <c r="B32" s="9" t="n">
        <v>12</v>
      </c>
      <c r="C32" s="19" t="n"/>
      <c r="D32" s="27" t="n"/>
      <c r="E32" s="20" t="n"/>
      <c r="F32" s="20" t="n"/>
      <c r="G32" s="19" t="n"/>
      <c r="H32" s="27" t="n"/>
      <c r="I32" s="20" t="n"/>
      <c r="J32" s="20" t="n"/>
      <c r="K32" s="9" t="n"/>
      <c r="L32" s="9" t="n"/>
    </row>
    <row r="33" ht="18" customHeight="1">
      <c r="B33" s="9" t="n">
        <v>13</v>
      </c>
      <c r="C33" s="19" t="n"/>
      <c r="D33" s="27" t="n"/>
      <c r="E33" s="20" t="n"/>
      <c r="F33" s="20" t="n"/>
      <c r="G33" s="19" t="n"/>
      <c r="H33" s="27" t="n"/>
      <c r="I33" s="20" t="n"/>
      <c r="J33" s="20" t="n"/>
      <c r="K33" s="9" t="n"/>
      <c r="L33" s="9" t="n"/>
    </row>
    <row r="34" ht="18" customHeight="1">
      <c r="B34" s="9" t="n">
        <v>14</v>
      </c>
      <c r="C34" s="19" t="n"/>
      <c r="D34" s="27" t="n"/>
      <c r="E34" s="20" t="n"/>
      <c r="F34" s="20" t="n"/>
      <c r="G34" s="19" t="n"/>
      <c r="H34" s="27" t="n"/>
      <c r="I34" s="20" t="n"/>
      <c r="J34" s="20" t="n"/>
      <c r="K34" s="9" t="n"/>
      <c r="L34" s="9" t="n"/>
    </row>
    <row r="35" ht="18" customHeight="1">
      <c r="B35" s="9" t="n">
        <v>15</v>
      </c>
      <c r="C35" s="19" t="n"/>
      <c r="D35" s="27" t="n"/>
      <c r="E35" s="20" t="n"/>
      <c r="F35" s="20" t="n"/>
      <c r="G35" s="19" t="n"/>
      <c r="H35" s="27" t="n"/>
      <c r="I35" s="20" t="n"/>
      <c r="J35" s="20" t="n"/>
      <c r="K35" s="9" t="n"/>
      <c r="L35" s="9" t="n"/>
    </row>
    <row r="36" ht="18" customHeight="1">
      <c r="B36" s="9" t="n">
        <v>16</v>
      </c>
      <c r="C36" s="19" t="n"/>
      <c r="D36" s="27" t="n"/>
      <c r="E36" s="20" t="n"/>
      <c r="F36" s="20" t="n"/>
      <c r="G36" s="19" t="n"/>
      <c r="H36" s="27" t="n"/>
      <c r="I36" s="20" t="n"/>
      <c r="J36" s="20" t="n"/>
      <c r="K36" s="9" t="n"/>
      <c r="L36" s="9" t="n"/>
    </row>
    <row r="37" ht="18" customHeight="1">
      <c r="B37" s="9" t="n">
        <v>17</v>
      </c>
      <c r="C37" s="19" t="n"/>
      <c r="D37" s="27" t="n"/>
      <c r="E37" s="20" t="n"/>
      <c r="F37" s="20" t="n"/>
      <c r="G37" s="19" t="n"/>
      <c r="H37" s="27" t="n"/>
      <c r="I37" s="20" t="n"/>
      <c r="J37" s="20" t="n"/>
      <c r="K37" s="9" t="n"/>
      <c r="L37" s="9" t="n"/>
    </row>
    <row r="38" ht="18" customHeight="1">
      <c r="B38" s="9" t="n">
        <v>18</v>
      </c>
      <c r="C38" s="19" t="n"/>
      <c r="D38" s="27" t="n"/>
      <c r="E38" s="20" t="n"/>
      <c r="F38" s="20" t="n"/>
      <c r="G38" s="19" t="n"/>
      <c r="H38" s="27" t="n"/>
      <c r="I38" s="20" t="n"/>
      <c r="J38" s="20" t="n"/>
      <c r="K38" s="9" t="n"/>
      <c r="L38" s="9" t="n"/>
    </row>
    <row r="39" ht="18" customHeight="1">
      <c r="B39" s="9" t="n">
        <v>19</v>
      </c>
      <c r="C39" s="19" t="n"/>
      <c r="D39" s="27" t="n"/>
      <c r="E39" s="20" t="n"/>
      <c r="F39" s="20" t="n"/>
      <c r="G39" s="19" t="n"/>
      <c r="H39" s="27" t="n"/>
      <c r="I39" s="20" t="n"/>
      <c r="J39" s="20" t="n"/>
      <c r="K39" s="9" t="n"/>
      <c r="L39" s="9" t="n"/>
    </row>
    <row r="40" ht="18" customHeight="1">
      <c r="B40" s="9" t="n">
        <v>20</v>
      </c>
      <c r="C40" s="19" t="n"/>
      <c r="D40" s="27" t="n"/>
      <c r="E40" s="20" t="n"/>
      <c r="F40" s="20" t="n"/>
      <c r="G40" s="19" t="n"/>
      <c r="H40" s="27" t="n"/>
      <c r="I40" s="20" t="n"/>
      <c r="J40" s="20" t="n"/>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0" customHeight="1">
      <c r="C7" s="7" t="inlineStr">
        <is>
          <t>Programa académico *</t>
        </is>
      </c>
      <c r="D7" s="27" t="n"/>
      <c r="E7" s="9" t="n"/>
      <c r="F7" s="27" t="n"/>
      <c r="G7" s="9" t="inlineStr">
        <is>
          <t>SOLUCIONES Parte 1</t>
        </is>
      </c>
      <c r="H7" s="29" t="n"/>
      <c r="I7" s="29" t="n"/>
      <c r="J7" s="29" t="n"/>
      <c r="K7" s="29" t="n"/>
      <c r="L7" s="30" t="n"/>
    </row>
    <row r="8" ht="30"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45946</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45946</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18" customHeight="1">
      <c r="B21" s="9" t="n">
        <v>1</v>
      </c>
      <c r="C21" s="19" t="inlineStr">
        <is>
          <t>Beaker con capacidad para 100 mL</t>
        </is>
      </c>
      <c r="D21" s="27" t="n"/>
      <c r="E21" s="20" t="n">
        <v>8</v>
      </c>
      <c r="F21" s="20" t="n">
        <v>1</v>
      </c>
      <c r="G21" s="19" t="inlineStr">
        <is>
          <t>Hidroxido de sodio</t>
        </is>
      </c>
      <c r="H21" s="27" t="n"/>
      <c r="I21" s="20" t="n">
        <v>1</v>
      </c>
      <c r="J21" s="20">
        <f>IF(AND(ISNUMBER(I21),ISNUMBER($K$10),$K$10&gt;0),I21/$K$10,"")</f>
        <v/>
      </c>
      <c r="K21" s="9" t="inlineStr">
        <is>
          <t>Reactivo sólido</t>
        </is>
      </c>
      <c r="L21" s="9" t="n"/>
    </row>
    <row r="22" ht="18" customHeight="1">
      <c r="B22" s="9" t="n">
        <v>2</v>
      </c>
      <c r="C22" s="19" t="inlineStr">
        <is>
          <t>Pipeta graduada</t>
        </is>
      </c>
      <c r="D22" s="27" t="n"/>
      <c r="E22" s="20" t="n">
        <v>8</v>
      </c>
      <c r="F22" s="20" t="n">
        <v>1</v>
      </c>
      <c r="G22" s="19" t="inlineStr">
        <is>
          <t>Ácido clorhídrico</t>
        </is>
      </c>
      <c r="H22" s="27" t="n"/>
      <c r="I22" s="20" t="n">
        <v>1</v>
      </c>
      <c r="J22" s="20">
        <f>IF(AND(ISNUMBER(I22),ISNUMBER($K$10),$K$10&gt;0),I22/$K$10,"")</f>
        <v/>
      </c>
      <c r="K22" s="9" t="inlineStr">
        <is>
          <t>Concentrado</t>
        </is>
      </c>
      <c r="L22" s="9" t="n"/>
    </row>
    <row r="23" ht="18" customHeight="1">
      <c r="B23" s="9" t="n">
        <v>3</v>
      </c>
      <c r="C23" s="19" t="inlineStr">
        <is>
          <t>Pipeta volumétrica</t>
        </is>
      </c>
      <c r="D23" s="27" t="n"/>
      <c r="E23" s="20" t="n">
        <v>8</v>
      </c>
      <c r="F23" s="20" t="n">
        <v>1</v>
      </c>
      <c r="G23" s="19" t="inlineStr">
        <is>
          <t>Agua destilada</t>
        </is>
      </c>
      <c r="H23" s="27" t="n"/>
      <c r="I23" s="20" t="n">
        <v>8</v>
      </c>
      <c r="J23" s="20" t="n">
        <v>1</v>
      </c>
      <c r="K23" s="9" t="inlineStr">
        <is>
          <t>Frasco lavador</t>
        </is>
      </c>
      <c r="L23" s="9" t="n"/>
    </row>
    <row r="24" ht="18" customHeight="1">
      <c r="B24" s="9" t="n">
        <v>4</v>
      </c>
      <c r="C24" s="19" t="inlineStr">
        <is>
          <t>Balanza digital</t>
        </is>
      </c>
      <c r="D24" s="27" t="n"/>
      <c r="E24" s="20" t="n">
        <v>2</v>
      </c>
      <c r="F24" s="20" t="n">
        <v>1</v>
      </c>
      <c r="G24" s="19" t="n"/>
      <c r="H24" s="27" t="n"/>
      <c r="I24" s="20" t="n"/>
      <c r="J24" s="20" t="n"/>
      <c r="K24" s="9" t="n"/>
      <c r="L24" s="9" t="n"/>
    </row>
    <row r="25" ht="18" customHeight="1">
      <c r="B25" s="9" t="n">
        <v>5</v>
      </c>
      <c r="C25" s="19" t="inlineStr">
        <is>
          <t>Cápsula de porcelana</t>
        </is>
      </c>
      <c r="D25" s="27" t="n"/>
      <c r="E25" s="20" t="n">
        <v>8</v>
      </c>
      <c r="F25" s="20" t="n">
        <v>1</v>
      </c>
      <c r="G25" s="19" t="n"/>
      <c r="H25" s="27" t="n"/>
      <c r="I25" s="20" t="n"/>
      <c r="J25" s="20" t="n"/>
      <c r="K25" s="9" t="n"/>
      <c r="L25" s="9" t="n"/>
    </row>
    <row r="26" ht="18" customHeight="1">
      <c r="B26" s="9" t="n">
        <v>6</v>
      </c>
      <c r="C26" s="19" t="inlineStr">
        <is>
          <t>Vidrio reloj</t>
        </is>
      </c>
      <c r="D26" s="27" t="n"/>
      <c r="E26" s="20" t="n">
        <v>8</v>
      </c>
      <c r="F26" s="20" t="n">
        <v>1</v>
      </c>
      <c r="G26" s="19" t="n"/>
      <c r="H26" s="27" t="n"/>
      <c r="I26" s="20" t="n"/>
      <c r="J26" s="20" t="n"/>
      <c r="K26" s="9" t="n"/>
      <c r="L26" s="9" t="n"/>
    </row>
    <row r="27" ht="18" customHeight="1">
      <c r="B27" s="9" t="n">
        <v>7</v>
      </c>
      <c r="C27" s="19" t="inlineStr">
        <is>
          <t>Plancha de calentamiento</t>
        </is>
      </c>
      <c r="D27" s="27" t="n"/>
      <c r="E27" s="20" t="n">
        <v>8</v>
      </c>
      <c r="F27" s="20" t="n">
        <v>1</v>
      </c>
      <c r="G27" s="19" t="n"/>
      <c r="H27" s="27" t="n"/>
      <c r="I27" s="20" t="n"/>
      <c r="J27" s="20" t="n"/>
      <c r="K27" s="9" t="n"/>
      <c r="L27" s="9" t="n"/>
    </row>
    <row r="28" ht="34" customHeight="1">
      <c r="B28" s="9" t="n">
        <v>8</v>
      </c>
      <c r="C28" s="19" t="inlineStr">
        <is>
          <t>Balón volumétrico con capacidad para 100 mL</t>
        </is>
      </c>
      <c r="D28" s="27" t="n"/>
      <c r="E28" s="20" t="n">
        <v>16</v>
      </c>
      <c r="F28" s="20" t="n">
        <v>2</v>
      </c>
      <c r="G28" s="19" t="n"/>
      <c r="H28" s="27" t="n"/>
      <c r="I28" s="20" t="n"/>
      <c r="J28" s="20" t="n"/>
      <c r="K28" s="9" t="n"/>
      <c r="L28" s="9" t="n"/>
    </row>
    <row r="29" ht="18" customHeight="1">
      <c r="B29" s="9" t="n">
        <v>9</v>
      </c>
      <c r="C29" s="19" t="inlineStr">
        <is>
          <t>Probeta graduada con capacidad de 50 mL</t>
        </is>
      </c>
      <c r="D29" s="27" t="n"/>
      <c r="E29" s="20" t="n">
        <v>8</v>
      </c>
      <c r="F29" s="20" t="n">
        <v>1</v>
      </c>
      <c r="G29" s="19" t="n"/>
      <c r="H29" s="27" t="n"/>
      <c r="I29" s="20" t="n"/>
      <c r="J29" s="20" t="n"/>
      <c r="K29" s="9" t="n"/>
      <c r="L29" s="9" t="n"/>
    </row>
    <row r="30" ht="18" customHeight="1">
      <c r="B30" s="9" t="n">
        <v>10</v>
      </c>
      <c r="C30" s="19" t="inlineStr">
        <is>
          <t>Beaker con capacidad para 200 mL</t>
        </is>
      </c>
      <c r="D30" s="27" t="n"/>
      <c r="E30" s="20" t="n">
        <v>8</v>
      </c>
      <c r="F30" s="20">
        <f>IF(AND(ISNUMBER(E30),ISNUMBER($K$10),$K$10&gt;0),E30/$K$10,"")</f>
        <v/>
      </c>
      <c r="G30" s="19" t="n"/>
      <c r="H30" s="27" t="n"/>
      <c r="I30" s="20" t="n"/>
      <c r="J30" s="20" t="n"/>
      <c r="K30" s="9" t="n"/>
      <c r="L30" s="9" t="n"/>
    </row>
    <row r="31" ht="18" customHeight="1">
      <c r="B31" s="9" t="n">
        <v>11</v>
      </c>
      <c r="C31" s="19" t="n"/>
      <c r="D31" s="27" t="n"/>
      <c r="E31" s="20" t="n"/>
      <c r="F31" s="20" t="n"/>
      <c r="G31" s="19" t="n"/>
      <c r="H31" s="27" t="n"/>
      <c r="I31" s="20" t="n"/>
      <c r="J31" s="20" t="n"/>
      <c r="K31" s="9" t="n"/>
      <c r="L31" s="9" t="n"/>
    </row>
    <row r="32" ht="18" customHeight="1">
      <c r="B32" s="9" t="n">
        <v>12</v>
      </c>
      <c r="C32" s="19" t="n"/>
      <c r="D32" s="27" t="n"/>
      <c r="E32" s="20" t="n"/>
      <c r="F32" s="20" t="n"/>
      <c r="G32" s="19" t="n"/>
      <c r="H32" s="27" t="n"/>
      <c r="I32" s="20" t="n"/>
      <c r="J32" s="20" t="n"/>
      <c r="K32" s="9" t="n"/>
      <c r="L32" s="9" t="n"/>
    </row>
    <row r="33" ht="18" customHeight="1">
      <c r="B33" s="9" t="n">
        <v>13</v>
      </c>
      <c r="C33" s="19" t="n"/>
      <c r="D33" s="27" t="n"/>
      <c r="E33" s="20" t="n"/>
      <c r="F33" s="20" t="n"/>
      <c r="G33" s="19" t="n"/>
      <c r="H33" s="27" t="n"/>
      <c r="I33" s="20" t="n"/>
      <c r="J33" s="20" t="n"/>
      <c r="K33" s="9" t="n"/>
      <c r="L33" s="9" t="n"/>
    </row>
    <row r="34" ht="18" customHeight="1">
      <c r="B34" s="9" t="n">
        <v>14</v>
      </c>
      <c r="C34" s="19" t="n"/>
      <c r="D34" s="27" t="n"/>
      <c r="E34" s="20" t="n"/>
      <c r="F34" s="20" t="n"/>
      <c r="G34" s="19" t="n"/>
      <c r="H34" s="27" t="n"/>
      <c r="I34" s="20" t="n"/>
      <c r="J34" s="20" t="n"/>
      <c r="K34" s="9" t="n"/>
      <c r="L34" s="9" t="n"/>
    </row>
    <row r="35" ht="18" customHeight="1">
      <c r="B35" s="9" t="n">
        <v>15</v>
      </c>
      <c r="C35" s="19" t="n"/>
      <c r="D35" s="27" t="n"/>
      <c r="E35" s="20" t="n"/>
      <c r="F35" s="20" t="n"/>
      <c r="G35" s="19" t="n"/>
      <c r="H35" s="27" t="n"/>
      <c r="I35" s="20" t="n"/>
      <c r="J35" s="20" t="n"/>
      <c r="K35" s="9" t="n"/>
      <c r="L35" s="9" t="n"/>
    </row>
    <row r="36" ht="18" customHeight="1">
      <c r="B36" s="9" t="n">
        <v>16</v>
      </c>
      <c r="C36" s="19" t="n"/>
      <c r="D36" s="27" t="n"/>
      <c r="E36" s="20" t="n"/>
      <c r="F36" s="20" t="n"/>
      <c r="G36" s="19" t="n"/>
      <c r="H36" s="27" t="n"/>
      <c r="I36" s="20" t="n"/>
      <c r="J36" s="20" t="n"/>
      <c r="K36" s="9" t="n"/>
      <c r="L36" s="9" t="n"/>
    </row>
    <row r="37" ht="18" customHeight="1">
      <c r="B37" s="9" t="n">
        <v>17</v>
      </c>
      <c r="C37" s="19" t="n"/>
      <c r="D37" s="27" t="n"/>
      <c r="E37" s="20" t="n"/>
      <c r="F37" s="20" t="n"/>
      <c r="G37" s="19" t="n"/>
      <c r="H37" s="27" t="n"/>
      <c r="I37" s="20" t="n"/>
      <c r="J37" s="20" t="n"/>
      <c r="K37" s="9" t="n"/>
      <c r="L37" s="9" t="n"/>
    </row>
    <row r="38" ht="18" customHeight="1">
      <c r="B38" s="9" t="n">
        <v>18</v>
      </c>
      <c r="C38" s="19" t="n"/>
      <c r="D38" s="27" t="n"/>
      <c r="E38" s="20" t="n"/>
      <c r="F38" s="20" t="n"/>
      <c r="G38" s="19" t="n"/>
      <c r="H38" s="27" t="n"/>
      <c r="I38" s="20" t="n"/>
      <c r="J38" s="20" t="n"/>
      <c r="K38" s="9" t="n"/>
      <c r="L38" s="9" t="n"/>
    </row>
    <row r="39" ht="18" customHeight="1">
      <c r="B39" s="9" t="n">
        <v>19</v>
      </c>
      <c r="C39" s="19" t="n"/>
      <c r="D39" s="27" t="n"/>
      <c r="E39" s="20" t="n"/>
      <c r="F39" s="20" t="n"/>
      <c r="G39" s="19" t="n"/>
      <c r="H39" s="27" t="n"/>
      <c r="I39" s="20" t="n"/>
      <c r="J39" s="20" t="n"/>
      <c r="K39" s="9" t="n"/>
      <c r="L39" s="9" t="n"/>
    </row>
    <row r="40" ht="18" customHeight="1">
      <c r="B40" s="9" t="n">
        <v>20</v>
      </c>
      <c r="C40" s="19" t="n"/>
      <c r="D40" s="27" t="n"/>
      <c r="E40" s="20" t="n"/>
      <c r="F40" s="20" t="n"/>
      <c r="G40" s="19" t="n"/>
      <c r="H40" s="27" t="n"/>
      <c r="I40" s="20" t="n"/>
      <c r="J40" s="20" t="n"/>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0" customHeight="1">
      <c r="C7" s="7" t="inlineStr">
        <is>
          <t>Programa académico *</t>
        </is>
      </c>
      <c r="D7" s="27" t="n"/>
      <c r="E7" s="9" t="n"/>
      <c r="F7" s="27" t="n"/>
      <c r="G7" s="9" t="inlineStr">
        <is>
          <t>SOLUCIONES Parte 2</t>
        </is>
      </c>
      <c r="H7" s="29" t="n"/>
      <c r="I7" s="29" t="n"/>
      <c r="J7" s="29" t="n"/>
      <c r="K7" s="29" t="n"/>
      <c r="L7" s="30" t="n"/>
    </row>
    <row r="8" ht="30"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45953</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45953</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18" customHeight="1">
      <c r="B21" s="9" t="n">
        <v>1</v>
      </c>
      <c r="C21" s="19" t="inlineStr">
        <is>
          <t>Bureta</t>
        </is>
      </c>
      <c r="D21" s="27" t="n"/>
      <c r="E21" s="20" t="n">
        <v>8</v>
      </c>
      <c r="F21" s="20" t="n">
        <v>1</v>
      </c>
      <c r="G21" s="19" t="inlineStr">
        <is>
          <t>Ftalato ácido de potasio</t>
        </is>
      </c>
      <c r="H21" s="27" t="n"/>
      <c r="I21" s="20" t="n">
        <v>1</v>
      </c>
      <c r="J21" s="20">
        <f>IF(AND(ISNUMBER(I21),ISNUMBER($K$10),$K$10&gt;0),I21/$K$10,"")</f>
        <v/>
      </c>
      <c r="K21" s="9" t="inlineStr">
        <is>
          <t>Reactivo sólido</t>
        </is>
      </c>
      <c r="L21" s="9" t="n"/>
    </row>
    <row r="22" ht="18" customHeight="1">
      <c r="B22" s="9" t="n">
        <v>2</v>
      </c>
      <c r="C22" s="19" t="inlineStr">
        <is>
          <t>Soporte universal</t>
        </is>
      </c>
      <c r="D22" s="27" t="n"/>
      <c r="E22" s="20" t="n">
        <v>8</v>
      </c>
      <c r="F22" s="20" t="n">
        <v>1</v>
      </c>
      <c r="G22" s="19" t="inlineStr">
        <is>
          <t>Hidroxido de sodio</t>
        </is>
      </c>
      <c r="H22" s="27" t="n"/>
      <c r="I22" s="20" t="n">
        <v>1</v>
      </c>
      <c r="J22" s="20">
        <f>IF(AND(ISNUMBER(I22),ISNUMBER($K$10),$K$10&gt;0),I22/$K$10,"")</f>
        <v/>
      </c>
      <c r="K22" s="9" t="inlineStr">
        <is>
          <t>Reactivo sólido</t>
        </is>
      </c>
      <c r="L22" s="9" t="n"/>
    </row>
    <row r="23" ht="18" customHeight="1">
      <c r="B23" s="9" t="n">
        <v>3</v>
      </c>
      <c r="C23" s="19" t="inlineStr">
        <is>
          <t>Pinzas</t>
        </is>
      </c>
      <c r="D23" s="27" t="n"/>
      <c r="E23" s="20" t="n">
        <v>16</v>
      </c>
      <c r="F23" s="20" t="n">
        <v>2</v>
      </c>
      <c r="G23" s="19" t="inlineStr">
        <is>
          <t>Fenolftaleina</t>
        </is>
      </c>
      <c r="H23" s="27" t="n"/>
      <c r="I23" s="20" t="n">
        <v>1</v>
      </c>
      <c r="J23" s="20">
        <f>IF(AND(ISNUMBER(I23),ISNUMBER($K$10),$K$10&gt;0),I23/$K$10,"")</f>
        <v/>
      </c>
      <c r="K23" s="9" t="inlineStr">
        <is>
          <t>gotero</t>
        </is>
      </c>
      <c r="L23" s="9" t="n"/>
    </row>
    <row r="24" ht="18" customHeight="1">
      <c r="B24" s="9" t="n">
        <v>4</v>
      </c>
      <c r="C24" s="19" t="inlineStr">
        <is>
          <t>nuéz</t>
        </is>
      </c>
      <c r="D24" s="27" t="n"/>
      <c r="E24" s="20" t="n">
        <v>16</v>
      </c>
      <c r="F24" s="20" t="n">
        <v>2</v>
      </c>
      <c r="G24" s="19" t="inlineStr">
        <is>
          <t>Cloruro de sodio</t>
        </is>
      </c>
      <c r="H24" s="27" t="n"/>
      <c r="I24" s="20" t="n">
        <v>3.4</v>
      </c>
      <c r="J24" s="20">
        <f>IF(AND(ISNUMBER(I24),ISNUMBER($K$10),$K$10&gt;0),I24/$K$10,"")</f>
        <v/>
      </c>
      <c r="K24" s="9" t="inlineStr">
        <is>
          <t>mol/L</t>
        </is>
      </c>
      <c r="L24" s="9" t="n"/>
    </row>
    <row r="25" ht="18" customHeight="1">
      <c r="B25" s="9" t="n">
        <v>5</v>
      </c>
      <c r="C25" s="19" t="inlineStr">
        <is>
          <t>Beaker con capacidad para 100 mL</t>
        </is>
      </c>
      <c r="D25" s="27" t="n"/>
      <c r="E25" s="20" t="n">
        <v>8</v>
      </c>
      <c r="F25" s="20" t="n">
        <v>1</v>
      </c>
      <c r="G25" s="19" t="inlineStr">
        <is>
          <t>Ácido clorhídrico</t>
        </is>
      </c>
      <c r="H25" s="27" t="n"/>
      <c r="I25" s="20" t="n">
        <v>1</v>
      </c>
      <c r="J25" s="20">
        <f>IF(AND(ISNUMBER(I25),ISNUMBER($K$10),$K$10&gt;0),I25/$K$10,"")</f>
        <v/>
      </c>
      <c r="K25" s="9" t="inlineStr">
        <is>
          <t>Concentrado</t>
        </is>
      </c>
      <c r="L25" s="9" t="n"/>
    </row>
    <row r="26" ht="18" customHeight="1">
      <c r="B26" s="9" t="n">
        <v>6</v>
      </c>
      <c r="C26" s="19" t="inlineStr">
        <is>
          <t>Pipeta graduada</t>
        </is>
      </c>
      <c r="D26" s="27" t="n"/>
      <c r="E26" s="20" t="n">
        <v>8</v>
      </c>
      <c r="F26" s="20" t="n">
        <v>1</v>
      </c>
      <c r="G26" s="19" t="inlineStr">
        <is>
          <t>Agua destilada</t>
        </is>
      </c>
      <c r="H26" s="27" t="n"/>
      <c r="I26" s="20" t="n">
        <v>8</v>
      </c>
      <c r="J26" s="20" t="n">
        <v>1</v>
      </c>
      <c r="K26" s="9" t="inlineStr">
        <is>
          <t>Frasco lavador</t>
        </is>
      </c>
      <c r="L26" s="9" t="n"/>
    </row>
    <row r="27" ht="18" customHeight="1">
      <c r="B27" s="9" t="n">
        <v>7</v>
      </c>
      <c r="C27" s="19" t="inlineStr">
        <is>
          <t>Pipeta volumétrica</t>
        </is>
      </c>
      <c r="D27" s="27" t="n"/>
      <c r="E27" s="20" t="n">
        <v>8</v>
      </c>
      <c r="F27" s="20" t="n">
        <v>1</v>
      </c>
      <c r="G27" s="19" t="n"/>
      <c r="H27" s="27" t="n"/>
      <c r="I27" s="20" t="n"/>
      <c r="J27" s="20" t="n"/>
      <c r="K27" s="9" t="n"/>
      <c r="L27" s="9" t="n"/>
    </row>
    <row r="28" ht="18" customHeight="1">
      <c r="B28" s="9" t="n">
        <v>8</v>
      </c>
      <c r="C28" s="19" t="inlineStr">
        <is>
          <t>Balanza digital</t>
        </is>
      </c>
      <c r="D28" s="27" t="n"/>
      <c r="E28" s="20" t="n">
        <v>2</v>
      </c>
      <c r="F28" s="20" t="n">
        <v>1</v>
      </c>
      <c r="G28" s="19" t="n"/>
      <c r="H28" s="27" t="n"/>
      <c r="I28" s="20" t="n"/>
      <c r="J28" s="20" t="n"/>
      <c r="K28" s="9" t="n"/>
      <c r="L28" s="9" t="n"/>
    </row>
    <row r="29" ht="18" customHeight="1">
      <c r="B29" s="9" t="n">
        <v>9</v>
      </c>
      <c r="C29" s="19" t="inlineStr">
        <is>
          <t>Cápsula de porcelana</t>
        </is>
      </c>
      <c r="D29" s="27" t="n"/>
      <c r="E29" s="20" t="n">
        <v>8</v>
      </c>
      <c r="F29" s="20" t="n">
        <v>1</v>
      </c>
      <c r="G29" s="19" t="n"/>
      <c r="H29" s="27" t="n"/>
      <c r="I29" s="20" t="n"/>
      <c r="J29" s="20" t="n"/>
      <c r="K29" s="9" t="n"/>
      <c r="L29" s="9" t="n"/>
    </row>
    <row r="30" ht="18" customHeight="1">
      <c r="B30" s="9" t="n">
        <v>10</v>
      </c>
      <c r="C30" s="19" t="inlineStr">
        <is>
          <t>Vidrio reloj</t>
        </is>
      </c>
      <c r="D30" s="27" t="n"/>
      <c r="E30" s="20" t="n">
        <v>8</v>
      </c>
      <c r="F30" s="20" t="n">
        <v>1</v>
      </c>
      <c r="G30" s="19" t="n"/>
      <c r="H30" s="27" t="n"/>
      <c r="I30" s="20" t="n"/>
      <c r="J30" s="20" t="n"/>
      <c r="K30" s="9" t="n"/>
      <c r="L30" s="9" t="n"/>
    </row>
    <row r="31" ht="18" customHeight="1">
      <c r="B31" s="9" t="n">
        <v>11</v>
      </c>
      <c r="C31" s="19" t="inlineStr">
        <is>
          <t>Plancha de calentamiento</t>
        </is>
      </c>
      <c r="D31" s="27" t="n"/>
      <c r="E31" s="20" t="n">
        <v>8</v>
      </c>
      <c r="F31" s="20" t="n">
        <v>1</v>
      </c>
      <c r="G31" s="19" t="n"/>
      <c r="H31" s="27" t="n"/>
      <c r="I31" s="20" t="n"/>
      <c r="J31" s="20" t="n"/>
      <c r="K31" s="9" t="n"/>
      <c r="L31" s="9" t="n"/>
    </row>
    <row r="32" ht="18" customHeight="1">
      <c r="B32" s="9" t="n">
        <v>12</v>
      </c>
      <c r="C32" s="19" t="inlineStr">
        <is>
          <t>Placa de calentamiento</t>
        </is>
      </c>
      <c r="D32" s="27" t="n"/>
      <c r="E32" s="20" t="n">
        <v>8</v>
      </c>
      <c r="F32" s="20" t="n">
        <v>1</v>
      </c>
      <c r="G32" s="19" t="n"/>
      <c r="H32" s="27" t="n"/>
      <c r="I32" s="20" t="n"/>
      <c r="J32" s="20" t="n"/>
      <c r="K32" s="9" t="n"/>
      <c r="L32" s="9" t="n"/>
    </row>
    <row r="33" ht="18" customHeight="1">
      <c r="B33" s="9" t="n">
        <v>13</v>
      </c>
      <c r="C33" s="19" t="inlineStr">
        <is>
          <t>Pinzas para crisol</t>
        </is>
      </c>
      <c r="D33" s="27" t="n"/>
      <c r="E33" s="20" t="n">
        <v>8</v>
      </c>
      <c r="F33" s="20" t="n">
        <v>1</v>
      </c>
      <c r="G33" s="19" t="n"/>
      <c r="H33" s="27" t="n"/>
      <c r="I33" s="20" t="n"/>
      <c r="J33" s="20" t="n"/>
      <c r="K33" s="9" t="n"/>
      <c r="L33" s="9" t="n"/>
    </row>
    <row r="34" ht="34" customHeight="1">
      <c r="B34" s="9" t="n">
        <v>14</v>
      </c>
      <c r="C34" s="19" t="inlineStr">
        <is>
          <t>Balón volumétrico con capacidad para 100 mL</t>
        </is>
      </c>
      <c r="D34" s="27" t="n"/>
      <c r="E34" s="20" t="n">
        <v>16</v>
      </c>
      <c r="F34" s="20" t="n">
        <v>2</v>
      </c>
      <c r="G34" s="19" t="n"/>
      <c r="H34" s="27" t="n"/>
      <c r="I34" s="20" t="n"/>
      <c r="J34" s="20" t="n"/>
      <c r="K34" s="9" t="n"/>
      <c r="L34" s="9" t="n"/>
    </row>
    <row r="35" ht="18" customHeight="1">
      <c r="B35" s="9" t="n">
        <v>15</v>
      </c>
      <c r="C35" s="19" t="inlineStr">
        <is>
          <t>Probeta graduada con capacidad de 50 mL</t>
        </is>
      </c>
      <c r="D35" s="27" t="n"/>
      <c r="E35" s="20" t="n">
        <v>8</v>
      </c>
      <c r="F35" s="20" t="n">
        <v>1</v>
      </c>
      <c r="G35" s="19" t="n"/>
      <c r="H35" s="27" t="n"/>
      <c r="I35" s="20" t="n"/>
      <c r="J35" s="20" t="n"/>
      <c r="K35" s="9" t="n"/>
      <c r="L35" s="9" t="n"/>
    </row>
    <row r="36" ht="18" customHeight="1">
      <c r="B36" s="9" t="n">
        <v>16</v>
      </c>
      <c r="C36" s="19" t="inlineStr">
        <is>
          <t>Beaker con capacidad para 200 mL</t>
        </is>
      </c>
      <c r="D36" s="27" t="n"/>
      <c r="E36" s="20" t="n">
        <v>8</v>
      </c>
      <c r="F36" s="20">
        <f>IF(AND(ISNUMBER(E36),ISNUMBER($K$10),$K$10&gt;0),E36/$K$10,"")</f>
        <v/>
      </c>
      <c r="G36" s="19" t="n"/>
      <c r="H36" s="27" t="n"/>
      <c r="I36" s="20" t="n"/>
      <c r="J36" s="20" t="n"/>
      <c r="K36" s="9" t="n"/>
      <c r="L36" s="9" t="n"/>
    </row>
    <row r="37" ht="18" customHeight="1">
      <c r="B37" s="9" t="n">
        <v>17</v>
      </c>
      <c r="C37" s="19" t="n"/>
      <c r="D37" s="27" t="n"/>
      <c r="E37" s="20" t="n"/>
      <c r="F37" s="20" t="n"/>
      <c r="G37" s="19" t="n"/>
      <c r="H37" s="27" t="n"/>
      <c r="I37" s="20" t="n"/>
      <c r="J37" s="20" t="n"/>
      <c r="K37" s="9" t="n"/>
      <c r="L37" s="9" t="n"/>
    </row>
    <row r="38" ht="18" customHeight="1">
      <c r="B38" s="9" t="n">
        <v>18</v>
      </c>
      <c r="C38" s="19" t="n"/>
      <c r="D38" s="27" t="n"/>
      <c r="E38" s="20" t="n"/>
      <c r="F38" s="20" t="n"/>
      <c r="G38" s="19" t="n"/>
      <c r="H38" s="27" t="n"/>
      <c r="I38" s="20" t="n"/>
      <c r="J38" s="20" t="n"/>
      <c r="K38" s="9" t="n"/>
      <c r="L38" s="9" t="n"/>
    </row>
    <row r="39" ht="18" customHeight="1">
      <c r="B39" s="9" t="n">
        <v>19</v>
      </c>
      <c r="C39" s="19" t="n"/>
      <c r="D39" s="27" t="n"/>
      <c r="E39" s="20" t="n"/>
      <c r="F39" s="20" t="n"/>
      <c r="G39" s="19" t="n"/>
      <c r="H39" s="27" t="n"/>
      <c r="I39" s="20" t="n"/>
      <c r="J39" s="20" t="n"/>
      <c r="K39" s="9" t="n"/>
      <c r="L39" s="9" t="n"/>
    </row>
    <row r="40" ht="18" customHeight="1">
      <c r="B40" s="9" t="n">
        <v>20</v>
      </c>
      <c r="C40" s="19" t="n"/>
      <c r="D40" s="27" t="n"/>
      <c r="E40" s="20" t="n"/>
      <c r="F40" s="20" t="n"/>
      <c r="G40" s="19" t="n"/>
      <c r="H40" s="27" t="n"/>
      <c r="I40" s="20" t="n"/>
      <c r="J40" s="20" t="n"/>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0" customHeight="1">
      <c r="C7" s="7" t="inlineStr">
        <is>
          <t>Programa académico *</t>
        </is>
      </c>
      <c r="D7" s="27" t="n"/>
      <c r="E7" s="9" t="n"/>
      <c r="F7" s="27" t="n"/>
      <c r="G7" s="9" t="inlineStr">
        <is>
          <t>Equilibrio Químico</t>
        </is>
      </c>
      <c r="H7" s="29" t="n"/>
      <c r="I7" s="29" t="n"/>
      <c r="J7" s="29" t="n"/>
      <c r="K7" s="29" t="n"/>
      <c r="L7" s="30" t="n"/>
    </row>
    <row r="8" ht="30"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45960</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45960</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18" customHeight="1">
      <c r="B21" s="9" t="n">
        <v>1</v>
      </c>
      <c r="C21" s="19" t="inlineStr">
        <is>
          <t>Beaker 100 mL</t>
        </is>
      </c>
      <c r="D21" s="27" t="n"/>
      <c r="E21" s="20" t="n"/>
      <c r="F21" s="20" t="n">
        <v>2</v>
      </c>
      <c r="G21" s="19" t="inlineStr">
        <is>
          <t>Ácido clorhídrico</t>
        </is>
      </c>
      <c r="H21" s="27" t="n"/>
      <c r="I21" s="20" t="n">
        <v>1</v>
      </c>
      <c r="J21" s="20" t="n">
        <v>100</v>
      </c>
      <c r="K21" s="9" t="inlineStr">
        <is>
          <t>mL</t>
        </is>
      </c>
      <c r="L21" s="9" t="inlineStr">
        <is>
          <t>2 M</t>
        </is>
      </c>
    </row>
    <row r="22" ht="18" customHeight="1">
      <c r="B22" s="9" t="n">
        <v>2</v>
      </c>
      <c r="C22" s="19" t="inlineStr">
        <is>
          <t>Pipeta pasteur</t>
        </is>
      </c>
      <c r="D22" s="27" t="n"/>
      <c r="E22" s="20" t="n"/>
      <c r="F22" s="20" t="n">
        <v>2</v>
      </c>
      <c r="G22" s="19" t="inlineStr">
        <is>
          <t>Hidroxido de sodio</t>
        </is>
      </c>
      <c r="H22" s="27" t="n"/>
      <c r="I22" s="20" t="n">
        <v>1</v>
      </c>
      <c r="J22" s="20" t="n">
        <v>100</v>
      </c>
      <c r="K22" s="9" t="inlineStr">
        <is>
          <t>mL</t>
        </is>
      </c>
      <c r="L22" s="9" t="inlineStr">
        <is>
          <t>2 M</t>
        </is>
      </c>
    </row>
    <row r="23" ht="18" customHeight="1">
      <c r="B23" s="9" t="n">
        <v>3</v>
      </c>
      <c r="C23" s="19" t="inlineStr">
        <is>
          <t>Capsula de porcelana</t>
        </is>
      </c>
      <c r="D23" s="27" t="n"/>
      <c r="E23" s="20" t="n"/>
      <c r="F23" s="20" t="n">
        <v>1</v>
      </c>
      <c r="G23" s="19" t="inlineStr">
        <is>
          <t>Dicromato de potasio</t>
        </is>
      </c>
      <c r="H23" s="27" t="n"/>
      <c r="I23" s="20" t="n">
        <v>1</v>
      </c>
      <c r="J23" s="20" t="n">
        <v>100</v>
      </c>
      <c r="K23" s="9" t="inlineStr">
        <is>
          <t>mL</t>
        </is>
      </c>
      <c r="L23" s="9" t="inlineStr">
        <is>
          <t>2 M</t>
        </is>
      </c>
    </row>
    <row r="24" ht="18" customHeight="1">
      <c r="B24" s="9" t="n">
        <v>4</v>
      </c>
      <c r="C24" s="19" t="inlineStr">
        <is>
          <t>Vidrio reloj</t>
        </is>
      </c>
      <c r="D24" s="27" t="n"/>
      <c r="E24" s="20" t="n"/>
      <c r="F24" s="20" t="n">
        <v>1</v>
      </c>
      <c r="G24" s="19" t="n"/>
      <c r="H24" s="27" t="n"/>
      <c r="I24" s="20" t="n"/>
      <c r="J24" s="20" t="n"/>
      <c r="K24" s="9" t="n"/>
      <c r="L24" s="9" t="n"/>
    </row>
    <row r="25" ht="18" customHeight="1">
      <c r="B25" s="9" t="n">
        <v>5</v>
      </c>
      <c r="C25" s="19" t="inlineStr">
        <is>
          <t>tubos de ensayo</t>
        </is>
      </c>
      <c r="D25" s="27" t="n"/>
      <c r="E25" s="20" t="n"/>
      <c r="F25" s="20" t="n">
        <v>10</v>
      </c>
      <c r="G25" s="19" t="n"/>
      <c r="H25" s="27" t="n"/>
      <c r="I25" s="20" t="n"/>
      <c r="J25" s="20" t="n"/>
      <c r="K25" s="9" t="n"/>
      <c r="L25" s="9" t="n"/>
    </row>
    <row r="26" ht="18" customHeight="1">
      <c r="B26" s="9" t="n">
        <v>6</v>
      </c>
      <c r="C26" s="19" t="inlineStr">
        <is>
          <t>Gradilla</t>
        </is>
      </c>
      <c r="D26" s="27" t="n"/>
      <c r="E26" s="20" t="n"/>
      <c r="F26" s="20" t="n">
        <v>1</v>
      </c>
      <c r="G26" s="19" t="n"/>
      <c r="H26" s="27" t="n"/>
      <c r="I26" s="20" t="n"/>
      <c r="J26" s="20" t="n"/>
      <c r="K26" s="9" t="n"/>
      <c r="L26" s="9" t="n"/>
    </row>
    <row r="27" ht="18" customHeight="1">
      <c r="B27" s="9" t="n">
        <v>7</v>
      </c>
      <c r="C27" s="19" t="n"/>
      <c r="D27" s="27" t="n"/>
      <c r="E27" s="20" t="n"/>
      <c r="F27" s="20" t="n"/>
      <c r="G27" s="19" t="n"/>
      <c r="H27" s="27" t="n"/>
      <c r="I27" s="20" t="n"/>
      <c r="J27" s="20" t="n"/>
      <c r="K27" s="9" t="n"/>
      <c r="L27" s="9" t="n"/>
    </row>
    <row r="28" ht="18" customHeight="1">
      <c r="B28" s="9" t="n">
        <v>8</v>
      </c>
      <c r="C28" s="19" t="n"/>
      <c r="D28" s="27" t="n"/>
      <c r="E28" s="20" t="n"/>
      <c r="F28" s="20" t="n"/>
      <c r="G28" s="19" t="n"/>
      <c r="H28" s="27" t="n"/>
      <c r="I28" s="20" t="n"/>
      <c r="J28" s="20" t="n"/>
      <c r="K28" s="9" t="n"/>
      <c r="L28" s="9" t="n"/>
    </row>
    <row r="29" ht="18" customHeight="1">
      <c r="B29" s="9" t="n">
        <v>9</v>
      </c>
      <c r="C29" s="19" t="n"/>
      <c r="D29" s="27" t="n"/>
      <c r="E29" s="20" t="n"/>
      <c r="F29" s="20" t="n"/>
      <c r="G29" s="19" t="n"/>
      <c r="H29" s="27" t="n"/>
      <c r="I29" s="20" t="n"/>
      <c r="J29" s="20" t="n"/>
      <c r="K29" s="9" t="n"/>
      <c r="L29" s="9" t="n"/>
    </row>
    <row r="30" ht="18" customHeight="1">
      <c r="B30" s="9" t="n">
        <v>10</v>
      </c>
      <c r="C30" s="19" t="n"/>
      <c r="D30" s="27" t="n"/>
      <c r="E30" s="20" t="n"/>
      <c r="F30" s="20" t="n"/>
      <c r="G30" s="19" t="n"/>
      <c r="H30" s="27" t="n"/>
      <c r="I30" s="20" t="n"/>
      <c r="J30" s="20" t="n"/>
      <c r="K30" s="9" t="n"/>
      <c r="L30" s="9" t="n"/>
    </row>
    <row r="31" ht="18" customHeight="1">
      <c r="B31" s="9" t="n">
        <v>11</v>
      </c>
      <c r="C31" s="19" t="n"/>
      <c r="D31" s="27" t="n"/>
      <c r="E31" s="20" t="n"/>
      <c r="F31" s="20" t="n"/>
      <c r="G31" s="19" t="n"/>
      <c r="H31" s="27" t="n"/>
      <c r="I31" s="20" t="n"/>
      <c r="J31" s="20" t="n"/>
      <c r="K31" s="9" t="n"/>
      <c r="L31" s="9" t="n"/>
    </row>
    <row r="32" ht="18" customHeight="1">
      <c r="B32" s="9" t="n">
        <v>12</v>
      </c>
      <c r="C32" s="19" t="n"/>
      <c r="D32" s="27" t="n"/>
      <c r="E32" s="20" t="n"/>
      <c r="F32" s="20" t="n"/>
      <c r="G32" s="19" t="n"/>
      <c r="H32" s="27" t="n"/>
      <c r="I32" s="20" t="n"/>
      <c r="J32" s="20" t="n"/>
      <c r="K32" s="9" t="n"/>
      <c r="L32" s="9" t="n"/>
    </row>
    <row r="33" ht="18" customHeight="1">
      <c r="B33" s="9" t="n">
        <v>13</v>
      </c>
      <c r="C33" s="19" t="n"/>
      <c r="D33" s="27" t="n"/>
      <c r="E33" s="20" t="n"/>
      <c r="F33" s="20" t="n"/>
      <c r="G33" s="19" t="n"/>
      <c r="H33" s="27" t="n"/>
      <c r="I33" s="20" t="n"/>
      <c r="J33" s="20" t="n"/>
      <c r="K33" s="9" t="n"/>
      <c r="L33" s="9" t="n"/>
    </row>
    <row r="34" ht="18" customHeight="1">
      <c r="B34" s="9" t="n">
        <v>14</v>
      </c>
      <c r="C34" s="19" t="n"/>
      <c r="D34" s="27" t="n"/>
      <c r="E34" s="20" t="n"/>
      <c r="F34" s="20" t="n"/>
      <c r="G34" s="19" t="n"/>
      <c r="H34" s="27" t="n"/>
      <c r="I34" s="20" t="n"/>
      <c r="J34" s="20" t="n"/>
      <c r="K34" s="9" t="n"/>
      <c r="L34" s="9" t="n"/>
    </row>
    <row r="35" ht="18" customHeight="1">
      <c r="B35" s="9" t="n">
        <v>15</v>
      </c>
      <c r="C35" s="19" t="n"/>
      <c r="D35" s="27" t="n"/>
      <c r="E35" s="20" t="n"/>
      <c r="F35" s="20" t="n"/>
      <c r="G35" s="19" t="n"/>
      <c r="H35" s="27" t="n"/>
      <c r="I35" s="20" t="n"/>
      <c r="J35" s="20" t="n"/>
      <c r="K35" s="9" t="n"/>
      <c r="L35" s="9" t="n"/>
    </row>
    <row r="36" ht="18" customHeight="1">
      <c r="B36" s="9" t="n">
        <v>16</v>
      </c>
      <c r="C36" s="19" t="n"/>
      <c r="D36" s="27" t="n"/>
      <c r="E36" s="20" t="n"/>
      <c r="F36" s="20" t="n"/>
      <c r="G36" s="19" t="n"/>
      <c r="H36" s="27" t="n"/>
      <c r="I36" s="20" t="n"/>
      <c r="J36" s="20" t="n"/>
      <c r="K36" s="9" t="n"/>
      <c r="L36" s="9" t="n"/>
    </row>
    <row r="37" ht="18" customHeight="1">
      <c r="B37" s="9" t="n">
        <v>17</v>
      </c>
      <c r="C37" s="19" t="n"/>
      <c r="D37" s="27" t="n"/>
      <c r="E37" s="20" t="n"/>
      <c r="F37" s="20" t="n"/>
      <c r="G37" s="19" t="n"/>
      <c r="H37" s="27" t="n"/>
      <c r="I37" s="20" t="n"/>
      <c r="J37" s="20" t="n"/>
      <c r="K37" s="9" t="n"/>
      <c r="L37" s="9" t="n"/>
    </row>
    <row r="38" ht="18" customHeight="1">
      <c r="B38" s="9" t="n">
        <v>18</v>
      </c>
      <c r="C38" s="19" t="n"/>
      <c r="D38" s="27" t="n"/>
      <c r="E38" s="20" t="n"/>
      <c r="F38" s="20" t="n"/>
      <c r="G38" s="19" t="n"/>
      <c r="H38" s="27" t="n"/>
      <c r="I38" s="20" t="n"/>
      <c r="J38" s="20" t="n"/>
      <c r="K38" s="9" t="n"/>
      <c r="L38" s="9" t="n"/>
    </row>
    <row r="39" ht="18" customHeight="1">
      <c r="B39" s="9" t="n">
        <v>19</v>
      </c>
      <c r="C39" s="19" t="n"/>
      <c r="D39" s="27" t="n"/>
      <c r="E39" s="20" t="n"/>
      <c r="F39" s="20" t="n"/>
      <c r="G39" s="19" t="n"/>
      <c r="H39" s="27" t="n"/>
      <c r="I39" s="20" t="n"/>
      <c r="J39" s="20" t="n"/>
      <c r="K39" s="9" t="n"/>
      <c r="L39" s="9" t="n"/>
    </row>
    <row r="40" ht="18" customHeight="1">
      <c r="B40" s="9" t="n">
        <v>20</v>
      </c>
      <c r="C40" s="19" t="n"/>
      <c r="D40" s="27" t="n"/>
      <c r="E40" s="20" t="n"/>
      <c r="F40" s="20" t="n"/>
      <c r="G40" s="19" t="n"/>
      <c r="H40" s="27" t="n"/>
      <c r="I40" s="20" t="n"/>
      <c r="J40" s="20" t="n"/>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4.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27" t="n"/>
      <c r="E6" s="9" t="n"/>
      <c r="F6" s="27" t="n"/>
      <c r="G6" s="11" t="inlineStr">
        <is>
          <t>Nombre de la práctica de laboratorio *</t>
        </is>
      </c>
      <c r="H6" s="28" t="n"/>
      <c r="I6" s="28" t="n"/>
      <c r="J6" s="28" t="n"/>
      <c r="K6" s="28" t="n"/>
      <c r="L6" s="27" t="n"/>
    </row>
    <row r="7" ht="30" customHeight="1">
      <c r="C7" s="7" t="inlineStr">
        <is>
          <t>Programa académico *</t>
        </is>
      </c>
      <c r="D7" s="27" t="n"/>
      <c r="E7" s="9" t="n"/>
      <c r="F7" s="27" t="n"/>
      <c r="G7" s="9" t="inlineStr">
        <is>
          <t>Análisis orgánico cualitativo</t>
        </is>
      </c>
      <c r="H7" s="29" t="n"/>
      <c r="I7" s="29" t="n"/>
      <c r="J7" s="29" t="n"/>
      <c r="K7" s="29" t="n"/>
      <c r="L7" s="30" t="n"/>
    </row>
    <row r="8" ht="30" customHeight="1">
      <c r="C8" s="7" t="inlineStr">
        <is>
          <t>Nombre del curso *</t>
        </is>
      </c>
      <c r="D8" s="27" t="n"/>
      <c r="E8" s="9" t="inlineStr">
        <is>
          <t>Fundamentos de Química</t>
        </is>
      </c>
      <c r="F8" s="27" t="n"/>
      <c r="G8" s="31" t="n"/>
      <c r="H8" s="32" t="n"/>
      <c r="I8" s="32" t="n"/>
      <c r="J8" s="32" t="n"/>
      <c r="K8" s="32" t="n"/>
      <c r="L8" s="33" t="n"/>
    </row>
    <row r="9" ht="22" customHeight="1">
      <c r="C9" s="7" t="inlineStr">
        <is>
          <t>Fecha de realización *</t>
        </is>
      </c>
      <c r="D9" s="27" t="n"/>
      <c r="E9" s="12" t="n">
        <v>45967</v>
      </c>
      <c r="F9" s="27" t="n"/>
      <c r="G9" s="7" t="inlineStr">
        <is>
          <t>Número de estudiantes *</t>
        </is>
      </c>
      <c r="H9" s="28" t="n"/>
      <c r="I9" s="28" t="n"/>
      <c r="J9" s="27" t="n"/>
      <c r="K9" s="9" t="n">
        <v>13</v>
      </c>
      <c r="L9" s="27" t="n"/>
    </row>
    <row r="10" ht="22" customHeight="1">
      <c r="C10" s="7" t="inlineStr">
        <is>
          <t>Hora de inicio *</t>
        </is>
      </c>
      <c r="D10" s="27" t="n"/>
      <c r="E10" s="13" t="n">
        <v>0.375</v>
      </c>
      <c r="F10" s="27" t="n"/>
      <c r="G10" s="7" t="inlineStr">
        <is>
          <t>Número de grupos de trabajo (mesas) *</t>
        </is>
      </c>
      <c r="H10" s="28" t="n"/>
      <c r="I10" s="28" t="n"/>
      <c r="J10" s="27" t="n"/>
      <c r="K10" s="9" t="n">
        <v>4</v>
      </c>
      <c r="L10" s="27" t="n"/>
    </row>
    <row r="11" ht="22" customHeight="1">
      <c r="C11" s="7" t="inlineStr">
        <is>
          <t>Hora de fin *</t>
        </is>
      </c>
      <c r="D11" s="27" t="n"/>
      <c r="E11" s="13" t="n">
        <v>0.5</v>
      </c>
      <c r="F11" s="27" t="n"/>
      <c r="G11" s="7" t="inlineStr">
        <is>
          <t>Agua destilada estimada por sesión (litros) *</t>
        </is>
      </c>
      <c r="H11" s="28" t="n"/>
      <c r="I11" s="28" t="n"/>
      <c r="J11" s="27" t="n"/>
      <c r="K11" s="14" t="n"/>
      <c r="L11" s="27" t="n"/>
    </row>
    <row r="13">
      <c r="C13" s="15" t="inlineStr">
        <is>
          <t>OTRAS JORNADAS DE LA MISMA PRÁCTICA (opcional: complete si se repite el mismo día u otro día)</t>
        </is>
      </c>
      <c r="D13" s="34" t="n"/>
      <c r="E13" s="34" t="n"/>
      <c r="F13" s="34" t="n"/>
      <c r="G13" s="34" t="n"/>
      <c r="H13" s="34" t="n"/>
      <c r="I13" s="34" t="n"/>
      <c r="J13" s="34" t="n"/>
      <c r="K13" s="34" t="n"/>
      <c r="L13" s="34"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45967</v>
      </c>
      <c r="D15" s="13" t="n">
        <v>0.5416666666666666</v>
      </c>
      <c r="E15" s="13" t="n">
        <v>0.6666666666666666</v>
      </c>
      <c r="F15" s="17" t="n">
        <v>12</v>
      </c>
      <c r="G15" s="17" t="n"/>
    </row>
    <row r="16">
      <c r="C16" s="12" t="n"/>
      <c r="D16" s="13" t="n"/>
      <c r="E16" s="13" t="n"/>
      <c r="F16" s="17" t="n"/>
      <c r="G16" s="17" t="n"/>
    </row>
    <row r="18">
      <c r="C18" s="15" t="inlineStr">
        <is>
          <t>EQUIPOS O VIDRIERÍA</t>
        </is>
      </c>
      <c r="D18" s="34" t="n"/>
      <c r="E18" s="34" t="n"/>
      <c r="F18" s="34" t="n"/>
      <c r="G18" s="15" t="inlineStr">
        <is>
          <t>REACTIVOS</t>
        </is>
      </c>
      <c r="H18" s="34" t="n"/>
      <c r="I18" s="34" t="n"/>
      <c r="J18" s="34" t="n"/>
      <c r="K18" s="34" t="n"/>
      <c r="L18" s="34"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27" t="n"/>
      <c r="E20" s="11" t="inlineStr">
        <is>
          <t>Cantidad total</t>
        </is>
      </c>
      <c r="F20" s="11" t="inlineStr">
        <is>
          <t>Cantidad x mesa</t>
        </is>
      </c>
      <c r="G20" s="11" t="inlineStr">
        <is>
          <t>Descripción</t>
        </is>
      </c>
      <c r="H20" s="27" t="n"/>
      <c r="I20" s="11" t="inlineStr">
        <is>
          <t>Cantidad total</t>
        </is>
      </c>
      <c r="J20" s="11" t="inlineStr">
        <is>
          <t>Cantidad x mesa</t>
        </is>
      </c>
      <c r="K20" s="11" t="inlineStr">
        <is>
          <t>Unidad de medida</t>
        </is>
      </c>
      <c r="L20" s="11" t="inlineStr">
        <is>
          <t>Concentración</t>
        </is>
      </c>
    </row>
    <row r="21" ht="18" customHeight="1">
      <c r="B21" s="9" t="n">
        <v>1</v>
      </c>
      <c r="C21" s="19" t="inlineStr">
        <is>
          <t>Tubos de ensayo con tapón</t>
        </is>
      </c>
      <c r="D21" s="27" t="n"/>
      <c r="E21" s="20" t="n"/>
      <c r="F21" s="20" t="n">
        <v>12</v>
      </c>
      <c r="G21" s="19" t="inlineStr">
        <is>
          <t>n-heptano (alcano)</t>
        </is>
      </c>
      <c r="H21" s="27" t="n"/>
      <c r="I21" s="20" t="n"/>
      <c r="J21" s="20">
        <f>IF(AND(ISNUMBER(I21),ISNUMBER($K$10),$K$10&gt;0),I21/$K$10,"")</f>
        <v/>
      </c>
      <c r="K21" s="9" t="n"/>
      <c r="L21" s="9" t="n"/>
    </row>
    <row r="22" ht="18" customHeight="1">
      <c r="B22" s="9" t="n">
        <v>2</v>
      </c>
      <c r="C22" s="19" t="inlineStr">
        <is>
          <t>Vasos de precipitado de 50 ml</t>
        </is>
      </c>
      <c r="D22" s="27" t="n"/>
      <c r="E22" s="20" t="n"/>
      <c r="F22" s="20" t="n">
        <v>2</v>
      </c>
      <c r="G22" s="19" t="inlineStr">
        <is>
          <t>Ciclohexeno (alqueno)</t>
        </is>
      </c>
      <c r="H22" s="27" t="n"/>
      <c r="I22" s="20" t="n"/>
      <c r="J22" s="20">
        <f>IF(AND(ISNUMBER(I22),ISNUMBER($K$10),$K$10&gt;0),I22/$K$10,"")</f>
        <v/>
      </c>
      <c r="K22" s="9" t="n"/>
      <c r="L22" s="9" t="n"/>
    </row>
    <row r="23" ht="18" customHeight="1">
      <c r="B23" s="9" t="n">
        <v>3</v>
      </c>
      <c r="C23" s="19" t="inlineStr">
        <is>
          <t>Pipeta graduada de 10 ml</t>
        </is>
      </c>
      <c r="D23" s="27" t="n"/>
      <c r="E23" s="20" t="n"/>
      <c r="F23" s="20" t="n">
        <v>2</v>
      </c>
      <c r="G23" s="19" t="inlineStr">
        <is>
          <t>Etanol o n-butanol (alcoholes)</t>
        </is>
      </c>
      <c r="H23" s="27" t="n"/>
      <c r="I23" s="20" t="n"/>
      <c r="J23" s="20">
        <f>IF(AND(ISNUMBER(I23),ISNUMBER($K$10),$K$10&gt;0),I23/$K$10,"")</f>
        <v/>
      </c>
      <c r="K23" s="9" t="n"/>
      <c r="L23" s="9" t="n"/>
    </row>
    <row r="24" ht="34" customHeight="1">
      <c r="B24" s="9" t="n">
        <v>4</v>
      </c>
      <c r="C24" s="19" t="inlineStr">
        <is>
          <t>Pipeta graduada de 5 ml</t>
        </is>
      </c>
      <c r="D24" s="27" t="n"/>
      <c r="E24" s="20" t="n"/>
      <c r="F24" s="20" t="n">
        <v>1</v>
      </c>
      <c r="G24" s="19" t="inlineStr">
        <is>
          <t>Propionaldehído o butiraldehído (aldehídos)</t>
        </is>
      </c>
      <c r="H24" s="27" t="n"/>
      <c r="I24" s="20" t="n"/>
      <c r="J24" s="20">
        <f>IF(AND(ISNUMBER(I24),ISNUMBER($K$10),$K$10&gt;0),I24/$K$10,"")</f>
        <v/>
      </c>
      <c r="K24" s="9" t="n"/>
      <c r="L24" s="9" t="n"/>
    </row>
    <row r="25" ht="18" customHeight="1">
      <c r="B25" s="9" t="n">
        <v>5</v>
      </c>
      <c r="C25" s="19" t="inlineStr">
        <is>
          <t>Matraces aforados de 100 ml</t>
        </is>
      </c>
      <c r="D25" s="27" t="n"/>
      <c r="E25" s="20" t="n"/>
      <c r="F25" s="20" t="n">
        <v>2</v>
      </c>
      <c r="G25" s="19" t="inlineStr">
        <is>
          <t>Acetona o 2-butanona (cetonas)</t>
        </is>
      </c>
      <c r="H25" s="27" t="n"/>
      <c r="I25" s="20" t="n"/>
      <c r="J25" s="20">
        <f>IF(AND(ISNUMBER(I25),ISNUMBER($K$10),$K$10&gt;0),I25/$K$10,"")</f>
        <v/>
      </c>
      <c r="K25" s="9" t="n"/>
      <c r="L25" s="9" t="n"/>
    </row>
    <row r="26" ht="34" customHeight="1">
      <c r="B26" s="9" t="n">
        <v>6</v>
      </c>
      <c r="C26" s="19" t="inlineStr">
        <is>
          <t>Matraces aforados de 50 ml</t>
        </is>
      </c>
      <c r="D26" s="27" t="n"/>
      <c r="E26" s="20" t="n"/>
      <c r="F26" s="20" t="n">
        <v>2</v>
      </c>
      <c r="G26" s="19" t="inlineStr">
        <is>
          <t>Ácido acético o ácido propiónico (ácidos carboxílicos)</t>
        </is>
      </c>
      <c r="H26" s="27" t="n"/>
      <c r="I26" s="20" t="n"/>
      <c r="J26" s="20">
        <f>IF(AND(ISNUMBER(I26),ISNUMBER($K$10),$K$10&gt;0),I26/$K$10,"")</f>
        <v/>
      </c>
      <c r="K26" s="9" t="n"/>
      <c r="L26" s="9" t="n"/>
    </row>
    <row r="27" ht="18" customHeight="1">
      <c r="B27" s="9" t="n">
        <v>7</v>
      </c>
      <c r="C27" s="19" t="inlineStr">
        <is>
          <t>Erlenmeyer de 50 ml</t>
        </is>
      </c>
      <c r="D27" s="27" t="n"/>
      <c r="E27" s="20" t="n"/>
      <c r="F27" s="20" t="n">
        <v>2</v>
      </c>
      <c r="G27" s="19" t="inlineStr">
        <is>
          <t>Dietilamina (aminas)</t>
        </is>
      </c>
      <c r="H27" s="27" t="n"/>
      <c r="I27" s="20" t="n"/>
      <c r="J27" s="20">
        <f>IF(AND(ISNUMBER(I27),ISNUMBER($K$10),$K$10&gt;0),I27/$K$10,"")</f>
        <v/>
      </c>
      <c r="K27" s="9" t="n"/>
      <c r="L27" s="9" t="n"/>
    </row>
    <row r="28" ht="18" customHeight="1">
      <c r="B28" s="9" t="n">
        <v>8</v>
      </c>
      <c r="C28" s="19" t="inlineStr">
        <is>
          <t>Varilla de vidrio</t>
        </is>
      </c>
      <c r="D28" s="27" t="n"/>
      <c r="E28" s="20" t="n"/>
      <c r="F28" s="20" t="n">
        <v>1</v>
      </c>
      <c r="G28" s="19" t="inlineStr">
        <is>
          <t>Permanganato de potasio, KMnO4</t>
        </is>
      </c>
      <c r="H28" s="27" t="n"/>
      <c r="I28" s="20" t="n"/>
      <c r="J28" s="20">
        <f>IF(AND(ISNUMBER(I28),ISNUMBER($K$10),$K$10&gt;0),I28/$K$10,"")</f>
        <v/>
      </c>
      <c r="K28" s="9" t="n"/>
      <c r="L28" s="9" t="n"/>
    </row>
    <row r="29" ht="18" customHeight="1">
      <c r="B29" s="9" t="n">
        <v>9</v>
      </c>
      <c r="C29" s="19" t="inlineStr">
        <is>
          <t>Espátula</t>
        </is>
      </c>
      <c r="D29" s="27" t="n"/>
      <c r="E29" s="20" t="n"/>
      <c r="F29" s="20" t="n">
        <v>1</v>
      </c>
      <c r="G29" s="19" t="inlineStr">
        <is>
          <t>Nitrato de plata, AgNO3</t>
        </is>
      </c>
      <c r="H29" s="27" t="n"/>
      <c r="I29" s="20" t="n"/>
      <c r="J29" s="20">
        <f>IF(AND(ISNUMBER(I29),ISNUMBER($K$10),$K$10&gt;0),I29/$K$10,"")</f>
        <v/>
      </c>
      <c r="K29" s="9" t="n"/>
      <c r="L29" s="9" t="n"/>
    </row>
    <row r="30" ht="18" customHeight="1">
      <c r="B30" s="9" t="n">
        <v>10</v>
      </c>
      <c r="C30" s="19" t="inlineStr">
        <is>
          <t>Gradilla para tubos de ensayo</t>
        </is>
      </c>
      <c r="D30" s="27" t="n"/>
      <c r="E30" s="20" t="n"/>
      <c r="F30" s="20" t="n">
        <v>1</v>
      </c>
      <c r="G30" s="19" t="inlineStr">
        <is>
          <t>Hidróxido de sodio,NaOH</t>
        </is>
      </c>
      <c r="H30" s="27" t="n"/>
      <c r="I30" s="20" t="n"/>
      <c r="J30" s="20">
        <f>IF(AND(ISNUMBER(I30),ISNUMBER($K$10),$K$10&gt;0),I30/$K$10,"")</f>
        <v/>
      </c>
      <c r="K30" s="9" t="n"/>
      <c r="L30" s="9" t="n"/>
    </row>
    <row r="31" ht="18" customHeight="1">
      <c r="B31" s="9" t="n">
        <v>11</v>
      </c>
      <c r="C31" s="19" t="n"/>
      <c r="D31" s="27" t="n"/>
      <c r="E31" s="20" t="n"/>
      <c r="F31" s="20" t="n"/>
      <c r="G31" s="19" t="inlineStr">
        <is>
          <t>Hidróxido de amonio, NH4OH</t>
        </is>
      </c>
      <c r="H31" s="27" t="n"/>
      <c r="I31" s="20" t="n"/>
      <c r="J31" s="20">
        <f>IF(AND(ISNUMBER(I31),ISNUMBER($K$10),$K$10&gt;0),I31/$K$10,"")</f>
        <v/>
      </c>
      <c r="K31" s="9" t="n"/>
      <c r="L31" s="9" t="n"/>
    </row>
    <row r="32" ht="18" customHeight="1">
      <c r="B32" s="9" t="n">
        <v>12</v>
      </c>
      <c r="C32" s="19" t="n"/>
      <c r="D32" s="27" t="n"/>
      <c r="E32" s="20" t="n"/>
      <c r="F32" s="20" t="n"/>
      <c r="G32" s="19" t="inlineStr">
        <is>
          <t>Etanol, C2H5OH</t>
        </is>
      </c>
      <c r="H32" s="27" t="n"/>
      <c r="I32" s="20" t="n"/>
      <c r="J32" s="20">
        <f>IF(AND(ISNUMBER(I32),ISNUMBER($K$10),$K$10&gt;0),I32/$K$10,"")</f>
        <v/>
      </c>
      <c r="K32" s="9" t="n"/>
      <c r="L32" s="9" t="n"/>
    </row>
    <row r="33" ht="18" customHeight="1">
      <c r="B33" s="9" t="n">
        <v>13</v>
      </c>
      <c r="C33" s="19" t="n"/>
      <c r="D33" s="27" t="n"/>
      <c r="E33" s="20" t="n"/>
      <c r="F33" s="20" t="n"/>
      <c r="G33" s="19" t="inlineStr">
        <is>
          <t>Ácido sulfúrico, H2SO4</t>
        </is>
      </c>
      <c r="H33" s="27" t="n"/>
      <c r="I33" s="20" t="n"/>
      <c r="J33" s="20">
        <f>IF(AND(ISNUMBER(I33),ISNUMBER($K$10),$K$10&gt;0),I33/$K$10,"")</f>
        <v/>
      </c>
      <c r="K33" s="9" t="n"/>
      <c r="L33" s="9" t="n"/>
    </row>
    <row r="34" ht="18" customHeight="1">
      <c r="B34" s="9" t="n">
        <v>14</v>
      </c>
      <c r="C34" s="19" t="n"/>
      <c r="D34" s="27" t="n"/>
      <c r="E34" s="20" t="n"/>
      <c r="F34" s="20" t="n"/>
      <c r="G34" s="19" t="inlineStr">
        <is>
          <t>Ácido nítrico, HNO3</t>
        </is>
      </c>
      <c r="H34" s="27" t="n"/>
      <c r="I34" s="20" t="n"/>
      <c r="J34" s="20">
        <f>IF(AND(ISNUMBER(I34),ISNUMBER($K$10),$K$10&gt;0),I34/$K$10,"")</f>
        <v/>
      </c>
      <c r="K34" s="9" t="n"/>
      <c r="L34" s="9" t="n"/>
    </row>
    <row r="35" ht="18" customHeight="1">
      <c r="B35" s="9" t="n">
        <v>15</v>
      </c>
      <c r="C35" s="19" t="n"/>
      <c r="D35" s="27" t="n"/>
      <c r="E35" s="20" t="n"/>
      <c r="F35" s="20" t="n"/>
      <c r="G35" s="19" t="inlineStr">
        <is>
          <t>2,4-dinitrofenilhidrazina</t>
        </is>
      </c>
      <c r="H35" s="27" t="n"/>
      <c r="I35" s="20" t="n"/>
      <c r="J35" s="20">
        <f>IF(AND(ISNUMBER(I35),ISNUMBER($K$10),$K$10&gt;0),I35/$K$10,"")</f>
        <v/>
      </c>
      <c r="K35" s="9" t="n"/>
      <c r="L35" s="9" t="n"/>
    </row>
    <row r="36" ht="18" customHeight="1">
      <c r="B36" s="9" t="n">
        <v>16</v>
      </c>
      <c r="C36" s="19" t="n"/>
      <c r="D36" s="27" t="n"/>
      <c r="E36" s="20" t="n"/>
      <c r="F36" s="20" t="n"/>
      <c r="G36" s="19" t="inlineStr">
        <is>
          <t>Sodio metálico, Na</t>
        </is>
      </c>
      <c r="H36" s="27" t="n"/>
      <c r="I36" s="20" t="n"/>
      <c r="J36" s="20">
        <f>IF(AND(ISNUMBER(I36),ISNUMBER($K$10),$K$10&gt;0),I36/$K$10,"")</f>
        <v/>
      </c>
      <c r="K36" s="9" t="n"/>
      <c r="L36" s="9" t="n"/>
    </row>
    <row r="37" ht="18" customHeight="1">
      <c r="B37" s="9" t="n">
        <v>17</v>
      </c>
      <c r="C37" s="19" t="n"/>
      <c r="D37" s="27" t="n"/>
      <c r="E37" s="20" t="n"/>
      <c r="F37" s="20" t="n"/>
      <c r="G37" s="19" t="inlineStr">
        <is>
          <t>Fenolftaleína</t>
        </is>
      </c>
      <c r="H37" s="27" t="n"/>
      <c r="I37" s="20" t="n"/>
      <c r="J37" s="20">
        <f>IF(AND(ISNUMBER(I37),ISNUMBER($K$10),$K$10&gt;0),I37/$K$10,"")</f>
        <v/>
      </c>
      <c r="K37" s="9" t="n"/>
      <c r="L37" s="9" t="n"/>
    </row>
    <row r="38" ht="18" customHeight="1">
      <c r="B38" s="9" t="n">
        <v>18</v>
      </c>
      <c r="C38" s="19" t="n"/>
      <c r="D38" s="27" t="n"/>
      <c r="E38" s="20" t="n"/>
      <c r="F38" s="20" t="n"/>
      <c r="G38" s="19" t="inlineStr">
        <is>
          <t>Rojo de metilo</t>
        </is>
      </c>
      <c r="H38" s="27" t="n"/>
      <c r="I38" s="20" t="n"/>
      <c r="J38" s="20">
        <f>IF(AND(ISNUMBER(I38),ISNUMBER($K$10),$K$10&gt;0),I38/$K$10,"")</f>
        <v/>
      </c>
      <c r="K38" s="9" t="n"/>
      <c r="L38" s="9" t="n"/>
    </row>
    <row r="39" ht="18" customHeight="1">
      <c r="B39" s="9" t="n">
        <v>19</v>
      </c>
      <c r="C39" s="19" t="n"/>
      <c r="D39" s="27" t="n"/>
      <c r="E39" s="20" t="n"/>
      <c r="F39" s="20" t="n"/>
      <c r="G39" s="19" t="inlineStr">
        <is>
          <t>Azul de bromotimol</t>
        </is>
      </c>
      <c r="H39" s="27" t="n"/>
      <c r="I39" s="20" t="n"/>
      <c r="J39" s="20">
        <f>IF(AND(ISNUMBER(I39),ISNUMBER($K$10),$K$10&gt;0),I39/$K$10,"")</f>
        <v/>
      </c>
      <c r="K39" s="9" t="n"/>
      <c r="L39" s="9" t="n"/>
    </row>
    <row r="40" ht="18" customHeight="1">
      <c r="B40" s="9" t="n">
        <v>20</v>
      </c>
      <c r="C40" s="19" t="n"/>
      <c r="D40" s="27" t="n"/>
      <c r="E40" s="20" t="n"/>
      <c r="F40" s="20" t="n"/>
      <c r="G40" s="19" t="inlineStr">
        <is>
          <t>Amarillo de metilo</t>
        </is>
      </c>
      <c r="H40" s="27" t="n"/>
      <c r="I40" s="20" t="n"/>
      <c r="J40" s="20">
        <f>IF(AND(ISNUMBER(I40),ISNUMBER($K$10),$K$10&gt;0),I40/$K$10,"")</f>
        <v/>
      </c>
      <c r="K40" s="9" t="n"/>
      <c r="L40" s="9" t="n"/>
    </row>
    <row r="41" ht="18" customHeight="1">
      <c r="B41" s="9" t="n">
        <v>21</v>
      </c>
      <c r="C41" s="19" t="n"/>
      <c r="D41" s="27" t="n"/>
      <c r="E41" s="20" t="n"/>
      <c r="F41" s="20" t="n"/>
      <c r="G41" s="19" t="n"/>
      <c r="H41" s="27" t="n"/>
      <c r="I41" s="20" t="n"/>
      <c r="J41" s="20" t="n"/>
      <c r="K41" s="9" t="n"/>
      <c r="L41" s="9" t="n"/>
    </row>
    <row r="42" ht="18" customHeight="1">
      <c r="B42" s="9" t="n">
        <v>22</v>
      </c>
      <c r="C42" s="19" t="n"/>
      <c r="D42" s="27" t="n"/>
      <c r="E42" s="20" t="n"/>
      <c r="F42" s="20" t="n"/>
      <c r="G42" s="19" t="n"/>
      <c r="H42" s="27" t="n"/>
      <c r="I42" s="20" t="n"/>
      <c r="J42" s="20" t="n"/>
      <c r="K42" s="9" t="n"/>
      <c r="L42" s="9" t="n"/>
    </row>
    <row r="43" ht="18" customHeight="1">
      <c r="B43" s="9" t="n">
        <v>23</v>
      </c>
      <c r="C43" s="19" t="n"/>
      <c r="D43" s="27" t="n"/>
      <c r="E43" s="20" t="n"/>
      <c r="F43" s="20" t="n"/>
      <c r="G43" s="19" t="n"/>
      <c r="H43" s="27" t="n"/>
      <c r="I43" s="20" t="n"/>
      <c r="J43" s="20" t="n"/>
      <c r="K43" s="9" t="n"/>
      <c r="L43" s="9" t="n"/>
    </row>
    <row r="44" ht="18" customHeight="1">
      <c r="B44" s="9" t="n">
        <v>24</v>
      </c>
      <c r="C44" s="19" t="n"/>
      <c r="D44" s="27" t="n"/>
      <c r="E44" s="20" t="n"/>
      <c r="F44" s="20" t="n"/>
      <c r="G44" s="19" t="n"/>
      <c r="H44" s="27" t="n"/>
      <c r="I44" s="20" t="n"/>
      <c r="J44" s="20" t="n"/>
      <c r="K44" s="9" t="n"/>
      <c r="L44" s="9" t="n"/>
    </row>
    <row r="45" ht="18" customHeight="1">
      <c r="B45" s="9" t="n">
        <v>25</v>
      </c>
      <c r="C45" s="19" t="n"/>
      <c r="D45" s="27" t="n"/>
      <c r="E45" s="20" t="n"/>
      <c r="F45" s="20" t="n"/>
      <c r="G45" s="19" t="n"/>
      <c r="H45" s="27" t="n"/>
      <c r="I45" s="20" t="n"/>
      <c r="J45" s="20" t="n"/>
      <c r="K45" s="9" t="n"/>
      <c r="L45" s="9" t="n"/>
    </row>
    <row r="46" ht="18" customHeight="1">
      <c r="B46" s="9" t="n">
        <v>26</v>
      </c>
      <c r="C46" s="19" t="n"/>
      <c r="D46" s="27" t="n"/>
      <c r="E46" s="20" t="n"/>
      <c r="F46" s="20" t="n"/>
      <c r="G46" s="19" t="n"/>
      <c r="H46" s="27" t="n"/>
      <c r="I46" s="20" t="n"/>
      <c r="J46" s="20" t="n"/>
      <c r="K46" s="9" t="n"/>
      <c r="L46" s="9" t="n"/>
    </row>
    <row r="47" ht="18" customHeight="1">
      <c r="B47" s="9" t="n">
        <v>27</v>
      </c>
      <c r="C47" s="19" t="n"/>
      <c r="D47" s="27" t="n"/>
      <c r="E47" s="20" t="n"/>
      <c r="F47" s="20" t="n"/>
      <c r="G47" s="19" t="n"/>
      <c r="H47" s="27" t="n"/>
      <c r="I47" s="20" t="n"/>
      <c r="J47" s="20" t="n"/>
      <c r="K47" s="9" t="n"/>
      <c r="L47" s="9" t="n"/>
    </row>
    <row r="48" ht="18" customHeight="1">
      <c r="B48" s="9" t="n">
        <v>28</v>
      </c>
      <c r="C48" s="19" t="n"/>
      <c r="D48" s="27" t="n"/>
      <c r="E48" s="20" t="n"/>
      <c r="F48" s="20" t="n"/>
      <c r="G48" s="19" t="n"/>
      <c r="H48" s="27" t="n"/>
      <c r="I48" s="20" t="n"/>
      <c r="J48" s="20" t="n"/>
      <c r="K48" s="9" t="n"/>
      <c r="L48" s="9" t="n"/>
    </row>
    <row r="49" ht="18" customHeight="1">
      <c r="B49" s="9" t="n">
        <v>29</v>
      </c>
      <c r="C49" s="19" t="n"/>
      <c r="D49" s="27" t="n"/>
      <c r="E49" s="20" t="n"/>
      <c r="F49" s="20" t="n"/>
      <c r="G49" s="19" t="n"/>
      <c r="H49" s="27" t="n"/>
      <c r="I49" s="20" t="n"/>
      <c r="J49" s="20" t="n"/>
      <c r="K49" s="9" t="n"/>
      <c r="L49" s="9" t="n"/>
    </row>
    <row r="50" ht="18" customHeight="1">
      <c r="B50" s="9" t="n">
        <v>30</v>
      </c>
      <c r="C50" s="19" t="n"/>
      <c r="D50" s="27" t="n"/>
      <c r="E50" s="20" t="n"/>
      <c r="F50" s="20" t="n"/>
      <c r="G50" s="19" t="n"/>
      <c r="H50" s="27" t="n"/>
      <c r="I50" s="20" t="n"/>
      <c r="J50" s="20" t="n"/>
      <c r="K50" s="9" t="n"/>
      <c r="L50" s="9" t="n"/>
    </row>
    <row r="51" ht="18" customHeight="1">
      <c r="B51" s="9" t="n">
        <v>31</v>
      </c>
      <c r="C51" s="19" t="n"/>
      <c r="D51" s="27" t="n"/>
      <c r="E51" s="20" t="n"/>
      <c r="F51" s="20" t="n"/>
      <c r="G51" s="19" t="n"/>
      <c r="H51" s="27" t="n"/>
      <c r="I51" s="20" t="n"/>
      <c r="J51" s="20" t="n"/>
      <c r="K51" s="9" t="n"/>
      <c r="L51" s="9" t="n"/>
    </row>
    <row r="52" ht="18" customHeight="1">
      <c r="B52" s="9" t="n">
        <v>32</v>
      </c>
      <c r="C52" s="19" t="n"/>
      <c r="D52" s="27" t="n"/>
      <c r="E52" s="20" t="n"/>
      <c r="F52" s="20" t="n"/>
      <c r="G52" s="19" t="n"/>
      <c r="H52" s="27" t="n"/>
      <c r="I52" s="20" t="n"/>
      <c r="J52" s="20" t="n"/>
      <c r="K52" s="9" t="n"/>
      <c r="L52" s="9" t="n"/>
    </row>
    <row r="53" ht="18" customHeight="1">
      <c r="B53" s="9" t="n">
        <v>33</v>
      </c>
      <c r="C53" s="19" t="n"/>
      <c r="D53" s="27" t="n"/>
      <c r="E53" s="20" t="n"/>
      <c r="F53" s="20" t="n"/>
      <c r="G53" s="19" t="n"/>
      <c r="H53" s="27" t="n"/>
      <c r="I53" s="20" t="n"/>
      <c r="J53" s="20" t="n"/>
      <c r="K53" s="9" t="n"/>
      <c r="L53" s="9" t="n"/>
    </row>
    <row r="54" ht="18" customHeight="1">
      <c r="B54" s="9" t="n">
        <v>34</v>
      </c>
      <c r="C54" s="19" t="n"/>
      <c r="D54" s="27" t="n"/>
      <c r="E54" s="20" t="n"/>
      <c r="F54" s="20" t="n"/>
      <c r="G54" s="19" t="n"/>
      <c r="H54" s="27" t="n"/>
      <c r="I54" s="20" t="n"/>
      <c r="J54" s="20" t="n"/>
      <c r="K54" s="9" t="n"/>
      <c r="L54" s="9" t="n"/>
    </row>
    <row r="55" ht="18" customHeight="1">
      <c r="B55" s="9" t="n">
        <v>35</v>
      </c>
      <c r="C55" s="19" t="n"/>
      <c r="D55" s="27" t="n"/>
      <c r="E55" s="20" t="n"/>
      <c r="F55" s="20" t="n"/>
      <c r="G55" s="19" t="n"/>
      <c r="H55" s="27"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35" t="n"/>
      <c r="D57" s="35" t="n"/>
      <c r="E57" s="35" t="n"/>
      <c r="F57" s="35" t="n"/>
      <c r="G57" s="35" t="n"/>
      <c r="H57" s="35" t="n"/>
      <c r="I57" s="35" t="n"/>
      <c r="J57" s="35" t="n"/>
      <c r="K57" s="35" t="n"/>
      <c r="L57" s="36" t="n"/>
    </row>
    <row r="58" ht="18" customHeight="1">
      <c r="B58" s="37" t="n"/>
      <c r="L58" s="38" t="n"/>
    </row>
    <row r="59" ht="18" customHeight="1">
      <c r="B59" s="37" t="n"/>
      <c r="L59" s="38" t="n"/>
    </row>
    <row r="60" ht="18" customHeight="1">
      <c r="B60" s="39" t="n"/>
      <c r="C60" s="34" t="n"/>
      <c r="D60" s="34" t="n"/>
      <c r="E60" s="34" t="n"/>
      <c r="F60" s="34" t="n"/>
      <c r="G60" s="34" t="n"/>
      <c r="H60" s="34" t="n"/>
      <c r="I60" s="34" t="n"/>
      <c r="J60" s="34" t="n"/>
      <c r="K60" s="34" t="n"/>
      <c r="L60" s="40"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2026-10-29T02:03:27Z</dcterms:created>
  <dcterms:modified xmlns:dcterms="http://purl.org/dc/terms/" xmlns:xsi="http://www.w3.org/2001/XMLSchema-instance" xsi:type="dcterms:W3CDTF">2026-10-29T03:39:05Z</dcterms:modified>
</cp:coreProperties>
</file>