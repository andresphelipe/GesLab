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ndres\Documents\GesLab\Inventario\GesLab_v2\"/>
    </mc:Choice>
  </mc:AlternateContent>
  <xr:revisionPtr revIDLastSave="0" documentId="8_{F693CDFA-FD4F-4C11-A974-52381109587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éame" sheetId="1" r:id="rId1"/>
    <sheet name="Listas" sheetId="2" r:id="rId2"/>
    <sheet name="Reactivos" sheetId="3" r:id="rId3"/>
    <sheet name="Movimientos" sheetId="4" r:id="rId4"/>
    <sheet name="Equipos" sheetId="5" r:id="rId5"/>
    <sheet name="Vidriería" sheetId="6" r:id="rId6"/>
    <sheet name="Roturas" sheetId="7" r:id="rId7"/>
  </sheets>
  <definedNames>
    <definedName name="_xlnm._FilterDatabase" localSheetId="4" hidden="1">Equipos!$A$1:$T$186</definedName>
    <definedName name="_xlnm._FilterDatabase" localSheetId="2" hidden="1">Reactivos!$A$1:$Z$435</definedName>
    <definedName name="_xlnm._FilterDatabase" localSheetId="5" hidden="1">Vidriería!$A$1:$M$301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01" i="7" l="1"/>
  <c r="C2000" i="7"/>
  <c r="C1999" i="7"/>
  <c r="C1998" i="7"/>
  <c r="C1997" i="7"/>
  <c r="C1996" i="7"/>
  <c r="C1995" i="7"/>
  <c r="C1994" i="7"/>
  <c r="C1993" i="7"/>
  <c r="C1992" i="7"/>
  <c r="C1991" i="7"/>
  <c r="C1990" i="7"/>
  <c r="C1989" i="7"/>
  <c r="C1988" i="7"/>
  <c r="C1987" i="7"/>
  <c r="C1986" i="7"/>
  <c r="C1985" i="7"/>
  <c r="C1984" i="7"/>
  <c r="C1983" i="7"/>
  <c r="C1982" i="7"/>
  <c r="C1981" i="7"/>
  <c r="C1980" i="7"/>
  <c r="C1979" i="7"/>
  <c r="C1978" i="7"/>
  <c r="C1977" i="7"/>
  <c r="C1976" i="7"/>
  <c r="C1975" i="7"/>
  <c r="C1974" i="7"/>
  <c r="C1973" i="7"/>
  <c r="C1972" i="7"/>
  <c r="C1971" i="7"/>
  <c r="C1970" i="7"/>
  <c r="C1969" i="7"/>
  <c r="C1968" i="7"/>
  <c r="C1967" i="7"/>
  <c r="C1966" i="7"/>
  <c r="C1965" i="7"/>
  <c r="C1964" i="7"/>
  <c r="C1963" i="7"/>
  <c r="C1962" i="7"/>
  <c r="C1961" i="7"/>
  <c r="C1960" i="7"/>
  <c r="C1959" i="7"/>
  <c r="C1958" i="7"/>
  <c r="C1957" i="7"/>
  <c r="C1956" i="7"/>
  <c r="C1955" i="7"/>
  <c r="C1954" i="7"/>
  <c r="C1953" i="7"/>
  <c r="C1952" i="7"/>
  <c r="C1951" i="7"/>
  <c r="C1950" i="7"/>
  <c r="C1949" i="7"/>
  <c r="C1948" i="7"/>
  <c r="C1947" i="7"/>
  <c r="C1946" i="7"/>
  <c r="C1945" i="7"/>
  <c r="C1944" i="7"/>
  <c r="C1943" i="7"/>
  <c r="C1942" i="7"/>
  <c r="C1941" i="7"/>
  <c r="C1940" i="7"/>
  <c r="C1939" i="7"/>
  <c r="C1938" i="7"/>
  <c r="C1937" i="7"/>
  <c r="C1936" i="7"/>
  <c r="C1935" i="7"/>
  <c r="C1934" i="7"/>
  <c r="C1933" i="7"/>
  <c r="C1932" i="7"/>
  <c r="C1931" i="7"/>
  <c r="C1930" i="7"/>
  <c r="C1929" i="7"/>
  <c r="C1928" i="7"/>
  <c r="C1927" i="7"/>
  <c r="C1926" i="7"/>
  <c r="C1925" i="7"/>
  <c r="C1924" i="7"/>
  <c r="C1923" i="7"/>
  <c r="C1922" i="7"/>
  <c r="C1921" i="7"/>
  <c r="C1920" i="7"/>
  <c r="C1919" i="7"/>
  <c r="C1918" i="7"/>
  <c r="C1917" i="7"/>
  <c r="C1916" i="7"/>
  <c r="C1915" i="7"/>
  <c r="C1914" i="7"/>
  <c r="C1913" i="7"/>
  <c r="C1912" i="7"/>
  <c r="C1911" i="7"/>
  <c r="C1910" i="7"/>
  <c r="C1909" i="7"/>
  <c r="C1908" i="7"/>
  <c r="C1907" i="7"/>
  <c r="C1906" i="7"/>
  <c r="C1905" i="7"/>
  <c r="C1904" i="7"/>
  <c r="C1903" i="7"/>
  <c r="C1902" i="7"/>
  <c r="C1901" i="7"/>
  <c r="C1900" i="7"/>
  <c r="C1899" i="7"/>
  <c r="C1898" i="7"/>
  <c r="C1897" i="7"/>
  <c r="C1896" i="7"/>
  <c r="C1895" i="7"/>
  <c r="C1894" i="7"/>
  <c r="C1893" i="7"/>
  <c r="C1892" i="7"/>
  <c r="C1891" i="7"/>
  <c r="C1890" i="7"/>
  <c r="C1889" i="7"/>
  <c r="C1888" i="7"/>
  <c r="C1887" i="7"/>
  <c r="C1886" i="7"/>
  <c r="C1885" i="7"/>
  <c r="C1884" i="7"/>
  <c r="C1883" i="7"/>
  <c r="C1882" i="7"/>
  <c r="C1881" i="7"/>
  <c r="C1880" i="7"/>
  <c r="C1879" i="7"/>
  <c r="C1878" i="7"/>
  <c r="C1877" i="7"/>
  <c r="C1876" i="7"/>
  <c r="C1875" i="7"/>
  <c r="C1874" i="7"/>
  <c r="C1873" i="7"/>
  <c r="C1872" i="7"/>
  <c r="C1871" i="7"/>
  <c r="C1870" i="7"/>
  <c r="C1869" i="7"/>
  <c r="C1868" i="7"/>
  <c r="C1867" i="7"/>
  <c r="C1866" i="7"/>
  <c r="C1865" i="7"/>
  <c r="C1864" i="7"/>
  <c r="C1863" i="7"/>
  <c r="C1862" i="7"/>
  <c r="C1861" i="7"/>
  <c r="C1860" i="7"/>
  <c r="C1859" i="7"/>
  <c r="C1858" i="7"/>
  <c r="C1857" i="7"/>
  <c r="C1856" i="7"/>
  <c r="C1855" i="7"/>
  <c r="C1854" i="7"/>
  <c r="C1853" i="7"/>
  <c r="C1852" i="7"/>
  <c r="C1851" i="7"/>
  <c r="C1850" i="7"/>
  <c r="C1849" i="7"/>
  <c r="C1848" i="7"/>
  <c r="C1847" i="7"/>
  <c r="C1846" i="7"/>
  <c r="C1845" i="7"/>
  <c r="C1844" i="7"/>
  <c r="C1843" i="7"/>
  <c r="C1842" i="7"/>
  <c r="C1841" i="7"/>
  <c r="C1840" i="7"/>
  <c r="C1839" i="7"/>
  <c r="C1838" i="7"/>
  <c r="C1837" i="7"/>
  <c r="C1836" i="7"/>
  <c r="C1835" i="7"/>
  <c r="C1834" i="7"/>
  <c r="C1833" i="7"/>
  <c r="C1832" i="7"/>
  <c r="C1831" i="7"/>
  <c r="C1830" i="7"/>
  <c r="C1829" i="7"/>
  <c r="C1828" i="7"/>
  <c r="C1827" i="7"/>
  <c r="C1826" i="7"/>
  <c r="C1825" i="7"/>
  <c r="C1824" i="7"/>
  <c r="C1823" i="7"/>
  <c r="C1822" i="7"/>
  <c r="C1821" i="7"/>
  <c r="C1820" i="7"/>
  <c r="C1819" i="7"/>
  <c r="C1818" i="7"/>
  <c r="C1817" i="7"/>
  <c r="C1816" i="7"/>
  <c r="C1815" i="7"/>
  <c r="C1814" i="7"/>
  <c r="C1813" i="7"/>
  <c r="C1812" i="7"/>
  <c r="C1811" i="7"/>
  <c r="C1810" i="7"/>
  <c r="C1809" i="7"/>
  <c r="C1808" i="7"/>
  <c r="C1807" i="7"/>
  <c r="C1806" i="7"/>
  <c r="C1805" i="7"/>
  <c r="C1804" i="7"/>
  <c r="C1803" i="7"/>
  <c r="C1802" i="7"/>
  <c r="C1801" i="7"/>
  <c r="C1800" i="7"/>
  <c r="C1799" i="7"/>
  <c r="C1798" i="7"/>
  <c r="C1797" i="7"/>
  <c r="C1796" i="7"/>
  <c r="C1795" i="7"/>
  <c r="C1794" i="7"/>
  <c r="C1793" i="7"/>
  <c r="C1792" i="7"/>
  <c r="C1791" i="7"/>
  <c r="C1790" i="7"/>
  <c r="C1789" i="7"/>
  <c r="C1788" i="7"/>
  <c r="C1787" i="7"/>
  <c r="C1786" i="7"/>
  <c r="C1785" i="7"/>
  <c r="C1784" i="7"/>
  <c r="C1783" i="7"/>
  <c r="C1782" i="7"/>
  <c r="C1781" i="7"/>
  <c r="C1780" i="7"/>
  <c r="C1779" i="7"/>
  <c r="C1778" i="7"/>
  <c r="C1777" i="7"/>
  <c r="C1776" i="7"/>
  <c r="C1775" i="7"/>
  <c r="C1774" i="7"/>
  <c r="C1773" i="7"/>
  <c r="C1772" i="7"/>
  <c r="C1771" i="7"/>
  <c r="C1770" i="7"/>
  <c r="C1769" i="7"/>
  <c r="C1768" i="7"/>
  <c r="C1767" i="7"/>
  <c r="C1766" i="7"/>
  <c r="C1765" i="7"/>
  <c r="C1764" i="7"/>
  <c r="C1763" i="7"/>
  <c r="C1762" i="7"/>
  <c r="C1761" i="7"/>
  <c r="C1760" i="7"/>
  <c r="C1759" i="7"/>
  <c r="C1758" i="7"/>
  <c r="C1757" i="7"/>
  <c r="C1756" i="7"/>
  <c r="C1755" i="7"/>
  <c r="C1754" i="7"/>
  <c r="C1753" i="7"/>
  <c r="C1752" i="7"/>
  <c r="C1751" i="7"/>
  <c r="C1750" i="7"/>
  <c r="C1749" i="7"/>
  <c r="C1748" i="7"/>
  <c r="C1747" i="7"/>
  <c r="C1746" i="7"/>
  <c r="C1745" i="7"/>
  <c r="C1744" i="7"/>
  <c r="C1743" i="7"/>
  <c r="C1742" i="7"/>
  <c r="C1741" i="7"/>
  <c r="C1740" i="7"/>
  <c r="C1739" i="7"/>
  <c r="C1738" i="7"/>
  <c r="C1737" i="7"/>
  <c r="C1736" i="7"/>
  <c r="C1735" i="7"/>
  <c r="C1734" i="7"/>
  <c r="C1733" i="7"/>
  <c r="C1732" i="7"/>
  <c r="C1731" i="7"/>
  <c r="C1730" i="7"/>
  <c r="C1729" i="7"/>
  <c r="C1728" i="7"/>
  <c r="C1727" i="7"/>
  <c r="C1726" i="7"/>
  <c r="C1725" i="7"/>
  <c r="C1724" i="7"/>
  <c r="C1723" i="7"/>
  <c r="C1722" i="7"/>
  <c r="C1721" i="7"/>
  <c r="C1720" i="7"/>
  <c r="C1719" i="7"/>
  <c r="C1718" i="7"/>
  <c r="C1717" i="7"/>
  <c r="C1716" i="7"/>
  <c r="C1715" i="7"/>
  <c r="C1714" i="7"/>
  <c r="C1713" i="7"/>
  <c r="C1712" i="7"/>
  <c r="C1711" i="7"/>
  <c r="C1710" i="7"/>
  <c r="C1709" i="7"/>
  <c r="C1708" i="7"/>
  <c r="C1707" i="7"/>
  <c r="C1706" i="7"/>
  <c r="C1705" i="7"/>
  <c r="C1704" i="7"/>
  <c r="C1703" i="7"/>
  <c r="C1702" i="7"/>
  <c r="C1701" i="7"/>
  <c r="C1700" i="7"/>
  <c r="C1699" i="7"/>
  <c r="C1698" i="7"/>
  <c r="C1697" i="7"/>
  <c r="C1696" i="7"/>
  <c r="C1695" i="7"/>
  <c r="C1694" i="7"/>
  <c r="C1693" i="7"/>
  <c r="C1692" i="7"/>
  <c r="C1691" i="7"/>
  <c r="C1690" i="7"/>
  <c r="C1689" i="7"/>
  <c r="C1688" i="7"/>
  <c r="C1687" i="7"/>
  <c r="C1686" i="7"/>
  <c r="C1685" i="7"/>
  <c r="C1684" i="7"/>
  <c r="C1683" i="7"/>
  <c r="C1682" i="7"/>
  <c r="C1681" i="7"/>
  <c r="C1680" i="7"/>
  <c r="C1679" i="7"/>
  <c r="C1678" i="7"/>
  <c r="C1677" i="7"/>
  <c r="C1676" i="7"/>
  <c r="C1675" i="7"/>
  <c r="C1674" i="7"/>
  <c r="C1673" i="7"/>
  <c r="C1672" i="7"/>
  <c r="C1671" i="7"/>
  <c r="C1670" i="7"/>
  <c r="C1669" i="7"/>
  <c r="C1668" i="7"/>
  <c r="C1667" i="7"/>
  <c r="C1666" i="7"/>
  <c r="C1665" i="7"/>
  <c r="C1664" i="7"/>
  <c r="C1663" i="7"/>
  <c r="C1662" i="7"/>
  <c r="C1661" i="7"/>
  <c r="C1660" i="7"/>
  <c r="C1659" i="7"/>
  <c r="C1658" i="7"/>
  <c r="C1657" i="7"/>
  <c r="C1656" i="7"/>
  <c r="C1655" i="7"/>
  <c r="C1654" i="7"/>
  <c r="C1653" i="7"/>
  <c r="C1652" i="7"/>
  <c r="C1651" i="7"/>
  <c r="C1650" i="7"/>
  <c r="C1649" i="7"/>
  <c r="C1648" i="7"/>
  <c r="C1647" i="7"/>
  <c r="C1646" i="7"/>
  <c r="C1645" i="7"/>
  <c r="C1644" i="7"/>
  <c r="C1643" i="7"/>
  <c r="C1642" i="7"/>
  <c r="C1641" i="7"/>
  <c r="C1640" i="7"/>
  <c r="C1639" i="7"/>
  <c r="C1638" i="7"/>
  <c r="C1637" i="7"/>
  <c r="C1636" i="7"/>
  <c r="C1635" i="7"/>
  <c r="C1634" i="7"/>
  <c r="C1633" i="7"/>
  <c r="C1632" i="7"/>
  <c r="C1631" i="7"/>
  <c r="C1630" i="7"/>
  <c r="C1629" i="7"/>
  <c r="C1628" i="7"/>
  <c r="C1627" i="7"/>
  <c r="C1626" i="7"/>
  <c r="C1625" i="7"/>
  <c r="C1624" i="7"/>
  <c r="C1623" i="7"/>
  <c r="C1622" i="7"/>
  <c r="C1621" i="7"/>
  <c r="C1620" i="7"/>
  <c r="C1619" i="7"/>
  <c r="C1618" i="7"/>
  <c r="C1617" i="7"/>
  <c r="C1616" i="7"/>
  <c r="C1615" i="7"/>
  <c r="C1614" i="7"/>
  <c r="C1613" i="7"/>
  <c r="C1612" i="7"/>
  <c r="C1611" i="7"/>
  <c r="C1610" i="7"/>
  <c r="C1609" i="7"/>
  <c r="C1608" i="7"/>
  <c r="C1607" i="7"/>
  <c r="C1606" i="7"/>
  <c r="C1605" i="7"/>
  <c r="C1604" i="7"/>
  <c r="C1603" i="7"/>
  <c r="C1602" i="7"/>
  <c r="C1601" i="7"/>
  <c r="C1600" i="7"/>
  <c r="C1599" i="7"/>
  <c r="C1598" i="7"/>
  <c r="C1597" i="7"/>
  <c r="C1596" i="7"/>
  <c r="C1595" i="7"/>
  <c r="C1594" i="7"/>
  <c r="C1593" i="7"/>
  <c r="C1592" i="7"/>
  <c r="C1591" i="7"/>
  <c r="C1590" i="7"/>
  <c r="C1589" i="7"/>
  <c r="C1588" i="7"/>
  <c r="C1587" i="7"/>
  <c r="C1586" i="7"/>
  <c r="C1585" i="7"/>
  <c r="C1584" i="7"/>
  <c r="C1583" i="7"/>
  <c r="C1582" i="7"/>
  <c r="C1581" i="7"/>
  <c r="C1580" i="7"/>
  <c r="C1579" i="7"/>
  <c r="C1578" i="7"/>
  <c r="C1577" i="7"/>
  <c r="C1576" i="7"/>
  <c r="C1575" i="7"/>
  <c r="C1574" i="7"/>
  <c r="C1573" i="7"/>
  <c r="C1572" i="7"/>
  <c r="C1571" i="7"/>
  <c r="C1570" i="7"/>
  <c r="C1569" i="7"/>
  <c r="C1568" i="7"/>
  <c r="C1567" i="7"/>
  <c r="C1566" i="7"/>
  <c r="C1565" i="7"/>
  <c r="C1564" i="7"/>
  <c r="C1563" i="7"/>
  <c r="C1562" i="7"/>
  <c r="C1561" i="7"/>
  <c r="C1560" i="7"/>
  <c r="C1559" i="7"/>
  <c r="C1558" i="7"/>
  <c r="C1557" i="7"/>
  <c r="C1556" i="7"/>
  <c r="C1555" i="7"/>
  <c r="C1554" i="7"/>
  <c r="C1553" i="7"/>
  <c r="C1552" i="7"/>
  <c r="C1551" i="7"/>
  <c r="C1550" i="7"/>
  <c r="C1549" i="7"/>
  <c r="C1548" i="7"/>
  <c r="C1547" i="7"/>
  <c r="C1546" i="7"/>
  <c r="C1545" i="7"/>
  <c r="C1544" i="7"/>
  <c r="C1543" i="7"/>
  <c r="C1542" i="7"/>
  <c r="C1541" i="7"/>
  <c r="C1540" i="7"/>
  <c r="C1539" i="7"/>
  <c r="C1538" i="7"/>
  <c r="C1537" i="7"/>
  <c r="C1536" i="7"/>
  <c r="C1535" i="7"/>
  <c r="C1534" i="7"/>
  <c r="C1533" i="7"/>
  <c r="C1532" i="7"/>
  <c r="C1531" i="7"/>
  <c r="C1530" i="7"/>
  <c r="C1529" i="7"/>
  <c r="C1528" i="7"/>
  <c r="C1527" i="7"/>
  <c r="C1526" i="7"/>
  <c r="C1525" i="7"/>
  <c r="C1524" i="7"/>
  <c r="C1523" i="7"/>
  <c r="C1522" i="7"/>
  <c r="C1521" i="7"/>
  <c r="C1520" i="7"/>
  <c r="C1519" i="7"/>
  <c r="C1518" i="7"/>
  <c r="C1517" i="7"/>
  <c r="C1516" i="7"/>
  <c r="C1515" i="7"/>
  <c r="C1514" i="7"/>
  <c r="C1513" i="7"/>
  <c r="C1512" i="7"/>
  <c r="C1511" i="7"/>
  <c r="C1510" i="7"/>
  <c r="C1509" i="7"/>
  <c r="C1508" i="7"/>
  <c r="C1507" i="7"/>
  <c r="C1506" i="7"/>
  <c r="C1505" i="7"/>
  <c r="C1504" i="7"/>
  <c r="C1503" i="7"/>
  <c r="C1502" i="7"/>
  <c r="C1501" i="7"/>
  <c r="C1500" i="7"/>
  <c r="C1499" i="7"/>
  <c r="C1498" i="7"/>
  <c r="C1497" i="7"/>
  <c r="C1496" i="7"/>
  <c r="C1495" i="7"/>
  <c r="C1494" i="7"/>
  <c r="C1493" i="7"/>
  <c r="C1492" i="7"/>
  <c r="C1491" i="7"/>
  <c r="C1490" i="7"/>
  <c r="C1489" i="7"/>
  <c r="C1488" i="7"/>
  <c r="C1487" i="7"/>
  <c r="C1486" i="7"/>
  <c r="C1485" i="7"/>
  <c r="C1484" i="7"/>
  <c r="C1483" i="7"/>
  <c r="C1482" i="7"/>
  <c r="C1481" i="7"/>
  <c r="C1480" i="7"/>
  <c r="C1479" i="7"/>
  <c r="C1478" i="7"/>
  <c r="C1477" i="7"/>
  <c r="C1476" i="7"/>
  <c r="C1475" i="7"/>
  <c r="C1474" i="7"/>
  <c r="C1473" i="7"/>
  <c r="C1472" i="7"/>
  <c r="C1471" i="7"/>
  <c r="C1470" i="7"/>
  <c r="C1469" i="7"/>
  <c r="C1468" i="7"/>
  <c r="C1467" i="7"/>
  <c r="C1466" i="7"/>
  <c r="C1465" i="7"/>
  <c r="C1464" i="7"/>
  <c r="C1463" i="7"/>
  <c r="C1462" i="7"/>
  <c r="C1461" i="7"/>
  <c r="C1460" i="7"/>
  <c r="C1459" i="7"/>
  <c r="C1458" i="7"/>
  <c r="C1457" i="7"/>
  <c r="C1456" i="7"/>
  <c r="C1455" i="7"/>
  <c r="C1454" i="7"/>
  <c r="C1453" i="7"/>
  <c r="C1452" i="7"/>
  <c r="C1451" i="7"/>
  <c r="C1450" i="7"/>
  <c r="C1449" i="7"/>
  <c r="C1448" i="7"/>
  <c r="C1447" i="7"/>
  <c r="C1446" i="7"/>
  <c r="C1445" i="7"/>
  <c r="C1444" i="7"/>
  <c r="C1443" i="7"/>
  <c r="C1442" i="7"/>
  <c r="C1441" i="7"/>
  <c r="C1440" i="7"/>
  <c r="C1439" i="7"/>
  <c r="C1438" i="7"/>
  <c r="C1437" i="7"/>
  <c r="C1436" i="7"/>
  <c r="C1435" i="7"/>
  <c r="C1434" i="7"/>
  <c r="C1433" i="7"/>
  <c r="C1432" i="7"/>
  <c r="C1431" i="7"/>
  <c r="C1430" i="7"/>
  <c r="C1429" i="7"/>
  <c r="C1428" i="7"/>
  <c r="C1427" i="7"/>
  <c r="C1426" i="7"/>
  <c r="C1425" i="7"/>
  <c r="C1424" i="7"/>
  <c r="C1423" i="7"/>
  <c r="C1422" i="7"/>
  <c r="C1421" i="7"/>
  <c r="C1420" i="7"/>
  <c r="C1419" i="7"/>
  <c r="C1418" i="7"/>
  <c r="C1417" i="7"/>
  <c r="C1416" i="7"/>
  <c r="C1415" i="7"/>
  <c r="C1414" i="7"/>
  <c r="C1413" i="7"/>
  <c r="C1412" i="7"/>
  <c r="C1411" i="7"/>
  <c r="C1410" i="7"/>
  <c r="C1409" i="7"/>
  <c r="C1408" i="7"/>
  <c r="C1407" i="7"/>
  <c r="C1406" i="7"/>
  <c r="C1405" i="7"/>
  <c r="C1404" i="7"/>
  <c r="C1403" i="7"/>
  <c r="C1402" i="7"/>
  <c r="C1401" i="7"/>
  <c r="C1400" i="7"/>
  <c r="C1399" i="7"/>
  <c r="C1398" i="7"/>
  <c r="C1397" i="7"/>
  <c r="C1396" i="7"/>
  <c r="C1395" i="7"/>
  <c r="C1394" i="7"/>
  <c r="C1393" i="7"/>
  <c r="C1392" i="7"/>
  <c r="C1391" i="7"/>
  <c r="C1390" i="7"/>
  <c r="C1389" i="7"/>
  <c r="C1388" i="7"/>
  <c r="C1387" i="7"/>
  <c r="C1386" i="7"/>
  <c r="C1385" i="7"/>
  <c r="C1384" i="7"/>
  <c r="C1383" i="7"/>
  <c r="C1382" i="7"/>
  <c r="C1381" i="7"/>
  <c r="C1380" i="7"/>
  <c r="C1379" i="7"/>
  <c r="C1378" i="7"/>
  <c r="C1377" i="7"/>
  <c r="C1376" i="7"/>
  <c r="C1375" i="7"/>
  <c r="C1374" i="7"/>
  <c r="C1373" i="7"/>
  <c r="C1372" i="7"/>
  <c r="C1371" i="7"/>
  <c r="C1370" i="7"/>
  <c r="C1369" i="7"/>
  <c r="C1368" i="7"/>
  <c r="C1367" i="7"/>
  <c r="C1366" i="7"/>
  <c r="C1365" i="7"/>
  <c r="C1364" i="7"/>
  <c r="C1363" i="7"/>
  <c r="C1362" i="7"/>
  <c r="C1361" i="7"/>
  <c r="C1360" i="7"/>
  <c r="C1359" i="7"/>
  <c r="C1358" i="7"/>
  <c r="C1357" i="7"/>
  <c r="C1356" i="7"/>
  <c r="C1355" i="7"/>
  <c r="C1354" i="7"/>
  <c r="C1353" i="7"/>
  <c r="C1352" i="7"/>
  <c r="C1351" i="7"/>
  <c r="C1350" i="7"/>
  <c r="C1349" i="7"/>
  <c r="C1348" i="7"/>
  <c r="C1347" i="7"/>
  <c r="C1346" i="7"/>
  <c r="C1345" i="7"/>
  <c r="C1344" i="7"/>
  <c r="C1343" i="7"/>
  <c r="C1342" i="7"/>
  <c r="C1341" i="7"/>
  <c r="C1340" i="7"/>
  <c r="C1339" i="7"/>
  <c r="C1338" i="7"/>
  <c r="C1337" i="7"/>
  <c r="C1336" i="7"/>
  <c r="C1335" i="7"/>
  <c r="C1334" i="7"/>
  <c r="C1333" i="7"/>
  <c r="C1332" i="7"/>
  <c r="C1331" i="7"/>
  <c r="C1330" i="7"/>
  <c r="C1329" i="7"/>
  <c r="C1328" i="7"/>
  <c r="C1327" i="7"/>
  <c r="C1326" i="7"/>
  <c r="C1325" i="7"/>
  <c r="C1324" i="7"/>
  <c r="C1323" i="7"/>
  <c r="C1322" i="7"/>
  <c r="C1321" i="7"/>
  <c r="C1320" i="7"/>
  <c r="C1319" i="7"/>
  <c r="C1318" i="7"/>
  <c r="C1317" i="7"/>
  <c r="C1316" i="7"/>
  <c r="C1315" i="7"/>
  <c r="C1314" i="7"/>
  <c r="C1313" i="7"/>
  <c r="C1312" i="7"/>
  <c r="C1311" i="7"/>
  <c r="C1310" i="7"/>
  <c r="C1309" i="7"/>
  <c r="C1308" i="7"/>
  <c r="C1307" i="7"/>
  <c r="C1306" i="7"/>
  <c r="C1305" i="7"/>
  <c r="C1304" i="7"/>
  <c r="C1303" i="7"/>
  <c r="C1302" i="7"/>
  <c r="C1301" i="7"/>
  <c r="C1300" i="7"/>
  <c r="C1299" i="7"/>
  <c r="C1298" i="7"/>
  <c r="C1297" i="7"/>
  <c r="C1296" i="7"/>
  <c r="C1295" i="7"/>
  <c r="C1294" i="7"/>
  <c r="C1293" i="7"/>
  <c r="C1292" i="7"/>
  <c r="C1291" i="7"/>
  <c r="C1290" i="7"/>
  <c r="C1289" i="7"/>
  <c r="C1288" i="7"/>
  <c r="C1287" i="7"/>
  <c r="C1286" i="7"/>
  <c r="C1285" i="7"/>
  <c r="C1284" i="7"/>
  <c r="C1283" i="7"/>
  <c r="C1282" i="7"/>
  <c r="C1281" i="7"/>
  <c r="C1280" i="7"/>
  <c r="C1279" i="7"/>
  <c r="C1278" i="7"/>
  <c r="C1277" i="7"/>
  <c r="C1276" i="7"/>
  <c r="C1275" i="7"/>
  <c r="C1274" i="7"/>
  <c r="C1273" i="7"/>
  <c r="C1272" i="7"/>
  <c r="C1271" i="7"/>
  <c r="C1270" i="7"/>
  <c r="C1269" i="7"/>
  <c r="C1268" i="7"/>
  <c r="C1267" i="7"/>
  <c r="C1266" i="7"/>
  <c r="C1265" i="7"/>
  <c r="C1264" i="7"/>
  <c r="C1263" i="7"/>
  <c r="C1262" i="7"/>
  <c r="C1261" i="7"/>
  <c r="C1260" i="7"/>
  <c r="C1259" i="7"/>
  <c r="C1258" i="7"/>
  <c r="C1257" i="7"/>
  <c r="C1256" i="7"/>
  <c r="C1255" i="7"/>
  <c r="C1254" i="7"/>
  <c r="C1253" i="7"/>
  <c r="C1252" i="7"/>
  <c r="C1251" i="7"/>
  <c r="C1250" i="7"/>
  <c r="C1249" i="7"/>
  <c r="C1248" i="7"/>
  <c r="C1247" i="7"/>
  <c r="C1246" i="7"/>
  <c r="C1245" i="7"/>
  <c r="C1244" i="7"/>
  <c r="C1243" i="7"/>
  <c r="C1242" i="7"/>
  <c r="C1241" i="7"/>
  <c r="C1240" i="7"/>
  <c r="C1239" i="7"/>
  <c r="C1238" i="7"/>
  <c r="C1237" i="7"/>
  <c r="C1236" i="7"/>
  <c r="C1235" i="7"/>
  <c r="C1234" i="7"/>
  <c r="C1233" i="7"/>
  <c r="C1232" i="7"/>
  <c r="C1231" i="7"/>
  <c r="C1230" i="7"/>
  <c r="C1229" i="7"/>
  <c r="C1228" i="7"/>
  <c r="C1227" i="7"/>
  <c r="C1226" i="7"/>
  <c r="C1225" i="7"/>
  <c r="C1224" i="7"/>
  <c r="C1223" i="7"/>
  <c r="C1222" i="7"/>
  <c r="C1221" i="7"/>
  <c r="C1220" i="7"/>
  <c r="C1219" i="7"/>
  <c r="C1218" i="7"/>
  <c r="C1217" i="7"/>
  <c r="C1216" i="7"/>
  <c r="C1215" i="7"/>
  <c r="C1214" i="7"/>
  <c r="C1213" i="7"/>
  <c r="C1212" i="7"/>
  <c r="C1211" i="7"/>
  <c r="C1210" i="7"/>
  <c r="C1209" i="7"/>
  <c r="C1208" i="7"/>
  <c r="C1207" i="7"/>
  <c r="C1206" i="7"/>
  <c r="C1205" i="7"/>
  <c r="C1204" i="7"/>
  <c r="C1203" i="7"/>
  <c r="C1202" i="7"/>
  <c r="C1201" i="7"/>
  <c r="C1200" i="7"/>
  <c r="C1199" i="7"/>
  <c r="C1198" i="7"/>
  <c r="C1197" i="7"/>
  <c r="C1196" i="7"/>
  <c r="C1195" i="7"/>
  <c r="C1194" i="7"/>
  <c r="C1193" i="7"/>
  <c r="C1192" i="7"/>
  <c r="C1191" i="7"/>
  <c r="C1190" i="7"/>
  <c r="C1189" i="7"/>
  <c r="C1188" i="7"/>
  <c r="C1187" i="7"/>
  <c r="C1186" i="7"/>
  <c r="C1185" i="7"/>
  <c r="C1184" i="7"/>
  <c r="C1183" i="7"/>
  <c r="C1182" i="7"/>
  <c r="C1181" i="7"/>
  <c r="C1180" i="7"/>
  <c r="C1179" i="7"/>
  <c r="C1178" i="7"/>
  <c r="C1177" i="7"/>
  <c r="C1176" i="7"/>
  <c r="C1175" i="7"/>
  <c r="C1174" i="7"/>
  <c r="C1173" i="7"/>
  <c r="C1172" i="7"/>
  <c r="C1171" i="7"/>
  <c r="C1170" i="7"/>
  <c r="C1169" i="7"/>
  <c r="C1168" i="7"/>
  <c r="C1167" i="7"/>
  <c r="C1166" i="7"/>
  <c r="C1165" i="7"/>
  <c r="C1164" i="7"/>
  <c r="C1163" i="7"/>
  <c r="C1162" i="7"/>
  <c r="C1161" i="7"/>
  <c r="C1160" i="7"/>
  <c r="C1159" i="7"/>
  <c r="C1158" i="7"/>
  <c r="C1157" i="7"/>
  <c r="C1156" i="7"/>
  <c r="C1155" i="7"/>
  <c r="C1154" i="7"/>
  <c r="C1153" i="7"/>
  <c r="C1152" i="7"/>
  <c r="C1151" i="7"/>
  <c r="C1150" i="7"/>
  <c r="C1149" i="7"/>
  <c r="C1148" i="7"/>
  <c r="C1147" i="7"/>
  <c r="C1146" i="7"/>
  <c r="C1145" i="7"/>
  <c r="C1144" i="7"/>
  <c r="C1143" i="7"/>
  <c r="C1142" i="7"/>
  <c r="C1141" i="7"/>
  <c r="C1140" i="7"/>
  <c r="C1139" i="7"/>
  <c r="C1138" i="7"/>
  <c r="C1137" i="7"/>
  <c r="C1136" i="7"/>
  <c r="C1135" i="7"/>
  <c r="C1134" i="7"/>
  <c r="C1133" i="7"/>
  <c r="C1132" i="7"/>
  <c r="C1131" i="7"/>
  <c r="C1130" i="7"/>
  <c r="C1129" i="7"/>
  <c r="C1128" i="7"/>
  <c r="C1127" i="7"/>
  <c r="C1126" i="7"/>
  <c r="C1125" i="7"/>
  <c r="C1124" i="7"/>
  <c r="C1123" i="7"/>
  <c r="C1122" i="7"/>
  <c r="C1121" i="7"/>
  <c r="C1120" i="7"/>
  <c r="C1119" i="7"/>
  <c r="C1118" i="7"/>
  <c r="C1117" i="7"/>
  <c r="C1116" i="7"/>
  <c r="C1115" i="7"/>
  <c r="C1114" i="7"/>
  <c r="C1113" i="7"/>
  <c r="C1112" i="7"/>
  <c r="C1111" i="7"/>
  <c r="C1110" i="7"/>
  <c r="C1109" i="7"/>
  <c r="C1108" i="7"/>
  <c r="C1107" i="7"/>
  <c r="C1106" i="7"/>
  <c r="C1105" i="7"/>
  <c r="C1104" i="7"/>
  <c r="C1103" i="7"/>
  <c r="C1102" i="7"/>
  <c r="C1101" i="7"/>
  <c r="C1100" i="7"/>
  <c r="C1099" i="7"/>
  <c r="C1098" i="7"/>
  <c r="C1097" i="7"/>
  <c r="C1096" i="7"/>
  <c r="C1095" i="7"/>
  <c r="C1094" i="7"/>
  <c r="C1093" i="7"/>
  <c r="C1092" i="7"/>
  <c r="C1091" i="7"/>
  <c r="C1090" i="7"/>
  <c r="C1089" i="7"/>
  <c r="C1088" i="7"/>
  <c r="C1087" i="7"/>
  <c r="C1086" i="7"/>
  <c r="C1085" i="7"/>
  <c r="C1084" i="7"/>
  <c r="C1083" i="7"/>
  <c r="C1082" i="7"/>
  <c r="C1081" i="7"/>
  <c r="C1080" i="7"/>
  <c r="C1079" i="7"/>
  <c r="C1078" i="7"/>
  <c r="C1077" i="7"/>
  <c r="C1076" i="7"/>
  <c r="C1075" i="7"/>
  <c r="C1074" i="7"/>
  <c r="C1073" i="7"/>
  <c r="C1072" i="7"/>
  <c r="C1071" i="7"/>
  <c r="C1070" i="7"/>
  <c r="C1069" i="7"/>
  <c r="C1068" i="7"/>
  <c r="C1067" i="7"/>
  <c r="C1066" i="7"/>
  <c r="C1065" i="7"/>
  <c r="C1064" i="7"/>
  <c r="C1063" i="7"/>
  <c r="C1062" i="7"/>
  <c r="C1061" i="7"/>
  <c r="C1060" i="7"/>
  <c r="C1059" i="7"/>
  <c r="C1058" i="7"/>
  <c r="C1057" i="7"/>
  <c r="C1056" i="7"/>
  <c r="C1055" i="7"/>
  <c r="C1054" i="7"/>
  <c r="C1053" i="7"/>
  <c r="C1052" i="7"/>
  <c r="C1051" i="7"/>
  <c r="C1050" i="7"/>
  <c r="C1049" i="7"/>
  <c r="C1048" i="7"/>
  <c r="C1047" i="7"/>
  <c r="C1046" i="7"/>
  <c r="C1045" i="7"/>
  <c r="C1044" i="7"/>
  <c r="C1043" i="7"/>
  <c r="C1042" i="7"/>
  <c r="C1041" i="7"/>
  <c r="C1040" i="7"/>
  <c r="C1039" i="7"/>
  <c r="C1038" i="7"/>
  <c r="C1037" i="7"/>
  <c r="C1036" i="7"/>
  <c r="C1035" i="7"/>
  <c r="C1034" i="7"/>
  <c r="C1033" i="7"/>
  <c r="C1032" i="7"/>
  <c r="C1031" i="7"/>
  <c r="C1030" i="7"/>
  <c r="C1029" i="7"/>
  <c r="C1028" i="7"/>
  <c r="C1027" i="7"/>
  <c r="C1026" i="7"/>
  <c r="C1025" i="7"/>
  <c r="C1024" i="7"/>
  <c r="C1023" i="7"/>
  <c r="C1022" i="7"/>
  <c r="C1021" i="7"/>
  <c r="C1020" i="7"/>
  <c r="C1019" i="7"/>
  <c r="C1018" i="7"/>
  <c r="C1017" i="7"/>
  <c r="C1016" i="7"/>
  <c r="C1015" i="7"/>
  <c r="C1014" i="7"/>
  <c r="C1013" i="7"/>
  <c r="C1012" i="7"/>
  <c r="C1011" i="7"/>
  <c r="C1010" i="7"/>
  <c r="C1009" i="7"/>
  <c r="C1008" i="7"/>
  <c r="C1007" i="7"/>
  <c r="C1006" i="7"/>
  <c r="C1005" i="7"/>
  <c r="C1004" i="7"/>
  <c r="C1003" i="7"/>
  <c r="C1002" i="7"/>
  <c r="C1001" i="7"/>
  <c r="C1000" i="7"/>
  <c r="C999" i="7"/>
  <c r="C998" i="7"/>
  <c r="C997" i="7"/>
  <c r="C996" i="7"/>
  <c r="C995" i="7"/>
  <c r="C994" i="7"/>
  <c r="C993" i="7"/>
  <c r="C992" i="7"/>
  <c r="C991" i="7"/>
  <c r="C990" i="7"/>
  <c r="C989" i="7"/>
  <c r="C988" i="7"/>
  <c r="C987" i="7"/>
  <c r="C986" i="7"/>
  <c r="C985" i="7"/>
  <c r="C984" i="7"/>
  <c r="C983" i="7"/>
  <c r="C982" i="7"/>
  <c r="C981" i="7"/>
  <c r="C980" i="7"/>
  <c r="C979" i="7"/>
  <c r="C978" i="7"/>
  <c r="C977" i="7"/>
  <c r="C976" i="7"/>
  <c r="C975" i="7"/>
  <c r="C974" i="7"/>
  <c r="C973" i="7"/>
  <c r="C972" i="7"/>
  <c r="C971" i="7"/>
  <c r="C970" i="7"/>
  <c r="C969" i="7"/>
  <c r="C968" i="7"/>
  <c r="C967" i="7"/>
  <c r="C966" i="7"/>
  <c r="C965" i="7"/>
  <c r="C964" i="7"/>
  <c r="C963" i="7"/>
  <c r="C962" i="7"/>
  <c r="C961" i="7"/>
  <c r="C960" i="7"/>
  <c r="C959" i="7"/>
  <c r="C958" i="7"/>
  <c r="C957" i="7"/>
  <c r="C956" i="7"/>
  <c r="C955" i="7"/>
  <c r="C954" i="7"/>
  <c r="C953" i="7"/>
  <c r="C952" i="7"/>
  <c r="C951" i="7"/>
  <c r="C950" i="7"/>
  <c r="C949" i="7"/>
  <c r="C948" i="7"/>
  <c r="C947" i="7"/>
  <c r="C946" i="7"/>
  <c r="C945" i="7"/>
  <c r="C944" i="7"/>
  <c r="C943" i="7"/>
  <c r="C942" i="7"/>
  <c r="C941" i="7"/>
  <c r="C940" i="7"/>
  <c r="C939" i="7"/>
  <c r="C938" i="7"/>
  <c r="C937" i="7"/>
  <c r="C936" i="7"/>
  <c r="C935" i="7"/>
  <c r="C934" i="7"/>
  <c r="C933" i="7"/>
  <c r="C932" i="7"/>
  <c r="C931" i="7"/>
  <c r="C930" i="7"/>
  <c r="C929" i="7"/>
  <c r="C928" i="7"/>
  <c r="C927" i="7"/>
  <c r="C926" i="7"/>
  <c r="C925" i="7"/>
  <c r="C924" i="7"/>
  <c r="C923" i="7"/>
  <c r="C922" i="7"/>
  <c r="C921" i="7"/>
  <c r="C920" i="7"/>
  <c r="C919" i="7"/>
  <c r="C918" i="7"/>
  <c r="C917" i="7"/>
  <c r="C916" i="7"/>
  <c r="C915" i="7"/>
  <c r="C914" i="7"/>
  <c r="C913" i="7"/>
  <c r="C912" i="7"/>
  <c r="C911" i="7"/>
  <c r="C910" i="7"/>
  <c r="C909" i="7"/>
  <c r="C908" i="7"/>
  <c r="C907" i="7"/>
  <c r="C906" i="7"/>
  <c r="C905" i="7"/>
  <c r="C904" i="7"/>
  <c r="C903" i="7"/>
  <c r="C902" i="7"/>
  <c r="C901" i="7"/>
  <c r="C900" i="7"/>
  <c r="C899" i="7"/>
  <c r="C898" i="7"/>
  <c r="C897" i="7"/>
  <c r="C896" i="7"/>
  <c r="C895" i="7"/>
  <c r="C894" i="7"/>
  <c r="C893" i="7"/>
  <c r="C892" i="7"/>
  <c r="C891" i="7"/>
  <c r="C890" i="7"/>
  <c r="C889" i="7"/>
  <c r="C888" i="7"/>
  <c r="C887" i="7"/>
  <c r="C886" i="7"/>
  <c r="C885" i="7"/>
  <c r="C884" i="7"/>
  <c r="C883" i="7"/>
  <c r="C882" i="7"/>
  <c r="C881" i="7"/>
  <c r="C880" i="7"/>
  <c r="C879" i="7"/>
  <c r="C878" i="7"/>
  <c r="C877" i="7"/>
  <c r="C876" i="7"/>
  <c r="C875" i="7"/>
  <c r="C874" i="7"/>
  <c r="C873" i="7"/>
  <c r="C872" i="7"/>
  <c r="C871" i="7"/>
  <c r="C870" i="7"/>
  <c r="C869" i="7"/>
  <c r="C868" i="7"/>
  <c r="C867" i="7"/>
  <c r="C866" i="7"/>
  <c r="C865" i="7"/>
  <c r="C864" i="7"/>
  <c r="C863" i="7"/>
  <c r="C862" i="7"/>
  <c r="C861" i="7"/>
  <c r="C860" i="7"/>
  <c r="C859" i="7"/>
  <c r="C858" i="7"/>
  <c r="C857" i="7"/>
  <c r="C856" i="7"/>
  <c r="C855" i="7"/>
  <c r="C854" i="7"/>
  <c r="C853" i="7"/>
  <c r="C852" i="7"/>
  <c r="C851" i="7"/>
  <c r="C850" i="7"/>
  <c r="C849" i="7"/>
  <c r="C848" i="7"/>
  <c r="C847" i="7"/>
  <c r="C846" i="7"/>
  <c r="C845" i="7"/>
  <c r="C844" i="7"/>
  <c r="C843" i="7"/>
  <c r="C842" i="7"/>
  <c r="C841" i="7"/>
  <c r="C840" i="7"/>
  <c r="C839" i="7"/>
  <c r="C838" i="7"/>
  <c r="C837" i="7"/>
  <c r="C836" i="7"/>
  <c r="C835" i="7"/>
  <c r="C834" i="7"/>
  <c r="C833" i="7"/>
  <c r="C832" i="7"/>
  <c r="C831" i="7"/>
  <c r="C830" i="7"/>
  <c r="C829" i="7"/>
  <c r="C828" i="7"/>
  <c r="C827" i="7"/>
  <c r="C826" i="7"/>
  <c r="C825" i="7"/>
  <c r="C824" i="7"/>
  <c r="C823" i="7"/>
  <c r="C822" i="7"/>
  <c r="C821" i="7"/>
  <c r="C820" i="7"/>
  <c r="C819" i="7"/>
  <c r="C818" i="7"/>
  <c r="C817" i="7"/>
  <c r="C816" i="7"/>
  <c r="C815" i="7"/>
  <c r="C814" i="7"/>
  <c r="C813" i="7"/>
  <c r="C812" i="7"/>
  <c r="C811" i="7"/>
  <c r="C810" i="7"/>
  <c r="C809" i="7"/>
  <c r="C808" i="7"/>
  <c r="C807" i="7"/>
  <c r="C806" i="7"/>
  <c r="C805" i="7"/>
  <c r="C804" i="7"/>
  <c r="C803" i="7"/>
  <c r="C802" i="7"/>
  <c r="C801" i="7"/>
  <c r="C800" i="7"/>
  <c r="C799" i="7"/>
  <c r="C798" i="7"/>
  <c r="C797" i="7"/>
  <c r="C796" i="7"/>
  <c r="C795" i="7"/>
  <c r="C794" i="7"/>
  <c r="C793" i="7"/>
  <c r="C792" i="7"/>
  <c r="C791" i="7"/>
  <c r="C790" i="7"/>
  <c r="C789" i="7"/>
  <c r="C788" i="7"/>
  <c r="C787" i="7"/>
  <c r="C786" i="7"/>
  <c r="C785" i="7"/>
  <c r="C784" i="7"/>
  <c r="C783" i="7"/>
  <c r="C782" i="7"/>
  <c r="C781" i="7"/>
  <c r="C780" i="7"/>
  <c r="C779" i="7"/>
  <c r="C778" i="7"/>
  <c r="C777" i="7"/>
  <c r="C776" i="7"/>
  <c r="C775" i="7"/>
  <c r="C774" i="7"/>
  <c r="C773" i="7"/>
  <c r="C772" i="7"/>
  <c r="C771" i="7"/>
  <c r="C770" i="7"/>
  <c r="C769" i="7"/>
  <c r="C768" i="7"/>
  <c r="C767" i="7"/>
  <c r="C766" i="7"/>
  <c r="C765" i="7"/>
  <c r="C764" i="7"/>
  <c r="C763" i="7"/>
  <c r="C762" i="7"/>
  <c r="C761" i="7"/>
  <c r="C760" i="7"/>
  <c r="C759" i="7"/>
  <c r="C758" i="7"/>
  <c r="C757" i="7"/>
  <c r="C756" i="7"/>
  <c r="C755" i="7"/>
  <c r="C754" i="7"/>
  <c r="C753" i="7"/>
  <c r="C752" i="7"/>
  <c r="C751" i="7"/>
  <c r="C750" i="7"/>
  <c r="C749" i="7"/>
  <c r="C748" i="7"/>
  <c r="C747" i="7"/>
  <c r="C746" i="7"/>
  <c r="C745" i="7"/>
  <c r="C744" i="7"/>
  <c r="C743" i="7"/>
  <c r="C742" i="7"/>
  <c r="C741" i="7"/>
  <c r="C740" i="7"/>
  <c r="C739" i="7"/>
  <c r="C738" i="7"/>
  <c r="C737" i="7"/>
  <c r="C736" i="7"/>
  <c r="C735" i="7"/>
  <c r="C734" i="7"/>
  <c r="C733" i="7"/>
  <c r="C732" i="7"/>
  <c r="C731" i="7"/>
  <c r="C730" i="7"/>
  <c r="C729" i="7"/>
  <c r="C728" i="7"/>
  <c r="C727" i="7"/>
  <c r="C726" i="7"/>
  <c r="C725" i="7"/>
  <c r="C724" i="7"/>
  <c r="C723" i="7"/>
  <c r="C722" i="7"/>
  <c r="C721" i="7"/>
  <c r="C720" i="7"/>
  <c r="C719" i="7"/>
  <c r="C718" i="7"/>
  <c r="C717" i="7"/>
  <c r="C716" i="7"/>
  <c r="C715" i="7"/>
  <c r="C714" i="7"/>
  <c r="C713" i="7"/>
  <c r="C712" i="7"/>
  <c r="C711" i="7"/>
  <c r="C710" i="7"/>
  <c r="C709" i="7"/>
  <c r="C708" i="7"/>
  <c r="C707" i="7"/>
  <c r="C706" i="7"/>
  <c r="C705" i="7"/>
  <c r="C704" i="7"/>
  <c r="C703" i="7"/>
  <c r="C702" i="7"/>
  <c r="C701" i="7"/>
  <c r="C700" i="7"/>
  <c r="C699" i="7"/>
  <c r="C698" i="7"/>
  <c r="C697" i="7"/>
  <c r="C696" i="7"/>
  <c r="C695" i="7"/>
  <c r="C694" i="7"/>
  <c r="C693" i="7"/>
  <c r="C692" i="7"/>
  <c r="C691" i="7"/>
  <c r="C690" i="7"/>
  <c r="C689" i="7"/>
  <c r="C688" i="7"/>
  <c r="C687" i="7"/>
  <c r="C686" i="7"/>
  <c r="C685" i="7"/>
  <c r="C684" i="7"/>
  <c r="C683" i="7"/>
  <c r="C682" i="7"/>
  <c r="C681" i="7"/>
  <c r="C680" i="7"/>
  <c r="C679" i="7"/>
  <c r="C678" i="7"/>
  <c r="C677" i="7"/>
  <c r="C676" i="7"/>
  <c r="C675" i="7"/>
  <c r="C674" i="7"/>
  <c r="C673" i="7"/>
  <c r="C672" i="7"/>
  <c r="C671" i="7"/>
  <c r="C670" i="7"/>
  <c r="C669" i="7"/>
  <c r="C668" i="7"/>
  <c r="C667" i="7"/>
  <c r="C666" i="7"/>
  <c r="C665" i="7"/>
  <c r="C664" i="7"/>
  <c r="C663" i="7"/>
  <c r="C662" i="7"/>
  <c r="C661" i="7"/>
  <c r="C660" i="7"/>
  <c r="C659" i="7"/>
  <c r="C658" i="7"/>
  <c r="C657" i="7"/>
  <c r="C656" i="7"/>
  <c r="C655" i="7"/>
  <c r="C654" i="7"/>
  <c r="C653" i="7"/>
  <c r="C652" i="7"/>
  <c r="C651" i="7"/>
  <c r="C650" i="7"/>
  <c r="C649" i="7"/>
  <c r="C648" i="7"/>
  <c r="C647" i="7"/>
  <c r="C646" i="7"/>
  <c r="C645" i="7"/>
  <c r="C644" i="7"/>
  <c r="C643" i="7"/>
  <c r="C642" i="7"/>
  <c r="C641" i="7"/>
  <c r="C640" i="7"/>
  <c r="C639" i="7"/>
  <c r="C638" i="7"/>
  <c r="C637" i="7"/>
  <c r="C636" i="7"/>
  <c r="C635" i="7"/>
  <c r="C634" i="7"/>
  <c r="C633" i="7"/>
  <c r="C632" i="7"/>
  <c r="C631" i="7"/>
  <c r="C630" i="7"/>
  <c r="C629" i="7"/>
  <c r="C628" i="7"/>
  <c r="C627" i="7"/>
  <c r="C626" i="7"/>
  <c r="C625" i="7"/>
  <c r="C624" i="7"/>
  <c r="C623" i="7"/>
  <c r="C622" i="7"/>
  <c r="C621" i="7"/>
  <c r="C620" i="7"/>
  <c r="C619" i="7"/>
  <c r="C618" i="7"/>
  <c r="C617" i="7"/>
  <c r="C616" i="7"/>
  <c r="C615" i="7"/>
  <c r="C614" i="7"/>
  <c r="C613" i="7"/>
  <c r="C612" i="7"/>
  <c r="C611" i="7"/>
  <c r="C610" i="7"/>
  <c r="C609" i="7"/>
  <c r="C608" i="7"/>
  <c r="C607" i="7"/>
  <c r="C606" i="7"/>
  <c r="C605" i="7"/>
  <c r="C604" i="7"/>
  <c r="C603" i="7"/>
  <c r="C602" i="7"/>
  <c r="C601" i="7"/>
  <c r="C600" i="7"/>
  <c r="C599" i="7"/>
  <c r="C598" i="7"/>
  <c r="C597" i="7"/>
  <c r="C596" i="7"/>
  <c r="C595" i="7"/>
  <c r="C594" i="7"/>
  <c r="C593" i="7"/>
  <c r="C592" i="7"/>
  <c r="C591" i="7"/>
  <c r="C590" i="7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C574" i="7"/>
  <c r="C573" i="7"/>
  <c r="C572" i="7"/>
  <c r="C571" i="7"/>
  <c r="C570" i="7"/>
  <c r="C569" i="7"/>
  <c r="C568" i="7"/>
  <c r="C567" i="7"/>
  <c r="C566" i="7"/>
  <c r="C565" i="7"/>
  <c r="C564" i="7"/>
  <c r="C563" i="7"/>
  <c r="C562" i="7"/>
  <c r="C561" i="7"/>
  <c r="C560" i="7"/>
  <c r="C559" i="7"/>
  <c r="C558" i="7"/>
  <c r="C557" i="7"/>
  <c r="C556" i="7"/>
  <c r="C555" i="7"/>
  <c r="C554" i="7"/>
  <c r="C553" i="7"/>
  <c r="C552" i="7"/>
  <c r="C551" i="7"/>
  <c r="C550" i="7"/>
  <c r="C549" i="7"/>
  <c r="C548" i="7"/>
  <c r="C547" i="7"/>
  <c r="C546" i="7"/>
  <c r="C545" i="7"/>
  <c r="C544" i="7"/>
  <c r="C543" i="7"/>
  <c r="C542" i="7"/>
  <c r="C541" i="7"/>
  <c r="C540" i="7"/>
  <c r="C539" i="7"/>
  <c r="C538" i="7"/>
  <c r="C537" i="7"/>
  <c r="C536" i="7"/>
  <c r="C535" i="7"/>
  <c r="C534" i="7"/>
  <c r="C533" i="7"/>
  <c r="C532" i="7"/>
  <c r="C531" i="7"/>
  <c r="C530" i="7"/>
  <c r="C529" i="7"/>
  <c r="C528" i="7"/>
  <c r="C527" i="7"/>
  <c r="C526" i="7"/>
  <c r="C525" i="7"/>
  <c r="C524" i="7"/>
  <c r="C523" i="7"/>
  <c r="C522" i="7"/>
  <c r="C521" i="7"/>
  <c r="C520" i="7"/>
  <c r="C519" i="7"/>
  <c r="C518" i="7"/>
  <c r="C517" i="7"/>
  <c r="C516" i="7"/>
  <c r="C515" i="7"/>
  <c r="C514" i="7"/>
  <c r="C513" i="7"/>
  <c r="C512" i="7"/>
  <c r="C511" i="7"/>
  <c r="C510" i="7"/>
  <c r="C509" i="7"/>
  <c r="C508" i="7"/>
  <c r="C507" i="7"/>
  <c r="C506" i="7"/>
  <c r="C505" i="7"/>
  <c r="C504" i="7"/>
  <c r="C503" i="7"/>
  <c r="C502" i="7"/>
  <c r="C501" i="7"/>
  <c r="C500" i="7"/>
  <c r="C499" i="7"/>
  <c r="C498" i="7"/>
  <c r="C497" i="7"/>
  <c r="C496" i="7"/>
  <c r="C495" i="7"/>
  <c r="C494" i="7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J301" i="6"/>
  <c r="I301" i="6"/>
  <c r="J300" i="6"/>
  <c r="I300" i="6"/>
  <c r="J299" i="6"/>
  <c r="I299" i="6"/>
  <c r="J298" i="6"/>
  <c r="I298" i="6"/>
  <c r="J297" i="6"/>
  <c r="I297" i="6"/>
  <c r="J296" i="6"/>
  <c r="I296" i="6"/>
  <c r="J295" i="6"/>
  <c r="I295" i="6"/>
  <c r="J294" i="6"/>
  <c r="I294" i="6"/>
  <c r="J293" i="6"/>
  <c r="I293" i="6"/>
  <c r="J292" i="6"/>
  <c r="I292" i="6"/>
  <c r="J291" i="6"/>
  <c r="I291" i="6"/>
  <c r="J290" i="6"/>
  <c r="I290" i="6"/>
  <c r="J289" i="6"/>
  <c r="I289" i="6"/>
  <c r="J288" i="6"/>
  <c r="I288" i="6"/>
  <c r="J287" i="6"/>
  <c r="I287" i="6"/>
  <c r="J286" i="6"/>
  <c r="I286" i="6"/>
  <c r="J285" i="6"/>
  <c r="I285" i="6"/>
  <c r="J284" i="6"/>
  <c r="I284" i="6"/>
  <c r="J283" i="6"/>
  <c r="I283" i="6"/>
  <c r="J282" i="6"/>
  <c r="I282" i="6"/>
  <c r="J281" i="6"/>
  <c r="I281" i="6"/>
  <c r="J280" i="6"/>
  <c r="I280" i="6"/>
  <c r="J279" i="6"/>
  <c r="I279" i="6"/>
  <c r="J278" i="6"/>
  <c r="I278" i="6"/>
  <c r="J277" i="6"/>
  <c r="I277" i="6"/>
  <c r="J276" i="6"/>
  <c r="I276" i="6"/>
  <c r="J275" i="6"/>
  <c r="I275" i="6"/>
  <c r="J274" i="6"/>
  <c r="I274" i="6"/>
  <c r="J273" i="6"/>
  <c r="I273" i="6"/>
  <c r="J272" i="6"/>
  <c r="I272" i="6"/>
  <c r="J271" i="6"/>
  <c r="I271" i="6"/>
  <c r="J270" i="6"/>
  <c r="I270" i="6"/>
  <c r="J269" i="6"/>
  <c r="I269" i="6"/>
  <c r="J268" i="6"/>
  <c r="I268" i="6"/>
  <c r="J267" i="6"/>
  <c r="I267" i="6"/>
  <c r="J266" i="6"/>
  <c r="I266" i="6"/>
  <c r="J265" i="6"/>
  <c r="I265" i="6"/>
  <c r="J264" i="6"/>
  <c r="I264" i="6"/>
  <c r="J263" i="6"/>
  <c r="I263" i="6"/>
  <c r="J262" i="6"/>
  <c r="I262" i="6"/>
  <c r="J261" i="6"/>
  <c r="I261" i="6"/>
  <c r="J260" i="6"/>
  <c r="I260" i="6"/>
  <c r="J259" i="6"/>
  <c r="I259" i="6"/>
  <c r="J258" i="6"/>
  <c r="I258" i="6"/>
  <c r="J257" i="6"/>
  <c r="I257" i="6"/>
  <c r="J256" i="6"/>
  <c r="I256" i="6"/>
  <c r="J255" i="6"/>
  <c r="I255" i="6"/>
  <c r="J254" i="6"/>
  <c r="I254" i="6"/>
  <c r="J253" i="6"/>
  <c r="I253" i="6"/>
  <c r="J252" i="6"/>
  <c r="I252" i="6"/>
  <c r="J251" i="6"/>
  <c r="I251" i="6"/>
  <c r="J250" i="6"/>
  <c r="I250" i="6"/>
  <c r="J249" i="6"/>
  <c r="I249" i="6"/>
  <c r="J248" i="6"/>
  <c r="I248" i="6"/>
  <c r="J247" i="6"/>
  <c r="I247" i="6"/>
  <c r="J246" i="6"/>
  <c r="I246" i="6"/>
  <c r="J245" i="6"/>
  <c r="I245" i="6"/>
  <c r="J244" i="6"/>
  <c r="I244" i="6"/>
  <c r="J243" i="6"/>
  <c r="I243" i="6"/>
  <c r="J242" i="6"/>
  <c r="I242" i="6"/>
  <c r="J241" i="6"/>
  <c r="I241" i="6"/>
  <c r="J240" i="6"/>
  <c r="I240" i="6"/>
  <c r="J239" i="6"/>
  <c r="I239" i="6"/>
  <c r="J238" i="6"/>
  <c r="I238" i="6"/>
  <c r="J237" i="6"/>
  <c r="I237" i="6"/>
  <c r="J236" i="6"/>
  <c r="I236" i="6"/>
  <c r="J235" i="6"/>
  <c r="I235" i="6"/>
  <c r="J234" i="6"/>
  <c r="I234" i="6"/>
  <c r="J233" i="6"/>
  <c r="I233" i="6"/>
  <c r="J232" i="6"/>
  <c r="I232" i="6"/>
  <c r="J231" i="6"/>
  <c r="I231" i="6"/>
  <c r="J230" i="6"/>
  <c r="I230" i="6"/>
  <c r="J229" i="6"/>
  <c r="I229" i="6"/>
  <c r="J228" i="6"/>
  <c r="I228" i="6"/>
  <c r="J227" i="6"/>
  <c r="I227" i="6"/>
  <c r="J226" i="6"/>
  <c r="I226" i="6"/>
  <c r="J225" i="6"/>
  <c r="I225" i="6"/>
  <c r="J224" i="6"/>
  <c r="I224" i="6"/>
  <c r="J223" i="6"/>
  <c r="I223" i="6"/>
  <c r="J222" i="6"/>
  <c r="I222" i="6"/>
  <c r="J221" i="6"/>
  <c r="I221" i="6"/>
  <c r="J220" i="6"/>
  <c r="I220" i="6"/>
  <c r="J219" i="6"/>
  <c r="I219" i="6"/>
  <c r="J218" i="6"/>
  <c r="I218" i="6"/>
  <c r="J217" i="6"/>
  <c r="I217" i="6"/>
  <c r="J216" i="6"/>
  <c r="I216" i="6"/>
  <c r="J215" i="6"/>
  <c r="I215" i="6"/>
  <c r="J214" i="6"/>
  <c r="I214" i="6"/>
  <c r="J213" i="6"/>
  <c r="I213" i="6"/>
  <c r="J212" i="6"/>
  <c r="I212" i="6"/>
  <c r="J211" i="6"/>
  <c r="I211" i="6"/>
  <c r="J210" i="6"/>
  <c r="I210" i="6"/>
  <c r="J209" i="6"/>
  <c r="I209" i="6"/>
  <c r="J208" i="6"/>
  <c r="I208" i="6"/>
  <c r="J207" i="6"/>
  <c r="I207" i="6"/>
  <c r="J206" i="6"/>
  <c r="I206" i="6"/>
  <c r="J205" i="6"/>
  <c r="I205" i="6"/>
  <c r="J204" i="6"/>
  <c r="I204" i="6"/>
  <c r="J203" i="6"/>
  <c r="I203" i="6"/>
  <c r="J202" i="6"/>
  <c r="I202" i="6"/>
  <c r="J201" i="6"/>
  <c r="I201" i="6"/>
  <c r="J200" i="6"/>
  <c r="I200" i="6"/>
  <c r="J199" i="6"/>
  <c r="I199" i="6"/>
  <c r="J198" i="6"/>
  <c r="I198" i="6"/>
  <c r="J197" i="6"/>
  <c r="I197" i="6"/>
  <c r="J196" i="6"/>
  <c r="I196" i="6"/>
  <c r="J195" i="6"/>
  <c r="I195" i="6"/>
  <c r="J194" i="6"/>
  <c r="I194" i="6"/>
  <c r="J193" i="6"/>
  <c r="I193" i="6"/>
  <c r="J192" i="6"/>
  <c r="I192" i="6"/>
  <c r="J191" i="6"/>
  <c r="I191" i="6"/>
  <c r="J190" i="6"/>
  <c r="I190" i="6"/>
  <c r="J189" i="6"/>
  <c r="I189" i="6"/>
  <c r="J188" i="6"/>
  <c r="I188" i="6"/>
  <c r="J187" i="6"/>
  <c r="I187" i="6"/>
  <c r="J186" i="6"/>
  <c r="I186" i="6"/>
  <c r="J185" i="6"/>
  <c r="I185" i="6"/>
  <c r="J184" i="6"/>
  <c r="I184" i="6"/>
  <c r="J183" i="6"/>
  <c r="I183" i="6"/>
  <c r="J182" i="6"/>
  <c r="I182" i="6"/>
  <c r="J181" i="6"/>
  <c r="I181" i="6"/>
  <c r="J180" i="6"/>
  <c r="I180" i="6"/>
  <c r="J179" i="6"/>
  <c r="I179" i="6"/>
  <c r="J178" i="6"/>
  <c r="I178" i="6"/>
  <c r="J177" i="6"/>
  <c r="I177" i="6"/>
  <c r="J176" i="6"/>
  <c r="I176" i="6"/>
  <c r="J175" i="6"/>
  <c r="I175" i="6"/>
  <c r="J174" i="6"/>
  <c r="I174" i="6"/>
  <c r="J173" i="6"/>
  <c r="I173" i="6"/>
  <c r="J172" i="6"/>
  <c r="I172" i="6"/>
  <c r="J171" i="6"/>
  <c r="I171" i="6"/>
  <c r="J170" i="6"/>
  <c r="I170" i="6"/>
  <c r="J169" i="6"/>
  <c r="I169" i="6"/>
  <c r="J168" i="6"/>
  <c r="I168" i="6"/>
  <c r="J167" i="6"/>
  <c r="I167" i="6"/>
  <c r="J166" i="6"/>
  <c r="I166" i="6"/>
  <c r="J165" i="6"/>
  <c r="I165" i="6"/>
  <c r="J164" i="6"/>
  <c r="I164" i="6"/>
  <c r="J163" i="6"/>
  <c r="I163" i="6"/>
  <c r="J162" i="6"/>
  <c r="I162" i="6"/>
  <c r="J161" i="6"/>
  <c r="I161" i="6"/>
  <c r="J160" i="6"/>
  <c r="I160" i="6"/>
  <c r="J159" i="6"/>
  <c r="I159" i="6"/>
  <c r="J158" i="6"/>
  <c r="I158" i="6"/>
  <c r="J157" i="6"/>
  <c r="I157" i="6"/>
  <c r="J156" i="6"/>
  <c r="I156" i="6"/>
  <c r="J155" i="6"/>
  <c r="I155" i="6"/>
  <c r="J154" i="6"/>
  <c r="I154" i="6"/>
  <c r="J153" i="6"/>
  <c r="I153" i="6"/>
  <c r="J152" i="6"/>
  <c r="I152" i="6"/>
  <c r="J151" i="6"/>
  <c r="I151" i="6"/>
  <c r="J150" i="6"/>
  <c r="I150" i="6"/>
  <c r="J149" i="6"/>
  <c r="I149" i="6"/>
  <c r="J148" i="6"/>
  <c r="I148" i="6"/>
  <c r="J147" i="6"/>
  <c r="I147" i="6"/>
  <c r="J146" i="6"/>
  <c r="I146" i="6"/>
  <c r="J145" i="6"/>
  <c r="I145" i="6"/>
  <c r="J144" i="6"/>
  <c r="I144" i="6"/>
  <c r="J143" i="6"/>
  <c r="I143" i="6"/>
  <c r="J142" i="6"/>
  <c r="I142" i="6"/>
  <c r="J141" i="6"/>
  <c r="I141" i="6"/>
  <c r="J140" i="6"/>
  <c r="I140" i="6"/>
  <c r="J139" i="6"/>
  <c r="I139" i="6"/>
  <c r="J138" i="6"/>
  <c r="I138" i="6"/>
  <c r="J137" i="6"/>
  <c r="I137" i="6"/>
  <c r="J136" i="6"/>
  <c r="I136" i="6"/>
  <c r="J135" i="6"/>
  <c r="I135" i="6"/>
  <c r="J134" i="6"/>
  <c r="I134" i="6"/>
  <c r="J133" i="6"/>
  <c r="I133" i="6"/>
  <c r="J132" i="6"/>
  <c r="I132" i="6"/>
  <c r="J131" i="6"/>
  <c r="I131" i="6"/>
  <c r="J130" i="6"/>
  <c r="I130" i="6"/>
  <c r="J129" i="6"/>
  <c r="I129" i="6"/>
  <c r="J128" i="6"/>
  <c r="I128" i="6"/>
  <c r="J127" i="6"/>
  <c r="I127" i="6"/>
  <c r="J126" i="6"/>
  <c r="I126" i="6"/>
  <c r="J125" i="6"/>
  <c r="I125" i="6"/>
  <c r="J124" i="6"/>
  <c r="I124" i="6"/>
  <c r="J123" i="6"/>
  <c r="I123" i="6"/>
  <c r="J122" i="6"/>
  <c r="I122" i="6"/>
  <c r="J121" i="6"/>
  <c r="I121" i="6"/>
  <c r="J120" i="6"/>
  <c r="I120" i="6"/>
  <c r="J119" i="6"/>
  <c r="I119" i="6"/>
  <c r="J118" i="6"/>
  <c r="I118" i="6"/>
  <c r="J117" i="6"/>
  <c r="I117" i="6"/>
  <c r="J116" i="6"/>
  <c r="I116" i="6"/>
  <c r="J115" i="6"/>
  <c r="I115" i="6"/>
  <c r="J114" i="6"/>
  <c r="I114" i="6"/>
  <c r="J113" i="6"/>
  <c r="I113" i="6"/>
  <c r="J112" i="6"/>
  <c r="I112" i="6"/>
  <c r="J111" i="6"/>
  <c r="I111" i="6"/>
  <c r="J110" i="6"/>
  <c r="I110" i="6"/>
  <c r="J109" i="6"/>
  <c r="I109" i="6"/>
  <c r="J108" i="6"/>
  <c r="I108" i="6"/>
  <c r="J107" i="6"/>
  <c r="I107" i="6"/>
  <c r="J106" i="6"/>
  <c r="I106" i="6"/>
  <c r="J105" i="6"/>
  <c r="I105" i="6"/>
  <c r="J104" i="6"/>
  <c r="I104" i="6"/>
  <c r="J103" i="6"/>
  <c r="I103" i="6"/>
  <c r="J102" i="6"/>
  <c r="I102" i="6"/>
  <c r="J101" i="6"/>
  <c r="I101" i="6"/>
  <c r="J100" i="6"/>
  <c r="I100" i="6"/>
  <c r="J99" i="6"/>
  <c r="I99" i="6"/>
  <c r="J98" i="6"/>
  <c r="I98" i="6"/>
  <c r="J97" i="6"/>
  <c r="I97" i="6"/>
  <c r="J96" i="6"/>
  <c r="I96" i="6"/>
  <c r="J95" i="6"/>
  <c r="I95" i="6"/>
  <c r="J94" i="6"/>
  <c r="I94" i="6"/>
  <c r="J93" i="6"/>
  <c r="I93" i="6"/>
  <c r="J92" i="6"/>
  <c r="I92" i="6"/>
  <c r="J91" i="6"/>
  <c r="I91" i="6"/>
  <c r="J90" i="6"/>
  <c r="I90" i="6"/>
  <c r="J89" i="6"/>
  <c r="I89" i="6"/>
  <c r="J88" i="6"/>
  <c r="I88" i="6"/>
  <c r="J87" i="6"/>
  <c r="I87" i="6"/>
  <c r="J86" i="6"/>
  <c r="I86" i="6"/>
  <c r="J85" i="6"/>
  <c r="I85" i="6"/>
  <c r="J84" i="6"/>
  <c r="I84" i="6"/>
  <c r="J83" i="6"/>
  <c r="I83" i="6"/>
  <c r="J82" i="6"/>
  <c r="I82" i="6"/>
  <c r="J81" i="6"/>
  <c r="I81" i="6"/>
  <c r="J80" i="6"/>
  <c r="I80" i="6"/>
  <c r="J79" i="6"/>
  <c r="I79" i="6"/>
  <c r="J78" i="6"/>
  <c r="I78" i="6"/>
  <c r="J77" i="6"/>
  <c r="I77" i="6"/>
  <c r="J76" i="6"/>
  <c r="I76" i="6"/>
  <c r="J75" i="6"/>
  <c r="I75" i="6"/>
  <c r="J74" i="6"/>
  <c r="I74" i="6"/>
  <c r="J73" i="6"/>
  <c r="I73" i="6"/>
  <c r="J72" i="6"/>
  <c r="I72" i="6"/>
  <c r="J71" i="6"/>
  <c r="I71" i="6"/>
  <c r="J70" i="6"/>
  <c r="I70" i="6"/>
  <c r="J69" i="6"/>
  <c r="I69" i="6"/>
  <c r="J68" i="6"/>
  <c r="I68" i="6"/>
  <c r="J67" i="6"/>
  <c r="I67" i="6"/>
  <c r="J66" i="6"/>
  <c r="I66" i="6"/>
  <c r="J65" i="6"/>
  <c r="I65" i="6"/>
  <c r="J64" i="6"/>
  <c r="I64" i="6"/>
  <c r="J63" i="6"/>
  <c r="I63" i="6"/>
  <c r="J62" i="6"/>
  <c r="I62" i="6"/>
  <c r="J61" i="6"/>
  <c r="I61" i="6"/>
  <c r="J60" i="6"/>
  <c r="I60" i="6"/>
  <c r="J59" i="6"/>
  <c r="I59" i="6"/>
  <c r="J58" i="6"/>
  <c r="I58" i="6"/>
  <c r="J57" i="6"/>
  <c r="I57" i="6"/>
  <c r="J56" i="6"/>
  <c r="I56" i="6"/>
  <c r="J55" i="6"/>
  <c r="I55" i="6"/>
  <c r="J54" i="6"/>
  <c r="I54" i="6"/>
  <c r="J53" i="6"/>
  <c r="I53" i="6"/>
  <c r="J52" i="6"/>
  <c r="I52" i="6"/>
  <c r="J51" i="6"/>
  <c r="I51" i="6"/>
  <c r="J50" i="6"/>
  <c r="I50" i="6"/>
  <c r="J49" i="6"/>
  <c r="I49" i="6"/>
  <c r="J48" i="6"/>
  <c r="I48" i="6"/>
  <c r="J47" i="6"/>
  <c r="I47" i="6"/>
  <c r="J46" i="6"/>
  <c r="I46" i="6"/>
  <c r="J45" i="6"/>
  <c r="I45" i="6"/>
  <c r="J44" i="6"/>
  <c r="I44" i="6"/>
  <c r="J43" i="6"/>
  <c r="I43" i="6"/>
  <c r="J42" i="6"/>
  <c r="I42" i="6"/>
  <c r="J41" i="6"/>
  <c r="I41" i="6"/>
  <c r="J40" i="6"/>
  <c r="I40" i="6"/>
  <c r="J39" i="6"/>
  <c r="I39" i="6"/>
  <c r="J38" i="6"/>
  <c r="I38" i="6"/>
  <c r="J37" i="6"/>
  <c r="I37" i="6"/>
  <c r="J36" i="6"/>
  <c r="I36" i="6"/>
  <c r="J35" i="6"/>
  <c r="I35" i="6"/>
  <c r="J34" i="6"/>
  <c r="I34" i="6"/>
  <c r="J33" i="6"/>
  <c r="I33" i="6"/>
  <c r="J32" i="6"/>
  <c r="I32" i="6"/>
  <c r="J31" i="6"/>
  <c r="I31" i="6"/>
  <c r="J30" i="6"/>
  <c r="I30" i="6"/>
  <c r="J29" i="6"/>
  <c r="I29" i="6"/>
  <c r="J28" i="6"/>
  <c r="I28" i="6"/>
  <c r="J27" i="6"/>
  <c r="I27" i="6"/>
  <c r="J26" i="6"/>
  <c r="I26" i="6"/>
  <c r="J25" i="6"/>
  <c r="I25" i="6"/>
  <c r="J24" i="6"/>
  <c r="I24" i="6"/>
  <c r="J23" i="6"/>
  <c r="I23" i="6"/>
  <c r="J22" i="6"/>
  <c r="I22" i="6"/>
  <c r="J21" i="6"/>
  <c r="I21" i="6"/>
  <c r="J20" i="6"/>
  <c r="I20" i="6"/>
  <c r="J19" i="6"/>
  <c r="I19" i="6"/>
  <c r="J18" i="6"/>
  <c r="I18" i="6"/>
  <c r="J17" i="6"/>
  <c r="I17" i="6"/>
  <c r="J16" i="6"/>
  <c r="I16" i="6"/>
  <c r="J15" i="6"/>
  <c r="I15" i="6"/>
  <c r="J14" i="6"/>
  <c r="I14" i="6"/>
  <c r="J13" i="6"/>
  <c r="I13" i="6"/>
  <c r="J12" i="6"/>
  <c r="I12" i="6"/>
  <c r="J11" i="6"/>
  <c r="I11" i="6"/>
  <c r="J10" i="6"/>
  <c r="I10" i="6"/>
  <c r="J9" i="6"/>
  <c r="I9" i="6"/>
  <c r="J8" i="6"/>
  <c r="I8" i="6"/>
  <c r="J7" i="6"/>
  <c r="I7" i="6"/>
  <c r="J6" i="6"/>
  <c r="I6" i="6"/>
  <c r="J5" i="6"/>
  <c r="I5" i="6"/>
  <c r="J4" i="6"/>
  <c r="I4" i="6"/>
  <c r="J3" i="6"/>
  <c r="I3" i="6"/>
  <c r="J2" i="6"/>
  <c r="I2" i="6"/>
  <c r="P186" i="5"/>
  <c r="P185" i="5"/>
  <c r="P184" i="5"/>
  <c r="P183" i="5"/>
  <c r="P182" i="5"/>
  <c r="P181" i="5"/>
  <c r="P180" i="5"/>
  <c r="P179" i="5"/>
  <c r="P178" i="5"/>
  <c r="P177" i="5"/>
  <c r="P176" i="5"/>
  <c r="P175" i="5"/>
  <c r="P174" i="5"/>
  <c r="P173" i="5"/>
  <c r="P172" i="5"/>
  <c r="P171" i="5"/>
  <c r="P170" i="5"/>
  <c r="P169" i="5"/>
  <c r="P168" i="5"/>
  <c r="P167" i="5"/>
  <c r="P166" i="5"/>
  <c r="P165" i="5"/>
  <c r="P164" i="5"/>
  <c r="P163" i="5"/>
  <c r="P162" i="5"/>
  <c r="P161" i="5"/>
  <c r="P160" i="5"/>
  <c r="P159" i="5"/>
  <c r="P158" i="5"/>
  <c r="P157" i="5"/>
  <c r="P156" i="5"/>
  <c r="P155" i="5"/>
  <c r="P154" i="5"/>
  <c r="P153" i="5"/>
  <c r="P152" i="5"/>
  <c r="P151" i="5"/>
  <c r="P150" i="5"/>
  <c r="P149" i="5"/>
  <c r="P148" i="5"/>
  <c r="P147" i="5"/>
  <c r="P146" i="5"/>
  <c r="P145" i="5"/>
  <c r="P144" i="5"/>
  <c r="P143" i="5"/>
  <c r="P142" i="5"/>
  <c r="P141" i="5"/>
  <c r="P140" i="5"/>
  <c r="P139" i="5"/>
  <c r="P138" i="5"/>
  <c r="P137" i="5"/>
  <c r="P136" i="5"/>
  <c r="P135" i="5"/>
  <c r="P134" i="5"/>
  <c r="P133" i="5"/>
  <c r="P132" i="5"/>
  <c r="P131" i="5"/>
  <c r="P130" i="5"/>
  <c r="P129" i="5"/>
  <c r="P128" i="5"/>
  <c r="P127" i="5"/>
  <c r="P126" i="5"/>
  <c r="P125" i="5"/>
  <c r="P124" i="5"/>
  <c r="P123" i="5"/>
  <c r="P122" i="5"/>
  <c r="P121" i="5"/>
  <c r="P120" i="5"/>
  <c r="P119" i="5"/>
  <c r="P118" i="5"/>
  <c r="P117" i="5"/>
  <c r="P116" i="5"/>
  <c r="P115" i="5"/>
  <c r="P114" i="5"/>
  <c r="P113" i="5"/>
  <c r="P112" i="5"/>
  <c r="P111" i="5"/>
  <c r="P110" i="5"/>
  <c r="P109" i="5"/>
  <c r="P108" i="5"/>
  <c r="P107" i="5"/>
  <c r="P106" i="5"/>
  <c r="P105" i="5"/>
  <c r="P104" i="5"/>
  <c r="P103" i="5"/>
  <c r="P102" i="5"/>
  <c r="P101" i="5"/>
  <c r="P100" i="5"/>
  <c r="P99" i="5"/>
  <c r="P98" i="5"/>
  <c r="P97" i="5"/>
  <c r="P96" i="5"/>
  <c r="P95" i="5"/>
  <c r="P94" i="5"/>
  <c r="P93" i="5"/>
  <c r="P92" i="5"/>
  <c r="P91" i="5"/>
  <c r="P90" i="5"/>
  <c r="P89" i="5"/>
  <c r="P88" i="5"/>
  <c r="P87" i="5"/>
  <c r="P86" i="5"/>
  <c r="P85" i="5"/>
  <c r="P84" i="5"/>
  <c r="P83" i="5"/>
  <c r="P82" i="5"/>
  <c r="P81" i="5"/>
  <c r="P80" i="5"/>
  <c r="P79" i="5"/>
  <c r="P78" i="5"/>
  <c r="P77" i="5"/>
  <c r="P76" i="5"/>
  <c r="P75" i="5"/>
  <c r="P74" i="5"/>
  <c r="P73" i="5"/>
  <c r="P72" i="5"/>
  <c r="P71" i="5"/>
  <c r="P70" i="5"/>
  <c r="P69" i="5"/>
  <c r="P68" i="5"/>
  <c r="P67" i="5"/>
  <c r="P66" i="5"/>
  <c r="P65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P2" i="5"/>
  <c r="E2001" i="4"/>
  <c r="C2001" i="4"/>
  <c r="E2000" i="4"/>
  <c r="C2000" i="4"/>
  <c r="E1999" i="4"/>
  <c r="C1999" i="4"/>
  <c r="E1998" i="4"/>
  <c r="C1998" i="4"/>
  <c r="E1997" i="4"/>
  <c r="C1997" i="4"/>
  <c r="E1996" i="4"/>
  <c r="C1996" i="4"/>
  <c r="E1995" i="4"/>
  <c r="C1995" i="4"/>
  <c r="E1994" i="4"/>
  <c r="C1994" i="4"/>
  <c r="E1993" i="4"/>
  <c r="C1993" i="4"/>
  <c r="E1992" i="4"/>
  <c r="C1992" i="4"/>
  <c r="E1991" i="4"/>
  <c r="C1991" i="4"/>
  <c r="E1990" i="4"/>
  <c r="C1990" i="4"/>
  <c r="E1989" i="4"/>
  <c r="C1989" i="4"/>
  <c r="E1988" i="4"/>
  <c r="C1988" i="4"/>
  <c r="E1987" i="4"/>
  <c r="C1987" i="4"/>
  <c r="E1986" i="4"/>
  <c r="C1986" i="4"/>
  <c r="E1985" i="4"/>
  <c r="C1985" i="4"/>
  <c r="E1984" i="4"/>
  <c r="C1984" i="4"/>
  <c r="E1983" i="4"/>
  <c r="C1983" i="4"/>
  <c r="E1982" i="4"/>
  <c r="C1982" i="4"/>
  <c r="E1981" i="4"/>
  <c r="C1981" i="4"/>
  <c r="E1980" i="4"/>
  <c r="C1980" i="4"/>
  <c r="E1979" i="4"/>
  <c r="C1979" i="4"/>
  <c r="E1978" i="4"/>
  <c r="C1978" i="4"/>
  <c r="E1977" i="4"/>
  <c r="C1977" i="4"/>
  <c r="E1976" i="4"/>
  <c r="C1976" i="4"/>
  <c r="E1975" i="4"/>
  <c r="C1975" i="4"/>
  <c r="E1974" i="4"/>
  <c r="C1974" i="4"/>
  <c r="E1973" i="4"/>
  <c r="C1973" i="4"/>
  <c r="E1972" i="4"/>
  <c r="C1972" i="4"/>
  <c r="E1971" i="4"/>
  <c r="C1971" i="4"/>
  <c r="E1970" i="4"/>
  <c r="C1970" i="4"/>
  <c r="E1969" i="4"/>
  <c r="C1969" i="4"/>
  <c r="E1968" i="4"/>
  <c r="C1968" i="4"/>
  <c r="E1967" i="4"/>
  <c r="C1967" i="4"/>
  <c r="E1966" i="4"/>
  <c r="C1966" i="4"/>
  <c r="E1965" i="4"/>
  <c r="C1965" i="4"/>
  <c r="E1964" i="4"/>
  <c r="C1964" i="4"/>
  <c r="E1963" i="4"/>
  <c r="C1963" i="4"/>
  <c r="E1962" i="4"/>
  <c r="C1962" i="4"/>
  <c r="E1961" i="4"/>
  <c r="C1961" i="4"/>
  <c r="E1960" i="4"/>
  <c r="C1960" i="4"/>
  <c r="E1959" i="4"/>
  <c r="C1959" i="4"/>
  <c r="E1958" i="4"/>
  <c r="C1958" i="4"/>
  <c r="E1957" i="4"/>
  <c r="C1957" i="4"/>
  <c r="E1956" i="4"/>
  <c r="C1956" i="4"/>
  <c r="E1955" i="4"/>
  <c r="C1955" i="4"/>
  <c r="E1954" i="4"/>
  <c r="C1954" i="4"/>
  <c r="E1953" i="4"/>
  <c r="C1953" i="4"/>
  <c r="E1952" i="4"/>
  <c r="C1952" i="4"/>
  <c r="E1951" i="4"/>
  <c r="C1951" i="4"/>
  <c r="E1950" i="4"/>
  <c r="C1950" i="4"/>
  <c r="E1949" i="4"/>
  <c r="C1949" i="4"/>
  <c r="E1948" i="4"/>
  <c r="C1948" i="4"/>
  <c r="E1947" i="4"/>
  <c r="C1947" i="4"/>
  <c r="E1946" i="4"/>
  <c r="C1946" i="4"/>
  <c r="E1945" i="4"/>
  <c r="C1945" i="4"/>
  <c r="E1944" i="4"/>
  <c r="C1944" i="4"/>
  <c r="E1943" i="4"/>
  <c r="C1943" i="4"/>
  <c r="E1942" i="4"/>
  <c r="C1942" i="4"/>
  <c r="E1941" i="4"/>
  <c r="C1941" i="4"/>
  <c r="E1940" i="4"/>
  <c r="C1940" i="4"/>
  <c r="E1939" i="4"/>
  <c r="C1939" i="4"/>
  <c r="E1938" i="4"/>
  <c r="C1938" i="4"/>
  <c r="E1937" i="4"/>
  <c r="C1937" i="4"/>
  <c r="E1936" i="4"/>
  <c r="C1936" i="4"/>
  <c r="E1935" i="4"/>
  <c r="C1935" i="4"/>
  <c r="E1934" i="4"/>
  <c r="C1934" i="4"/>
  <c r="E1933" i="4"/>
  <c r="C1933" i="4"/>
  <c r="E1932" i="4"/>
  <c r="C1932" i="4"/>
  <c r="E1931" i="4"/>
  <c r="C1931" i="4"/>
  <c r="E1930" i="4"/>
  <c r="C1930" i="4"/>
  <c r="E1929" i="4"/>
  <c r="C1929" i="4"/>
  <c r="E1928" i="4"/>
  <c r="C1928" i="4"/>
  <c r="E1927" i="4"/>
  <c r="C1927" i="4"/>
  <c r="E1926" i="4"/>
  <c r="C1926" i="4"/>
  <c r="E1925" i="4"/>
  <c r="C1925" i="4"/>
  <c r="E1924" i="4"/>
  <c r="C1924" i="4"/>
  <c r="E1923" i="4"/>
  <c r="C1923" i="4"/>
  <c r="E1922" i="4"/>
  <c r="C1922" i="4"/>
  <c r="E1921" i="4"/>
  <c r="C1921" i="4"/>
  <c r="E1920" i="4"/>
  <c r="C1920" i="4"/>
  <c r="E1919" i="4"/>
  <c r="C1919" i="4"/>
  <c r="E1918" i="4"/>
  <c r="C1918" i="4"/>
  <c r="E1917" i="4"/>
  <c r="C1917" i="4"/>
  <c r="E1916" i="4"/>
  <c r="C1916" i="4"/>
  <c r="E1915" i="4"/>
  <c r="C1915" i="4"/>
  <c r="E1914" i="4"/>
  <c r="C1914" i="4"/>
  <c r="E1913" i="4"/>
  <c r="C1913" i="4"/>
  <c r="E1912" i="4"/>
  <c r="C1912" i="4"/>
  <c r="E1911" i="4"/>
  <c r="C1911" i="4"/>
  <c r="E1910" i="4"/>
  <c r="C1910" i="4"/>
  <c r="E1909" i="4"/>
  <c r="C1909" i="4"/>
  <c r="E1908" i="4"/>
  <c r="C1908" i="4"/>
  <c r="E1907" i="4"/>
  <c r="C1907" i="4"/>
  <c r="E1906" i="4"/>
  <c r="C1906" i="4"/>
  <c r="E1905" i="4"/>
  <c r="C1905" i="4"/>
  <c r="E1904" i="4"/>
  <c r="C1904" i="4"/>
  <c r="E1903" i="4"/>
  <c r="C1903" i="4"/>
  <c r="E1902" i="4"/>
  <c r="C1902" i="4"/>
  <c r="E1901" i="4"/>
  <c r="C1901" i="4"/>
  <c r="E1900" i="4"/>
  <c r="C1900" i="4"/>
  <c r="E1899" i="4"/>
  <c r="C1899" i="4"/>
  <c r="E1898" i="4"/>
  <c r="C1898" i="4"/>
  <c r="E1897" i="4"/>
  <c r="C1897" i="4"/>
  <c r="E1896" i="4"/>
  <c r="C1896" i="4"/>
  <c r="E1895" i="4"/>
  <c r="C1895" i="4"/>
  <c r="E1894" i="4"/>
  <c r="C1894" i="4"/>
  <c r="E1893" i="4"/>
  <c r="C1893" i="4"/>
  <c r="E1892" i="4"/>
  <c r="C1892" i="4"/>
  <c r="E1891" i="4"/>
  <c r="C1891" i="4"/>
  <c r="E1890" i="4"/>
  <c r="C1890" i="4"/>
  <c r="E1889" i="4"/>
  <c r="C1889" i="4"/>
  <c r="E1888" i="4"/>
  <c r="C1888" i="4"/>
  <c r="E1887" i="4"/>
  <c r="C1887" i="4"/>
  <c r="E1886" i="4"/>
  <c r="C1886" i="4"/>
  <c r="E1885" i="4"/>
  <c r="C1885" i="4"/>
  <c r="E1884" i="4"/>
  <c r="C1884" i="4"/>
  <c r="E1883" i="4"/>
  <c r="C1883" i="4"/>
  <c r="E1882" i="4"/>
  <c r="C1882" i="4"/>
  <c r="E1881" i="4"/>
  <c r="C1881" i="4"/>
  <c r="E1880" i="4"/>
  <c r="C1880" i="4"/>
  <c r="E1879" i="4"/>
  <c r="C1879" i="4"/>
  <c r="E1878" i="4"/>
  <c r="C1878" i="4"/>
  <c r="E1877" i="4"/>
  <c r="C1877" i="4"/>
  <c r="E1876" i="4"/>
  <c r="C1876" i="4"/>
  <c r="E1875" i="4"/>
  <c r="C1875" i="4"/>
  <c r="E1874" i="4"/>
  <c r="C1874" i="4"/>
  <c r="E1873" i="4"/>
  <c r="C1873" i="4"/>
  <c r="E1872" i="4"/>
  <c r="C1872" i="4"/>
  <c r="E1871" i="4"/>
  <c r="C1871" i="4"/>
  <c r="E1870" i="4"/>
  <c r="C1870" i="4"/>
  <c r="E1869" i="4"/>
  <c r="C1869" i="4"/>
  <c r="E1868" i="4"/>
  <c r="C1868" i="4"/>
  <c r="E1867" i="4"/>
  <c r="C1867" i="4"/>
  <c r="E1866" i="4"/>
  <c r="C1866" i="4"/>
  <c r="E1865" i="4"/>
  <c r="C1865" i="4"/>
  <c r="E1864" i="4"/>
  <c r="C1864" i="4"/>
  <c r="E1863" i="4"/>
  <c r="C1863" i="4"/>
  <c r="E1862" i="4"/>
  <c r="C1862" i="4"/>
  <c r="E1861" i="4"/>
  <c r="C1861" i="4"/>
  <c r="E1860" i="4"/>
  <c r="C1860" i="4"/>
  <c r="E1859" i="4"/>
  <c r="C1859" i="4"/>
  <c r="E1858" i="4"/>
  <c r="C1858" i="4"/>
  <c r="E1857" i="4"/>
  <c r="C1857" i="4"/>
  <c r="E1856" i="4"/>
  <c r="C1856" i="4"/>
  <c r="E1855" i="4"/>
  <c r="C1855" i="4"/>
  <c r="E1854" i="4"/>
  <c r="C1854" i="4"/>
  <c r="E1853" i="4"/>
  <c r="C1853" i="4"/>
  <c r="E1852" i="4"/>
  <c r="C1852" i="4"/>
  <c r="E1851" i="4"/>
  <c r="C1851" i="4"/>
  <c r="E1850" i="4"/>
  <c r="C1850" i="4"/>
  <c r="E1849" i="4"/>
  <c r="C1849" i="4"/>
  <c r="E1848" i="4"/>
  <c r="C1848" i="4"/>
  <c r="E1847" i="4"/>
  <c r="C1847" i="4"/>
  <c r="E1846" i="4"/>
  <c r="C1846" i="4"/>
  <c r="E1845" i="4"/>
  <c r="C1845" i="4"/>
  <c r="E1844" i="4"/>
  <c r="C1844" i="4"/>
  <c r="E1843" i="4"/>
  <c r="C1843" i="4"/>
  <c r="E1842" i="4"/>
  <c r="C1842" i="4"/>
  <c r="E1841" i="4"/>
  <c r="C1841" i="4"/>
  <c r="E1840" i="4"/>
  <c r="C1840" i="4"/>
  <c r="E1839" i="4"/>
  <c r="C1839" i="4"/>
  <c r="E1838" i="4"/>
  <c r="C1838" i="4"/>
  <c r="E1837" i="4"/>
  <c r="C1837" i="4"/>
  <c r="E1836" i="4"/>
  <c r="C1836" i="4"/>
  <c r="E1835" i="4"/>
  <c r="C1835" i="4"/>
  <c r="E1834" i="4"/>
  <c r="C1834" i="4"/>
  <c r="E1833" i="4"/>
  <c r="C1833" i="4"/>
  <c r="E1832" i="4"/>
  <c r="C1832" i="4"/>
  <c r="E1831" i="4"/>
  <c r="C1831" i="4"/>
  <c r="E1830" i="4"/>
  <c r="C1830" i="4"/>
  <c r="E1829" i="4"/>
  <c r="C1829" i="4"/>
  <c r="E1828" i="4"/>
  <c r="C1828" i="4"/>
  <c r="E1827" i="4"/>
  <c r="C1827" i="4"/>
  <c r="E1826" i="4"/>
  <c r="C1826" i="4"/>
  <c r="E1825" i="4"/>
  <c r="C1825" i="4"/>
  <c r="E1824" i="4"/>
  <c r="C1824" i="4"/>
  <c r="E1823" i="4"/>
  <c r="C1823" i="4"/>
  <c r="E1822" i="4"/>
  <c r="C1822" i="4"/>
  <c r="E1821" i="4"/>
  <c r="C1821" i="4"/>
  <c r="E1820" i="4"/>
  <c r="C1820" i="4"/>
  <c r="E1819" i="4"/>
  <c r="C1819" i="4"/>
  <c r="E1818" i="4"/>
  <c r="C1818" i="4"/>
  <c r="E1817" i="4"/>
  <c r="C1817" i="4"/>
  <c r="E1816" i="4"/>
  <c r="C1816" i="4"/>
  <c r="E1815" i="4"/>
  <c r="C1815" i="4"/>
  <c r="E1814" i="4"/>
  <c r="C1814" i="4"/>
  <c r="E1813" i="4"/>
  <c r="C1813" i="4"/>
  <c r="E1812" i="4"/>
  <c r="C1812" i="4"/>
  <c r="E1811" i="4"/>
  <c r="C1811" i="4"/>
  <c r="E1810" i="4"/>
  <c r="C1810" i="4"/>
  <c r="E1809" i="4"/>
  <c r="C1809" i="4"/>
  <c r="E1808" i="4"/>
  <c r="C1808" i="4"/>
  <c r="E1807" i="4"/>
  <c r="C1807" i="4"/>
  <c r="E1806" i="4"/>
  <c r="C1806" i="4"/>
  <c r="E1805" i="4"/>
  <c r="C1805" i="4"/>
  <c r="E1804" i="4"/>
  <c r="C1804" i="4"/>
  <c r="E1803" i="4"/>
  <c r="C1803" i="4"/>
  <c r="E1802" i="4"/>
  <c r="C1802" i="4"/>
  <c r="E1801" i="4"/>
  <c r="C1801" i="4"/>
  <c r="E1800" i="4"/>
  <c r="C1800" i="4"/>
  <c r="E1799" i="4"/>
  <c r="C1799" i="4"/>
  <c r="E1798" i="4"/>
  <c r="C1798" i="4"/>
  <c r="E1797" i="4"/>
  <c r="C1797" i="4"/>
  <c r="E1796" i="4"/>
  <c r="C1796" i="4"/>
  <c r="E1795" i="4"/>
  <c r="C1795" i="4"/>
  <c r="E1794" i="4"/>
  <c r="C1794" i="4"/>
  <c r="E1793" i="4"/>
  <c r="C1793" i="4"/>
  <c r="E1792" i="4"/>
  <c r="C1792" i="4"/>
  <c r="E1791" i="4"/>
  <c r="C1791" i="4"/>
  <c r="E1790" i="4"/>
  <c r="C1790" i="4"/>
  <c r="E1789" i="4"/>
  <c r="C1789" i="4"/>
  <c r="E1788" i="4"/>
  <c r="C1788" i="4"/>
  <c r="E1787" i="4"/>
  <c r="C1787" i="4"/>
  <c r="E1786" i="4"/>
  <c r="C1786" i="4"/>
  <c r="E1785" i="4"/>
  <c r="C1785" i="4"/>
  <c r="E1784" i="4"/>
  <c r="C1784" i="4"/>
  <c r="E1783" i="4"/>
  <c r="C1783" i="4"/>
  <c r="E1782" i="4"/>
  <c r="C1782" i="4"/>
  <c r="E1781" i="4"/>
  <c r="C1781" i="4"/>
  <c r="E1780" i="4"/>
  <c r="C1780" i="4"/>
  <c r="E1779" i="4"/>
  <c r="C1779" i="4"/>
  <c r="E1778" i="4"/>
  <c r="C1778" i="4"/>
  <c r="E1777" i="4"/>
  <c r="C1777" i="4"/>
  <c r="E1776" i="4"/>
  <c r="C1776" i="4"/>
  <c r="E1775" i="4"/>
  <c r="C1775" i="4"/>
  <c r="E1774" i="4"/>
  <c r="C1774" i="4"/>
  <c r="E1773" i="4"/>
  <c r="C1773" i="4"/>
  <c r="E1772" i="4"/>
  <c r="C1772" i="4"/>
  <c r="E1771" i="4"/>
  <c r="C1771" i="4"/>
  <c r="E1770" i="4"/>
  <c r="C1770" i="4"/>
  <c r="E1769" i="4"/>
  <c r="C1769" i="4"/>
  <c r="E1768" i="4"/>
  <c r="C1768" i="4"/>
  <c r="E1767" i="4"/>
  <c r="C1767" i="4"/>
  <c r="E1766" i="4"/>
  <c r="C1766" i="4"/>
  <c r="E1765" i="4"/>
  <c r="C1765" i="4"/>
  <c r="E1764" i="4"/>
  <c r="C1764" i="4"/>
  <c r="E1763" i="4"/>
  <c r="C1763" i="4"/>
  <c r="E1762" i="4"/>
  <c r="C1762" i="4"/>
  <c r="E1761" i="4"/>
  <c r="C1761" i="4"/>
  <c r="E1760" i="4"/>
  <c r="C1760" i="4"/>
  <c r="E1759" i="4"/>
  <c r="C1759" i="4"/>
  <c r="E1758" i="4"/>
  <c r="C1758" i="4"/>
  <c r="E1757" i="4"/>
  <c r="C1757" i="4"/>
  <c r="E1756" i="4"/>
  <c r="C1756" i="4"/>
  <c r="E1755" i="4"/>
  <c r="C1755" i="4"/>
  <c r="E1754" i="4"/>
  <c r="C1754" i="4"/>
  <c r="E1753" i="4"/>
  <c r="C1753" i="4"/>
  <c r="E1752" i="4"/>
  <c r="C1752" i="4"/>
  <c r="E1751" i="4"/>
  <c r="C1751" i="4"/>
  <c r="E1750" i="4"/>
  <c r="C1750" i="4"/>
  <c r="E1749" i="4"/>
  <c r="C1749" i="4"/>
  <c r="E1748" i="4"/>
  <c r="C1748" i="4"/>
  <c r="E1747" i="4"/>
  <c r="C1747" i="4"/>
  <c r="E1746" i="4"/>
  <c r="C1746" i="4"/>
  <c r="E1745" i="4"/>
  <c r="C1745" i="4"/>
  <c r="E1744" i="4"/>
  <c r="C1744" i="4"/>
  <c r="E1743" i="4"/>
  <c r="C1743" i="4"/>
  <c r="E1742" i="4"/>
  <c r="C1742" i="4"/>
  <c r="E1741" i="4"/>
  <c r="C1741" i="4"/>
  <c r="E1740" i="4"/>
  <c r="C1740" i="4"/>
  <c r="E1739" i="4"/>
  <c r="C1739" i="4"/>
  <c r="E1738" i="4"/>
  <c r="C1738" i="4"/>
  <c r="E1737" i="4"/>
  <c r="C1737" i="4"/>
  <c r="E1736" i="4"/>
  <c r="C1736" i="4"/>
  <c r="E1735" i="4"/>
  <c r="C1735" i="4"/>
  <c r="E1734" i="4"/>
  <c r="C1734" i="4"/>
  <c r="E1733" i="4"/>
  <c r="C1733" i="4"/>
  <c r="E1732" i="4"/>
  <c r="C1732" i="4"/>
  <c r="E1731" i="4"/>
  <c r="C1731" i="4"/>
  <c r="E1730" i="4"/>
  <c r="C1730" i="4"/>
  <c r="E1729" i="4"/>
  <c r="C1729" i="4"/>
  <c r="E1728" i="4"/>
  <c r="C1728" i="4"/>
  <c r="E1727" i="4"/>
  <c r="C1727" i="4"/>
  <c r="E1726" i="4"/>
  <c r="C1726" i="4"/>
  <c r="E1725" i="4"/>
  <c r="C1725" i="4"/>
  <c r="E1724" i="4"/>
  <c r="C1724" i="4"/>
  <c r="E1723" i="4"/>
  <c r="C1723" i="4"/>
  <c r="E1722" i="4"/>
  <c r="C1722" i="4"/>
  <c r="E1721" i="4"/>
  <c r="C1721" i="4"/>
  <c r="E1720" i="4"/>
  <c r="C1720" i="4"/>
  <c r="E1719" i="4"/>
  <c r="C1719" i="4"/>
  <c r="E1718" i="4"/>
  <c r="C1718" i="4"/>
  <c r="E1717" i="4"/>
  <c r="C1717" i="4"/>
  <c r="E1716" i="4"/>
  <c r="C1716" i="4"/>
  <c r="E1715" i="4"/>
  <c r="C1715" i="4"/>
  <c r="E1714" i="4"/>
  <c r="C1714" i="4"/>
  <c r="E1713" i="4"/>
  <c r="C1713" i="4"/>
  <c r="E1712" i="4"/>
  <c r="C1712" i="4"/>
  <c r="E1711" i="4"/>
  <c r="C1711" i="4"/>
  <c r="E1710" i="4"/>
  <c r="C1710" i="4"/>
  <c r="E1709" i="4"/>
  <c r="C1709" i="4"/>
  <c r="E1708" i="4"/>
  <c r="C1708" i="4"/>
  <c r="E1707" i="4"/>
  <c r="C1707" i="4"/>
  <c r="E1706" i="4"/>
  <c r="C1706" i="4"/>
  <c r="E1705" i="4"/>
  <c r="C1705" i="4"/>
  <c r="E1704" i="4"/>
  <c r="C1704" i="4"/>
  <c r="E1703" i="4"/>
  <c r="C1703" i="4"/>
  <c r="E1702" i="4"/>
  <c r="C1702" i="4"/>
  <c r="E1701" i="4"/>
  <c r="C1701" i="4"/>
  <c r="E1700" i="4"/>
  <c r="C1700" i="4"/>
  <c r="E1699" i="4"/>
  <c r="C1699" i="4"/>
  <c r="E1698" i="4"/>
  <c r="C1698" i="4"/>
  <c r="E1697" i="4"/>
  <c r="C1697" i="4"/>
  <c r="E1696" i="4"/>
  <c r="C1696" i="4"/>
  <c r="E1695" i="4"/>
  <c r="C1695" i="4"/>
  <c r="E1694" i="4"/>
  <c r="C1694" i="4"/>
  <c r="E1693" i="4"/>
  <c r="C1693" i="4"/>
  <c r="E1692" i="4"/>
  <c r="C1692" i="4"/>
  <c r="E1691" i="4"/>
  <c r="C1691" i="4"/>
  <c r="E1690" i="4"/>
  <c r="C1690" i="4"/>
  <c r="E1689" i="4"/>
  <c r="C1689" i="4"/>
  <c r="E1688" i="4"/>
  <c r="C1688" i="4"/>
  <c r="E1687" i="4"/>
  <c r="C1687" i="4"/>
  <c r="E1686" i="4"/>
  <c r="C1686" i="4"/>
  <c r="E1685" i="4"/>
  <c r="C1685" i="4"/>
  <c r="E1684" i="4"/>
  <c r="C1684" i="4"/>
  <c r="E1683" i="4"/>
  <c r="C1683" i="4"/>
  <c r="E1682" i="4"/>
  <c r="C1682" i="4"/>
  <c r="E1681" i="4"/>
  <c r="C1681" i="4"/>
  <c r="E1680" i="4"/>
  <c r="C1680" i="4"/>
  <c r="E1679" i="4"/>
  <c r="C1679" i="4"/>
  <c r="E1678" i="4"/>
  <c r="C1678" i="4"/>
  <c r="E1677" i="4"/>
  <c r="C1677" i="4"/>
  <c r="E1676" i="4"/>
  <c r="C1676" i="4"/>
  <c r="E1675" i="4"/>
  <c r="C1675" i="4"/>
  <c r="E1674" i="4"/>
  <c r="C1674" i="4"/>
  <c r="E1673" i="4"/>
  <c r="C1673" i="4"/>
  <c r="E1672" i="4"/>
  <c r="C1672" i="4"/>
  <c r="E1671" i="4"/>
  <c r="C1671" i="4"/>
  <c r="E1670" i="4"/>
  <c r="C1670" i="4"/>
  <c r="E1669" i="4"/>
  <c r="C1669" i="4"/>
  <c r="E1668" i="4"/>
  <c r="C1668" i="4"/>
  <c r="E1667" i="4"/>
  <c r="C1667" i="4"/>
  <c r="E1666" i="4"/>
  <c r="C1666" i="4"/>
  <c r="E1665" i="4"/>
  <c r="C1665" i="4"/>
  <c r="E1664" i="4"/>
  <c r="C1664" i="4"/>
  <c r="E1663" i="4"/>
  <c r="C1663" i="4"/>
  <c r="E1662" i="4"/>
  <c r="C1662" i="4"/>
  <c r="E1661" i="4"/>
  <c r="C1661" i="4"/>
  <c r="E1660" i="4"/>
  <c r="C1660" i="4"/>
  <c r="E1659" i="4"/>
  <c r="C1659" i="4"/>
  <c r="E1658" i="4"/>
  <c r="C1658" i="4"/>
  <c r="E1657" i="4"/>
  <c r="C1657" i="4"/>
  <c r="E1656" i="4"/>
  <c r="C1656" i="4"/>
  <c r="E1655" i="4"/>
  <c r="C1655" i="4"/>
  <c r="E1654" i="4"/>
  <c r="C1654" i="4"/>
  <c r="E1653" i="4"/>
  <c r="C1653" i="4"/>
  <c r="E1652" i="4"/>
  <c r="C1652" i="4"/>
  <c r="E1651" i="4"/>
  <c r="C1651" i="4"/>
  <c r="E1650" i="4"/>
  <c r="C1650" i="4"/>
  <c r="E1649" i="4"/>
  <c r="C1649" i="4"/>
  <c r="E1648" i="4"/>
  <c r="C1648" i="4"/>
  <c r="E1647" i="4"/>
  <c r="C1647" i="4"/>
  <c r="E1646" i="4"/>
  <c r="C1646" i="4"/>
  <c r="E1645" i="4"/>
  <c r="C1645" i="4"/>
  <c r="E1644" i="4"/>
  <c r="C1644" i="4"/>
  <c r="E1643" i="4"/>
  <c r="C1643" i="4"/>
  <c r="E1642" i="4"/>
  <c r="C1642" i="4"/>
  <c r="E1641" i="4"/>
  <c r="C1641" i="4"/>
  <c r="E1640" i="4"/>
  <c r="C1640" i="4"/>
  <c r="E1639" i="4"/>
  <c r="C1639" i="4"/>
  <c r="E1638" i="4"/>
  <c r="C1638" i="4"/>
  <c r="E1637" i="4"/>
  <c r="C1637" i="4"/>
  <c r="E1636" i="4"/>
  <c r="C1636" i="4"/>
  <c r="E1635" i="4"/>
  <c r="C1635" i="4"/>
  <c r="E1634" i="4"/>
  <c r="C1634" i="4"/>
  <c r="E1633" i="4"/>
  <c r="C1633" i="4"/>
  <c r="E1632" i="4"/>
  <c r="C1632" i="4"/>
  <c r="E1631" i="4"/>
  <c r="C1631" i="4"/>
  <c r="E1630" i="4"/>
  <c r="C1630" i="4"/>
  <c r="E1629" i="4"/>
  <c r="C1629" i="4"/>
  <c r="E1628" i="4"/>
  <c r="C1628" i="4"/>
  <c r="E1627" i="4"/>
  <c r="C1627" i="4"/>
  <c r="E1626" i="4"/>
  <c r="C1626" i="4"/>
  <c r="E1625" i="4"/>
  <c r="C1625" i="4"/>
  <c r="E1624" i="4"/>
  <c r="C1624" i="4"/>
  <c r="E1623" i="4"/>
  <c r="C1623" i="4"/>
  <c r="E1622" i="4"/>
  <c r="C1622" i="4"/>
  <c r="E1621" i="4"/>
  <c r="C1621" i="4"/>
  <c r="E1620" i="4"/>
  <c r="C1620" i="4"/>
  <c r="E1619" i="4"/>
  <c r="C1619" i="4"/>
  <c r="E1618" i="4"/>
  <c r="C1618" i="4"/>
  <c r="E1617" i="4"/>
  <c r="C1617" i="4"/>
  <c r="E1616" i="4"/>
  <c r="C1616" i="4"/>
  <c r="E1615" i="4"/>
  <c r="C1615" i="4"/>
  <c r="E1614" i="4"/>
  <c r="C1614" i="4"/>
  <c r="E1613" i="4"/>
  <c r="C1613" i="4"/>
  <c r="E1612" i="4"/>
  <c r="C1612" i="4"/>
  <c r="E1611" i="4"/>
  <c r="C1611" i="4"/>
  <c r="E1610" i="4"/>
  <c r="C1610" i="4"/>
  <c r="E1609" i="4"/>
  <c r="C1609" i="4"/>
  <c r="E1608" i="4"/>
  <c r="C1608" i="4"/>
  <c r="E1607" i="4"/>
  <c r="C1607" i="4"/>
  <c r="E1606" i="4"/>
  <c r="C1606" i="4"/>
  <c r="E1605" i="4"/>
  <c r="C1605" i="4"/>
  <c r="E1604" i="4"/>
  <c r="C1604" i="4"/>
  <c r="E1603" i="4"/>
  <c r="C1603" i="4"/>
  <c r="E1602" i="4"/>
  <c r="C1602" i="4"/>
  <c r="E1601" i="4"/>
  <c r="C1601" i="4"/>
  <c r="E1600" i="4"/>
  <c r="C1600" i="4"/>
  <c r="E1599" i="4"/>
  <c r="C1599" i="4"/>
  <c r="E1598" i="4"/>
  <c r="C1598" i="4"/>
  <c r="E1597" i="4"/>
  <c r="C1597" i="4"/>
  <c r="E1596" i="4"/>
  <c r="C1596" i="4"/>
  <c r="E1595" i="4"/>
  <c r="C1595" i="4"/>
  <c r="E1594" i="4"/>
  <c r="C1594" i="4"/>
  <c r="E1593" i="4"/>
  <c r="C1593" i="4"/>
  <c r="E1592" i="4"/>
  <c r="C1592" i="4"/>
  <c r="E1591" i="4"/>
  <c r="C1591" i="4"/>
  <c r="E1590" i="4"/>
  <c r="C1590" i="4"/>
  <c r="E1589" i="4"/>
  <c r="C1589" i="4"/>
  <c r="E1588" i="4"/>
  <c r="C1588" i="4"/>
  <c r="E1587" i="4"/>
  <c r="C1587" i="4"/>
  <c r="E1586" i="4"/>
  <c r="C1586" i="4"/>
  <c r="E1585" i="4"/>
  <c r="C1585" i="4"/>
  <c r="E1584" i="4"/>
  <c r="C1584" i="4"/>
  <c r="E1583" i="4"/>
  <c r="C1583" i="4"/>
  <c r="E1582" i="4"/>
  <c r="C1582" i="4"/>
  <c r="E1581" i="4"/>
  <c r="C1581" i="4"/>
  <c r="E1580" i="4"/>
  <c r="C1580" i="4"/>
  <c r="E1579" i="4"/>
  <c r="C1579" i="4"/>
  <c r="E1578" i="4"/>
  <c r="C1578" i="4"/>
  <c r="E1577" i="4"/>
  <c r="C1577" i="4"/>
  <c r="E1576" i="4"/>
  <c r="C1576" i="4"/>
  <c r="E1575" i="4"/>
  <c r="C1575" i="4"/>
  <c r="E1574" i="4"/>
  <c r="C1574" i="4"/>
  <c r="E1573" i="4"/>
  <c r="C1573" i="4"/>
  <c r="E1572" i="4"/>
  <c r="C1572" i="4"/>
  <c r="E1571" i="4"/>
  <c r="C1571" i="4"/>
  <c r="E1570" i="4"/>
  <c r="C1570" i="4"/>
  <c r="E1569" i="4"/>
  <c r="C1569" i="4"/>
  <c r="E1568" i="4"/>
  <c r="C1568" i="4"/>
  <c r="E1567" i="4"/>
  <c r="C1567" i="4"/>
  <c r="E1566" i="4"/>
  <c r="C1566" i="4"/>
  <c r="E1565" i="4"/>
  <c r="C1565" i="4"/>
  <c r="E1564" i="4"/>
  <c r="C1564" i="4"/>
  <c r="E1563" i="4"/>
  <c r="C1563" i="4"/>
  <c r="E1562" i="4"/>
  <c r="C1562" i="4"/>
  <c r="E1561" i="4"/>
  <c r="C1561" i="4"/>
  <c r="E1560" i="4"/>
  <c r="C1560" i="4"/>
  <c r="E1559" i="4"/>
  <c r="C1559" i="4"/>
  <c r="E1558" i="4"/>
  <c r="C1558" i="4"/>
  <c r="E1557" i="4"/>
  <c r="C1557" i="4"/>
  <c r="E1556" i="4"/>
  <c r="C1556" i="4"/>
  <c r="E1555" i="4"/>
  <c r="C1555" i="4"/>
  <c r="E1554" i="4"/>
  <c r="C1554" i="4"/>
  <c r="E1553" i="4"/>
  <c r="C1553" i="4"/>
  <c r="E1552" i="4"/>
  <c r="C1552" i="4"/>
  <c r="E1551" i="4"/>
  <c r="C1551" i="4"/>
  <c r="E1550" i="4"/>
  <c r="C1550" i="4"/>
  <c r="E1549" i="4"/>
  <c r="C1549" i="4"/>
  <c r="E1548" i="4"/>
  <c r="C1548" i="4"/>
  <c r="E1547" i="4"/>
  <c r="C1547" i="4"/>
  <c r="E1546" i="4"/>
  <c r="C1546" i="4"/>
  <c r="E1545" i="4"/>
  <c r="C1545" i="4"/>
  <c r="E1544" i="4"/>
  <c r="C1544" i="4"/>
  <c r="E1543" i="4"/>
  <c r="C1543" i="4"/>
  <c r="E1542" i="4"/>
  <c r="C1542" i="4"/>
  <c r="E1541" i="4"/>
  <c r="C1541" i="4"/>
  <c r="E1540" i="4"/>
  <c r="C1540" i="4"/>
  <c r="E1539" i="4"/>
  <c r="C1539" i="4"/>
  <c r="E1538" i="4"/>
  <c r="C1538" i="4"/>
  <c r="E1537" i="4"/>
  <c r="C1537" i="4"/>
  <c r="E1536" i="4"/>
  <c r="C1536" i="4"/>
  <c r="E1535" i="4"/>
  <c r="C1535" i="4"/>
  <c r="E1534" i="4"/>
  <c r="C1534" i="4"/>
  <c r="E1533" i="4"/>
  <c r="C1533" i="4"/>
  <c r="E1532" i="4"/>
  <c r="C1532" i="4"/>
  <c r="E1531" i="4"/>
  <c r="C1531" i="4"/>
  <c r="E1530" i="4"/>
  <c r="C1530" i="4"/>
  <c r="E1529" i="4"/>
  <c r="C1529" i="4"/>
  <c r="E1528" i="4"/>
  <c r="C1528" i="4"/>
  <c r="E1527" i="4"/>
  <c r="C1527" i="4"/>
  <c r="E1526" i="4"/>
  <c r="C1526" i="4"/>
  <c r="E1525" i="4"/>
  <c r="C1525" i="4"/>
  <c r="E1524" i="4"/>
  <c r="C1524" i="4"/>
  <c r="E1523" i="4"/>
  <c r="C1523" i="4"/>
  <c r="E1522" i="4"/>
  <c r="C1522" i="4"/>
  <c r="E1521" i="4"/>
  <c r="C1521" i="4"/>
  <c r="E1520" i="4"/>
  <c r="C1520" i="4"/>
  <c r="E1519" i="4"/>
  <c r="C1519" i="4"/>
  <c r="E1518" i="4"/>
  <c r="C1518" i="4"/>
  <c r="E1517" i="4"/>
  <c r="C1517" i="4"/>
  <c r="E1516" i="4"/>
  <c r="C1516" i="4"/>
  <c r="E1515" i="4"/>
  <c r="C1515" i="4"/>
  <c r="E1514" i="4"/>
  <c r="C1514" i="4"/>
  <c r="E1513" i="4"/>
  <c r="C1513" i="4"/>
  <c r="E1512" i="4"/>
  <c r="C1512" i="4"/>
  <c r="E1511" i="4"/>
  <c r="C1511" i="4"/>
  <c r="E1510" i="4"/>
  <c r="C1510" i="4"/>
  <c r="E1509" i="4"/>
  <c r="C1509" i="4"/>
  <c r="E1508" i="4"/>
  <c r="C1508" i="4"/>
  <c r="E1507" i="4"/>
  <c r="C1507" i="4"/>
  <c r="E1506" i="4"/>
  <c r="C1506" i="4"/>
  <c r="E1505" i="4"/>
  <c r="C1505" i="4"/>
  <c r="E1504" i="4"/>
  <c r="C1504" i="4"/>
  <c r="E1503" i="4"/>
  <c r="C1503" i="4"/>
  <c r="E1502" i="4"/>
  <c r="C1502" i="4"/>
  <c r="E1501" i="4"/>
  <c r="C1501" i="4"/>
  <c r="E1500" i="4"/>
  <c r="C1500" i="4"/>
  <c r="E1499" i="4"/>
  <c r="C1499" i="4"/>
  <c r="E1498" i="4"/>
  <c r="C1498" i="4"/>
  <c r="E1497" i="4"/>
  <c r="C1497" i="4"/>
  <c r="E1496" i="4"/>
  <c r="C1496" i="4"/>
  <c r="E1495" i="4"/>
  <c r="C1495" i="4"/>
  <c r="E1494" i="4"/>
  <c r="C1494" i="4"/>
  <c r="E1493" i="4"/>
  <c r="C1493" i="4"/>
  <c r="E1492" i="4"/>
  <c r="C1492" i="4"/>
  <c r="E1491" i="4"/>
  <c r="C1491" i="4"/>
  <c r="E1490" i="4"/>
  <c r="C1490" i="4"/>
  <c r="E1489" i="4"/>
  <c r="C1489" i="4"/>
  <c r="E1488" i="4"/>
  <c r="C1488" i="4"/>
  <c r="E1487" i="4"/>
  <c r="C1487" i="4"/>
  <c r="E1486" i="4"/>
  <c r="C1486" i="4"/>
  <c r="E1485" i="4"/>
  <c r="C1485" i="4"/>
  <c r="E1484" i="4"/>
  <c r="C1484" i="4"/>
  <c r="E1483" i="4"/>
  <c r="C1483" i="4"/>
  <c r="E1482" i="4"/>
  <c r="C1482" i="4"/>
  <c r="E1481" i="4"/>
  <c r="C1481" i="4"/>
  <c r="E1480" i="4"/>
  <c r="C1480" i="4"/>
  <c r="E1479" i="4"/>
  <c r="C1479" i="4"/>
  <c r="E1478" i="4"/>
  <c r="C1478" i="4"/>
  <c r="E1477" i="4"/>
  <c r="C1477" i="4"/>
  <c r="E1476" i="4"/>
  <c r="C1476" i="4"/>
  <c r="E1475" i="4"/>
  <c r="C1475" i="4"/>
  <c r="E1474" i="4"/>
  <c r="C1474" i="4"/>
  <c r="E1473" i="4"/>
  <c r="C1473" i="4"/>
  <c r="E1472" i="4"/>
  <c r="C1472" i="4"/>
  <c r="E1471" i="4"/>
  <c r="C1471" i="4"/>
  <c r="E1470" i="4"/>
  <c r="C1470" i="4"/>
  <c r="E1469" i="4"/>
  <c r="C1469" i="4"/>
  <c r="E1468" i="4"/>
  <c r="C1468" i="4"/>
  <c r="E1467" i="4"/>
  <c r="C1467" i="4"/>
  <c r="E1466" i="4"/>
  <c r="C1466" i="4"/>
  <c r="E1465" i="4"/>
  <c r="C1465" i="4"/>
  <c r="E1464" i="4"/>
  <c r="C1464" i="4"/>
  <c r="E1463" i="4"/>
  <c r="C1463" i="4"/>
  <c r="E1462" i="4"/>
  <c r="C1462" i="4"/>
  <c r="E1461" i="4"/>
  <c r="C1461" i="4"/>
  <c r="E1460" i="4"/>
  <c r="C1460" i="4"/>
  <c r="E1459" i="4"/>
  <c r="C1459" i="4"/>
  <c r="E1458" i="4"/>
  <c r="C1458" i="4"/>
  <c r="E1457" i="4"/>
  <c r="C1457" i="4"/>
  <c r="E1456" i="4"/>
  <c r="C1456" i="4"/>
  <c r="E1455" i="4"/>
  <c r="C1455" i="4"/>
  <c r="E1454" i="4"/>
  <c r="C1454" i="4"/>
  <c r="E1453" i="4"/>
  <c r="C1453" i="4"/>
  <c r="E1452" i="4"/>
  <c r="C1452" i="4"/>
  <c r="E1451" i="4"/>
  <c r="C1451" i="4"/>
  <c r="E1450" i="4"/>
  <c r="C1450" i="4"/>
  <c r="E1449" i="4"/>
  <c r="C1449" i="4"/>
  <c r="E1448" i="4"/>
  <c r="C1448" i="4"/>
  <c r="E1447" i="4"/>
  <c r="C1447" i="4"/>
  <c r="E1446" i="4"/>
  <c r="C1446" i="4"/>
  <c r="E1445" i="4"/>
  <c r="C1445" i="4"/>
  <c r="E1444" i="4"/>
  <c r="C1444" i="4"/>
  <c r="E1443" i="4"/>
  <c r="C1443" i="4"/>
  <c r="E1442" i="4"/>
  <c r="C1442" i="4"/>
  <c r="E1441" i="4"/>
  <c r="C1441" i="4"/>
  <c r="E1440" i="4"/>
  <c r="C1440" i="4"/>
  <c r="E1439" i="4"/>
  <c r="C1439" i="4"/>
  <c r="E1438" i="4"/>
  <c r="C1438" i="4"/>
  <c r="E1437" i="4"/>
  <c r="C1437" i="4"/>
  <c r="E1436" i="4"/>
  <c r="C1436" i="4"/>
  <c r="E1435" i="4"/>
  <c r="C1435" i="4"/>
  <c r="E1434" i="4"/>
  <c r="C1434" i="4"/>
  <c r="E1433" i="4"/>
  <c r="C1433" i="4"/>
  <c r="E1432" i="4"/>
  <c r="C1432" i="4"/>
  <c r="E1431" i="4"/>
  <c r="C1431" i="4"/>
  <c r="E1430" i="4"/>
  <c r="C1430" i="4"/>
  <c r="E1429" i="4"/>
  <c r="C1429" i="4"/>
  <c r="E1428" i="4"/>
  <c r="C1428" i="4"/>
  <c r="E1427" i="4"/>
  <c r="C1427" i="4"/>
  <c r="E1426" i="4"/>
  <c r="C1426" i="4"/>
  <c r="E1425" i="4"/>
  <c r="C1425" i="4"/>
  <c r="E1424" i="4"/>
  <c r="C1424" i="4"/>
  <c r="E1423" i="4"/>
  <c r="C1423" i="4"/>
  <c r="E1422" i="4"/>
  <c r="C1422" i="4"/>
  <c r="E1421" i="4"/>
  <c r="C1421" i="4"/>
  <c r="E1420" i="4"/>
  <c r="C1420" i="4"/>
  <c r="E1419" i="4"/>
  <c r="C1419" i="4"/>
  <c r="E1418" i="4"/>
  <c r="C1418" i="4"/>
  <c r="E1417" i="4"/>
  <c r="C1417" i="4"/>
  <c r="E1416" i="4"/>
  <c r="C1416" i="4"/>
  <c r="E1415" i="4"/>
  <c r="C1415" i="4"/>
  <c r="E1414" i="4"/>
  <c r="C1414" i="4"/>
  <c r="E1413" i="4"/>
  <c r="C1413" i="4"/>
  <c r="E1412" i="4"/>
  <c r="C1412" i="4"/>
  <c r="E1411" i="4"/>
  <c r="C1411" i="4"/>
  <c r="E1410" i="4"/>
  <c r="C1410" i="4"/>
  <c r="E1409" i="4"/>
  <c r="C1409" i="4"/>
  <c r="E1408" i="4"/>
  <c r="C1408" i="4"/>
  <c r="E1407" i="4"/>
  <c r="C1407" i="4"/>
  <c r="E1406" i="4"/>
  <c r="C1406" i="4"/>
  <c r="E1405" i="4"/>
  <c r="C1405" i="4"/>
  <c r="E1404" i="4"/>
  <c r="C1404" i="4"/>
  <c r="E1403" i="4"/>
  <c r="C1403" i="4"/>
  <c r="E1402" i="4"/>
  <c r="C1402" i="4"/>
  <c r="E1401" i="4"/>
  <c r="C1401" i="4"/>
  <c r="E1400" i="4"/>
  <c r="C1400" i="4"/>
  <c r="E1399" i="4"/>
  <c r="C1399" i="4"/>
  <c r="E1398" i="4"/>
  <c r="C1398" i="4"/>
  <c r="E1397" i="4"/>
  <c r="C1397" i="4"/>
  <c r="E1396" i="4"/>
  <c r="C1396" i="4"/>
  <c r="E1395" i="4"/>
  <c r="C1395" i="4"/>
  <c r="E1394" i="4"/>
  <c r="C1394" i="4"/>
  <c r="E1393" i="4"/>
  <c r="C1393" i="4"/>
  <c r="E1392" i="4"/>
  <c r="C1392" i="4"/>
  <c r="E1391" i="4"/>
  <c r="C1391" i="4"/>
  <c r="E1390" i="4"/>
  <c r="C1390" i="4"/>
  <c r="E1389" i="4"/>
  <c r="C1389" i="4"/>
  <c r="E1388" i="4"/>
  <c r="C1388" i="4"/>
  <c r="E1387" i="4"/>
  <c r="C1387" i="4"/>
  <c r="E1386" i="4"/>
  <c r="C1386" i="4"/>
  <c r="E1385" i="4"/>
  <c r="C1385" i="4"/>
  <c r="E1384" i="4"/>
  <c r="C1384" i="4"/>
  <c r="E1383" i="4"/>
  <c r="C1383" i="4"/>
  <c r="E1382" i="4"/>
  <c r="C1382" i="4"/>
  <c r="E1381" i="4"/>
  <c r="C1381" i="4"/>
  <c r="E1380" i="4"/>
  <c r="C1380" i="4"/>
  <c r="E1379" i="4"/>
  <c r="C1379" i="4"/>
  <c r="E1378" i="4"/>
  <c r="C1378" i="4"/>
  <c r="E1377" i="4"/>
  <c r="C1377" i="4"/>
  <c r="E1376" i="4"/>
  <c r="C1376" i="4"/>
  <c r="E1375" i="4"/>
  <c r="C1375" i="4"/>
  <c r="E1374" i="4"/>
  <c r="C1374" i="4"/>
  <c r="E1373" i="4"/>
  <c r="C1373" i="4"/>
  <c r="E1372" i="4"/>
  <c r="C1372" i="4"/>
  <c r="E1371" i="4"/>
  <c r="C1371" i="4"/>
  <c r="E1370" i="4"/>
  <c r="C1370" i="4"/>
  <c r="E1369" i="4"/>
  <c r="C1369" i="4"/>
  <c r="E1368" i="4"/>
  <c r="C1368" i="4"/>
  <c r="E1367" i="4"/>
  <c r="C1367" i="4"/>
  <c r="E1366" i="4"/>
  <c r="C1366" i="4"/>
  <c r="E1365" i="4"/>
  <c r="C1365" i="4"/>
  <c r="E1364" i="4"/>
  <c r="C1364" i="4"/>
  <c r="E1363" i="4"/>
  <c r="C1363" i="4"/>
  <c r="E1362" i="4"/>
  <c r="C1362" i="4"/>
  <c r="E1361" i="4"/>
  <c r="C1361" i="4"/>
  <c r="E1360" i="4"/>
  <c r="C1360" i="4"/>
  <c r="E1359" i="4"/>
  <c r="C1359" i="4"/>
  <c r="E1358" i="4"/>
  <c r="C1358" i="4"/>
  <c r="E1357" i="4"/>
  <c r="C1357" i="4"/>
  <c r="E1356" i="4"/>
  <c r="C1356" i="4"/>
  <c r="E1355" i="4"/>
  <c r="C1355" i="4"/>
  <c r="E1354" i="4"/>
  <c r="C1354" i="4"/>
  <c r="E1353" i="4"/>
  <c r="C1353" i="4"/>
  <c r="E1352" i="4"/>
  <c r="C1352" i="4"/>
  <c r="E1351" i="4"/>
  <c r="C1351" i="4"/>
  <c r="E1350" i="4"/>
  <c r="C1350" i="4"/>
  <c r="E1349" i="4"/>
  <c r="C1349" i="4"/>
  <c r="E1348" i="4"/>
  <c r="C1348" i="4"/>
  <c r="E1347" i="4"/>
  <c r="C1347" i="4"/>
  <c r="E1346" i="4"/>
  <c r="C1346" i="4"/>
  <c r="E1345" i="4"/>
  <c r="C1345" i="4"/>
  <c r="E1344" i="4"/>
  <c r="C1344" i="4"/>
  <c r="E1343" i="4"/>
  <c r="C1343" i="4"/>
  <c r="E1342" i="4"/>
  <c r="C1342" i="4"/>
  <c r="E1341" i="4"/>
  <c r="C1341" i="4"/>
  <c r="E1340" i="4"/>
  <c r="C1340" i="4"/>
  <c r="E1339" i="4"/>
  <c r="C1339" i="4"/>
  <c r="E1338" i="4"/>
  <c r="C1338" i="4"/>
  <c r="E1337" i="4"/>
  <c r="C1337" i="4"/>
  <c r="E1336" i="4"/>
  <c r="C1336" i="4"/>
  <c r="E1335" i="4"/>
  <c r="C1335" i="4"/>
  <c r="E1334" i="4"/>
  <c r="C1334" i="4"/>
  <c r="E1333" i="4"/>
  <c r="C1333" i="4"/>
  <c r="E1332" i="4"/>
  <c r="C1332" i="4"/>
  <c r="E1331" i="4"/>
  <c r="C1331" i="4"/>
  <c r="E1330" i="4"/>
  <c r="C1330" i="4"/>
  <c r="E1329" i="4"/>
  <c r="C1329" i="4"/>
  <c r="E1328" i="4"/>
  <c r="C1328" i="4"/>
  <c r="E1327" i="4"/>
  <c r="C1327" i="4"/>
  <c r="E1326" i="4"/>
  <c r="C1326" i="4"/>
  <c r="E1325" i="4"/>
  <c r="C1325" i="4"/>
  <c r="E1324" i="4"/>
  <c r="C1324" i="4"/>
  <c r="E1323" i="4"/>
  <c r="C1323" i="4"/>
  <c r="E1322" i="4"/>
  <c r="C1322" i="4"/>
  <c r="E1321" i="4"/>
  <c r="C1321" i="4"/>
  <c r="E1320" i="4"/>
  <c r="C1320" i="4"/>
  <c r="E1319" i="4"/>
  <c r="C1319" i="4"/>
  <c r="E1318" i="4"/>
  <c r="C1318" i="4"/>
  <c r="E1317" i="4"/>
  <c r="C1317" i="4"/>
  <c r="E1316" i="4"/>
  <c r="C1316" i="4"/>
  <c r="E1315" i="4"/>
  <c r="C1315" i="4"/>
  <c r="E1314" i="4"/>
  <c r="C1314" i="4"/>
  <c r="E1313" i="4"/>
  <c r="C1313" i="4"/>
  <c r="E1312" i="4"/>
  <c r="C1312" i="4"/>
  <c r="E1311" i="4"/>
  <c r="C1311" i="4"/>
  <c r="E1310" i="4"/>
  <c r="C1310" i="4"/>
  <c r="E1309" i="4"/>
  <c r="C1309" i="4"/>
  <c r="E1308" i="4"/>
  <c r="C1308" i="4"/>
  <c r="E1307" i="4"/>
  <c r="C1307" i="4"/>
  <c r="E1306" i="4"/>
  <c r="C1306" i="4"/>
  <c r="E1305" i="4"/>
  <c r="C1305" i="4"/>
  <c r="E1304" i="4"/>
  <c r="C1304" i="4"/>
  <c r="E1303" i="4"/>
  <c r="C1303" i="4"/>
  <c r="E1302" i="4"/>
  <c r="C1302" i="4"/>
  <c r="E1301" i="4"/>
  <c r="C1301" i="4"/>
  <c r="E1300" i="4"/>
  <c r="C1300" i="4"/>
  <c r="E1299" i="4"/>
  <c r="C1299" i="4"/>
  <c r="E1298" i="4"/>
  <c r="C1298" i="4"/>
  <c r="E1297" i="4"/>
  <c r="C1297" i="4"/>
  <c r="E1296" i="4"/>
  <c r="C1296" i="4"/>
  <c r="E1295" i="4"/>
  <c r="C1295" i="4"/>
  <c r="E1294" i="4"/>
  <c r="C1294" i="4"/>
  <c r="E1293" i="4"/>
  <c r="C1293" i="4"/>
  <c r="E1292" i="4"/>
  <c r="C1292" i="4"/>
  <c r="E1291" i="4"/>
  <c r="C1291" i="4"/>
  <c r="E1290" i="4"/>
  <c r="C1290" i="4"/>
  <c r="E1289" i="4"/>
  <c r="C1289" i="4"/>
  <c r="E1288" i="4"/>
  <c r="C1288" i="4"/>
  <c r="E1287" i="4"/>
  <c r="C1287" i="4"/>
  <c r="E1286" i="4"/>
  <c r="C1286" i="4"/>
  <c r="E1285" i="4"/>
  <c r="C1285" i="4"/>
  <c r="E1284" i="4"/>
  <c r="C1284" i="4"/>
  <c r="E1283" i="4"/>
  <c r="C1283" i="4"/>
  <c r="E1282" i="4"/>
  <c r="C1282" i="4"/>
  <c r="E1281" i="4"/>
  <c r="C1281" i="4"/>
  <c r="E1280" i="4"/>
  <c r="C1280" i="4"/>
  <c r="E1279" i="4"/>
  <c r="C1279" i="4"/>
  <c r="E1278" i="4"/>
  <c r="C1278" i="4"/>
  <c r="E1277" i="4"/>
  <c r="C1277" i="4"/>
  <c r="E1276" i="4"/>
  <c r="C1276" i="4"/>
  <c r="E1275" i="4"/>
  <c r="C1275" i="4"/>
  <c r="E1274" i="4"/>
  <c r="C1274" i="4"/>
  <c r="E1273" i="4"/>
  <c r="C1273" i="4"/>
  <c r="E1272" i="4"/>
  <c r="C1272" i="4"/>
  <c r="E1271" i="4"/>
  <c r="C1271" i="4"/>
  <c r="E1270" i="4"/>
  <c r="C1270" i="4"/>
  <c r="E1269" i="4"/>
  <c r="C1269" i="4"/>
  <c r="E1268" i="4"/>
  <c r="C1268" i="4"/>
  <c r="E1267" i="4"/>
  <c r="C1267" i="4"/>
  <c r="E1266" i="4"/>
  <c r="C1266" i="4"/>
  <c r="E1265" i="4"/>
  <c r="C1265" i="4"/>
  <c r="E1264" i="4"/>
  <c r="C1264" i="4"/>
  <c r="E1263" i="4"/>
  <c r="C1263" i="4"/>
  <c r="E1262" i="4"/>
  <c r="C1262" i="4"/>
  <c r="E1261" i="4"/>
  <c r="C1261" i="4"/>
  <c r="E1260" i="4"/>
  <c r="C1260" i="4"/>
  <c r="E1259" i="4"/>
  <c r="C1259" i="4"/>
  <c r="E1258" i="4"/>
  <c r="C1258" i="4"/>
  <c r="E1257" i="4"/>
  <c r="C1257" i="4"/>
  <c r="E1256" i="4"/>
  <c r="C1256" i="4"/>
  <c r="E1255" i="4"/>
  <c r="C1255" i="4"/>
  <c r="E1254" i="4"/>
  <c r="C1254" i="4"/>
  <c r="E1253" i="4"/>
  <c r="C1253" i="4"/>
  <c r="E1252" i="4"/>
  <c r="C1252" i="4"/>
  <c r="E1251" i="4"/>
  <c r="C1251" i="4"/>
  <c r="E1250" i="4"/>
  <c r="C1250" i="4"/>
  <c r="E1249" i="4"/>
  <c r="C1249" i="4"/>
  <c r="E1248" i="4"/>
  <c r="C1248" i="4"/>
  <c r="E1247" i="4"/>
  <c r="C1247" i="4"/>
  <c r="E1246" i="4"/>
  <c r="C1246" i="4"/>
  <c r="E1245" i="4"/>
  <c r="C1245" i="4"/>
  <c r="E1244" i="4"/>
  <c r="C1244" i="4"/>
  <c r="E1243" i="4"/>
  <c r="C1243" i="4"/>
  <c r="E1242" i="4"/>
  <c r="C1242" i="4"/>
  <c r="E1241" i="4"/>
  <c r="C1241" i="4"/>
  <c r="E1240" i="4"/>
  <c r="C1240" i="4"/>
  <c r="E1239" i="4"/>
  <c r="C1239" i="4"/>
  <c r="E1238" i="4"/>
  <c r="C1238" i="4"/>
  <c r="E1237" i="4"/>
  <c r="C1237" i="4"/>
  <c r="E1236" i="4"/>
  <c r="C1236" i="4"/>
  <c r="E1235" i="4"/>
  <c r="C1235" i="4"/>
  <c r="E1234" i="4"/>
  <c r="C1234" i="4"/>
  <c r="E1233" i="4"/>
  <c r="C1233" i="4"/>
  <c r="E1232" i="4"/>
  <c r="C1232" i="4"/>
  <c r="E1231" i="4"/>
  <c r="C1231" i="4"/>
  <c r="E1230" i="4"/>
  <c r="C1230" i="4"/>
  <c r="E1229" i="4"/>
  <c r="C1229" i="4"/>
  <c r="E1228" i="4"/>
  <c r="C1228" i="4"/>
  <c r="E1227" i="4"/>
  <c r="C1227" i="4"/>
  <c r="E1226" i="4"/>
  <c r="C1226" i="4"/>
  <c r="E1225" i="4"/>
  <c r="C1225" i="4"/>
  <c r="E1224" i="4"/>
  <c r="C1224" i="4"/>
  <c r="E1223" i="4"/>
  <c r="C1223" i="4"/>
  <c r="E1222" i="4"/>
  <c r="C1222" i="4"/>
  <c r="E1221" i="4"/>
  <c r="C1221" i="4"/>
  <c r="E1220" i="4"/>
  <c r="C1220" i="4"/>
  <c r="E1219" i="4"/>
  <c r="C1219" i="4"/>
  <c r="E1218" i="4"/>
  <c r="C1218" i="4"/>
  <c r="E1217" i="4"/>
  <c r="C1217" i="4"/>
  <c r="E1216" i="4"/>
  <c r="C1216" i="4"/>
  <c r="E1215" i="4"/>
  <c r="C1215" i="4"/>
  <c r="E1214" i="4"/>
  <c r="C1214" i="4"/>
  <c r="E1213" i="4"/>
  <c r="C1213" i="4"/>
  <c r="E1212" i="4"/>
  <c r="C1212" i="4"/>
  <c r="E1211" i="4"/>
  <c r="C1211" i="4"/>
  <c r="E1210" i="4"/>
  <c r="C1210" i="4"/>
  <c r="E1209" i="4"/>
  <c r="C1209" i="4"/>
  <c r="E1208" i="4"/>
  <c r="C1208" i="4"/>
  <c r="E1207" i="4"/>
  <c r="C1207" i="4"/>
  <c r="E1206" i="4"/>
  <c r="C1206" i="4"/>
  <c r="E1205" i="4"/>
  <c r="C1205" i="4"/>
  <c r="E1204" i="4"/>
  <c r="C1204" i="4"/>
  <c r="E1203" i="4"/>
  <c r="C1203" i="4"/>
  <c r="E1202" i="4"/>
  <c r="C1202" i="4"/>
  <c r="E1201" i="4"/>
  <c r="C1201" i="4"/>
  <c r="E1200" i="4"/>
  <c r="C1200" i="4"/>
  <c r="E1199" i="4"/>
  <c r="C1199" i="4"/>
  <c r="E1198" i="4"/>
  <c r="C1198" i="4"/>
  <c r="E1197" i="4"/>
  <c r="C1197" i="4"/>
  <c r="E1196" i="4"/>
  <c r="C1196" i="4"/>
  <c r="E1195" i="4"/>
  <c r="C1195" i="4"/>
  <c r="E1194" i="4"/>
  <c r="C1194" i="4"/>
  <c r="E1193" i="4"/>
  <c r="C1193" i="4"/>
  <c r="E1192" i="4"/>
  <c r="C1192" i="4"/>
  <c r="E1191" i="4"/>
  <c r="C1191" i="4"/>
  <c r="E1190" i="4"/>
  <c r="C1190" i="4"/>
  <c r="E1189" i="4"/>
  <c r="C1189" i="4"/>
  <c r="E1188" i="4"/>
  <c r="C1188" i="4"/>
  <c r="E1187" i="4"/>
  <c r="C1187" i="4"/>
  <c r="E1186" i="4"/>
  <c r="C1186" i="4"/>
  <c r="E1185" i="4"/>
  <c r="C1185" i="4"/>
  <c r="E1184" i="4"/>
  <c r="C1184" i="4"/>
  <c r="E1183" i="4"/>
  <c r="C1183" i="4"/>
  <c r="E1182" i="4"/>
  <c r="C1182" i="4"/>
  <c r="E1181" i="4"/>
  <c r="C1181" i="4"/>
  <c r="E1180" i="4"/>
  <c r="C1180" i="4"/>
  <c r="E1179" i="4"/>
  <c r="C1179" i="4"/>
  <c r="E1178" i="4"/>
  <c r="C1178" i="4"/>
  <c r="E1177" i="4"/>
  <c r="C1177" i="4"/>
  <c r="E1176" i="4"/>
  <c r="C1176" i="4"/>
  <c r="E1175" i="4"/>
  <c r="C1175" i="4"/>
  <c r="E1174" i="4"/>
  <c r="C1174" i="4"/>
  <c r="E1173" i="4"/>
  <c r="C1173" i="4"/>
  <c r="E1172" i="4"/>
  <c r="C1172" i="4"/>
  <c r="E1171" i="4"/>
  <c r="C1171" i="4"/>
  <c r="E1170" i="4"/>
  <c r="C1170" i="4"/>
  <c r="E1169" i="4"/>
  <c r="C1169" i="4"/>
  <c r="E1168" i="4"/>
  <c r="C1168" i="4"/>
  <c r="E1167" i="4"/>
  <c r="C1167" i="4"/>
  <c r="E1166" i="4"/>
  <c r="C1166" i="4"/>
  <c r="E1165" i="4"/>
  <c r="C1165" i="4"/>
  <c r="E1164" i="4"/>
  <c r="C1164" i="4"/>
  <c r="E1163" i="4"/>
  <c r="C1163" i="4"/>
  <c r="E1162" i="4"/>
  <c r="C1162" i="4"/>
  <c r="E1161" i="4"/>
  <c r="C1161" i="4"/>
  <c r="E1160" i="4"/>
  <c r="C1160" i="4"/>
  <c r="E1159" i="4"/>
  <c r="C1159" i="4"/>
  <c r="E1158" i="4"/>
  <c r="C1158" i="4"/>
  <c r="E1157" i="4"/>
  <c r="C1157" i="4"/>
  <c r="E1156" i="4"/>
  <c r="C1156" i="4"/>
  <c r="E1155" i="4"/>
  <c r="C1155" i="4"/>
  <c r="E1154" i="4"/>
  <c r="C1154" i="4"/>
  <c r="E1153" i="4"/>
  <c r="C1153" i="4"/>
  <c r="E1152" i="4"/>
  <c r="C1152" i="4"/>
  <c r="E1151" i="4"/>
  <c r="C1151" i="4"/>
  <c r="E1150" i="4"/>
  <c r="C1150" i="4"/>
  <c r="E1149" i="4"/>
  <c r="C1149" i="4"/>
  <c r="E1148" i="4"/>
  <c r="C1148" i="4"/>
  <c r="E1147" i="4"/>
  <c r="C1147" i="4"/>
  <c r="E1146" i="4"/>
  <c r="C1146" i="4"/>
  <c r="E1145" i="4"/>
  <c r="C1145" i="4"/>
  <c r="E1144" i="4"/>
  <c r="C1144" i="4"/>
  <c r="E1143" i="4"/>
  <c r="C1143" i="4"/>
  <c r="E1142" i="4"/>
  <c r="C1142" i="4"/>
  <c r="E1141" i="4"/>
  <c r="C1141" i="4"/>
  <c r="E1140" i="4"/>
  <c r="C1140" i="4"/>
  <c r="E1139" i="4"/>
  <c r="C1139" i="4"/>
  <c r="E1138" i="4"/>
  <c r="C1138" i="4"/>
  <c r="E1137" i="4"/>
  <c r="C1137" i="4"/>
  <c r="E1136" i="4"/>
  <c r="C1136" i="4"/>
  <c r="E1135" i="4"/>
  <c r="C1135" i="4"/>
  <c r="E1134" i="4"/>
  <c r="C1134" i="4"/>
  <c r="E1133" i="4"/>
  <c r="C1133" i="4"/>
  <c r="E1132" i="4"/>
  <c r="C1132" i="4"/>
  <c r="E1131" i="4"/>
  <c r="C1131" i="4"/>
  <c r="E1130" i="4"/>
  <c r="C1130" i="4"/>
  <c r="E1129" i="4"/>
  <c r="C1129" i="4"/>
  <c r="E1128" i="4"/>
  <c r="C1128" i="4"/>
  <c r="E1127" i="4"/>
  <c r="C1127" i="4"/>
  <c r="E1126" i="4"/>
  <c r="C1126" i="4"/>
  <c r="E1125" i="4"/>
  <c r="C1125" i="4"/>
  <c r="E1124" i="4"/>
  <c r="C1124" i="4"/>
  <c r="E1123" i="4"/>
  <c r="C1123" i="4"/>
  <c r="E1122" i="4"/>
  <c r="C1122" i="4"/>
  <c r="E1121" i="4"/>
  <c r="C1121" i="4"/>
  <c r="E1120" i="4"/>
  <c r="C1120" i="4"/>
  <c r="E1119" i="4"/>
  <c r="C1119" i="4"/>
  <c r="E1118" i="4"/>
  <c r="C1118" i="4"/>
  <c r="E1117" i="4"/>
  <c r="C1117" i="4"/>
  <c r="E1116" i="4"/>
  <c r="C1116" i="4"/>
  <c r="E1115" i="4"/>
  <c r="C1115" i="4"/>
  <c r="E1114" i="4"/>
  <c r="C1114" i="4"/>
  <c r="E1113" i="4"/>
  <c r="C1113" i="4"/>
  <c r="E1112" i="4"/>
  <c r="C1112" i="4"/>
  <c r="E1111" i="4"/>
  <c r="C1111" i="4"/>
  <c r="E1110" i="4"/>
  <c r="C1110" i="4"/>
  <c r="E1109" i="4"/>
  <c r="C1109" i="4"/>
  <c r="E1108" i="4"/>
  <c r="C1108" i="4"/>
  <c r="E1107" i="4"/>
  <c r="C1107" i="4"/>
  <c r="E1106" i="4"/>
  <c r="C1106" i="4"/>
  <c r="E1105" i="4"/>
  <c r="C1105" i="4"/>
  <c r="E1104" i="4"/>
  <c r="C1104" i="4"/>
  <c r="E1103" i="4"/>
  <c r="C1103" i="4"/>
  <c r="E1102" i="4"/>
  <c r="C1102" i="4"/>
  <c r="E1101" i="4"/>
  <c r="C1101" i="4"/>
  <c r="E1100" i="4"/>
  <c r="C1100" i="4"/>
  <c r="E1099" i="4"/>
  <c r="C1099" i="4"/>
  <c r="E1098" i="4"/>
  <c r="C1098" i="4"/>
  <c r="E1097" i="4"/>
  <c r="C1097" i="4"/>
  <c r="E1096" i="4"/>
  <c r="C1096" i="4"/>
  <c r="E1095" i="4"/>
  <c r="C1095" i="4"/>
  <c r="E1094" i="4"/>
  <c r="C1094" i="4"/>
  <c r="E1093" i="4"/>
  <c r="C1093" i="4"/>
  <c r="E1092" i="4"/>
  <c r="C1092" i="4"/>
  <c r="E1091" i="4"/>
  <c r="C1091" i="4"/>
  <c r="E1090" i="4"/>
  <c r="C1090" i="4"/>
  <c r="E1089" i="4"/>
  <c r="C1089" i="4"/>
  <c r="E1088" i="4"/>
  <c r="C1088" i="4"/>
  <c r="E1087" i="4"/>
  <c r="C1087" i="4"/>
  <c r="E1086" i="4"/>
  <c r="C1086" i="4"/>
  <c r="E1085" i="4"/>
  <c r="C1085" i="4"/>
  <c r="E1084" i="4"/>
  <c r="C1084" i="4"/>
  <c r="E1083" i="4"/>
  <c r="C1083" i="4"/>
  <c r="E1082" i="4"/>
  <c r="C1082" i="4"/>
  <c r="E1081" i="4"/>
  <c r="C1081" i="4"/>
  <c r="E1080" i="4"/>
  <c r="C1080" i="4"/>
  <c r="E1079" i="4"/>
  <c r="C1079" i="4"/>
  <c r="E1078" i="4"/>
  <c r="C1078" i="4"/>
  <c r="E1077" i="4"/>
  <c r="C1077" i="4"/>
  <c r="E1076" i="4"/>
  <c r="C1076" i="4"/>
  <c r="E1075" i="4"/>
  <c r="C1075" i="4"/>
  <c r="E1074" i="4"/>
  <c r="C1074" i="4"/>
  <c r="E1073" i="4"/>
  <c r="C1073" i="4"/>
  <c r="E1072" i="4"/>
  <c r="C1072" i="4"/>
  <c r="E1071" i="4"/>
  <c r="C1071" i="4"/>
  <c r="E1070" i="4"/>
  <c r="C1070" i="4"/>
  <c r="E1069" i="4"/>
  <c r="C1069" i="4"/>
  <c r="E1068" i="4"/>
  <c r="C1068" i="4"/>
  <c r="E1067" i="4"/>
  <c r="C1067" i="4"/>
  <c r="E1066" i="4"/>
  <c r="C1066" i="4"/>
  <c r="E1065" i="4"/>
  <c r="C1065" i="4"/>
  <c r="E1064" i="4"/>
  <c r="C1064" i="4"/>
  <c r="E1063" i="4"/>
  <c r="C1063" i="4"/>
  <c r="E1062" i="4"/>
  <c r="C1062" i="4"/>
  <c r="E1061" i="4"/>
  <c r="C1061" i="4"/>
  <c r="E1060" i="4"/>
  <c r="C1060" i="4"/>
  <c r="E1059" i="4"/>
  <c r="C1059" i="4"/>
  <c r="E1058" i="4"/>
  <c r="C1058" i="4"/>
  <c r="E1057" i="4"/>
  <c r="C1057" i="4"/>
  <c r="E1056" i="4"/>
  <c r="C1056" i="4"/>
  <c r="E1055" i="4"/>
  <c r="C1055" i="4"/>
  <c r="E1054" i="4"/>
  <c r="C1054" i="4"/>
  <c r="E1053" i="4"/>
  <c r="C1053" i="4"/>
  <c r="E1052" i="4"/>
  <c r="C1052" i="4"/>
  <c r="E1051" i="4"/>
  <c r="C1051" i="4"/>
  <c r="E1050" i="4"/>
  <c r="C1050" i="4"/>
  <c r="E1049" i="4"/>
  <c r="C1049" i="4"/>
  <c r="E1048" i="4"/>
  <c r="C1048" i="4"/>
  <c r="E1047" i="4"/>
  <c r="C1047" i="4"/>
  <c r="E1046" i="4"/>
  <c r="C1046" i="4"/>
  <c r="E1045" i="4"/>
  <c r="C1045" i="4"/>
  <c r="E1044" i="4"/>
  <c r="C1044" i="4"/>
  <c r="E1043" i="4"/>
  <c r="C1043" i="4"/>
  <c r="E1042" i="4"/>
  <c r="C1042" i="4"/>
  <c r="E1041" i="4"/>
  <c r="C1041" i="4"/>
  <c r="E1040" i="4"/>
  <c r="C1040" i="4"/>
  <c r="E1039" i="4"/>
  <c r="C1039" i="4"/>
  <c r="E1038" i="4"/>
  <c r="C1038" i="4"/>
  <c r="E1037" i="4"/>
  <c r="C1037" i="4"/>
  <c r="E1036" i="4"/>
  <c r="C1036" i="4"/>
  <c r="E1035" i="4"/>
  <c r="C1035" i="4"/>
  <c r="E1034" i="4"/>
  <c r="C1034" i="4"/>
  <c r="E1033" i="4"/>
  <c r="C1033" i="4"/>
  <c r="E1032" i="4"/>
  <c r="C1032" i="4"/>
  <c r="E1031" i="4"/>
  <c r="C1031" i="4"/>
  <c r="E1030" i="4"/>
  <c r="C1030" i="4"/>
  <c r="E1029" i="4"/>
  <c r="C1029" i="4"/>
  <c r="E1028" i="4"/>
  <c r="C1028" i="4"/>
  <c r="E1027" i="4"/>
  <c r="C1027" i="4"/>
  <c r="E1026" i="4"/>
  <c r="C1026" i="4"/>
  <c r="E1025" i="4"/>
  <c r="C1025" i="4"/>
  <c r="E1024" i="4"/>
  <c r="C1024" i="4"/>
  <c r="E1023" i="4"/>
  <c r="C1023" i="4"/>
  <c r="E1022" i="4"/>
  <c r="C1022" i="4"/>
  <c r="E1021" i="4"/>
  <c r="C1021" i="4"/>
  <c r="E1020" i="4"/>
  <c r="C1020" i="4"/>
  <c r="E1019" i="4"/>
  <c r="C1019" i="4"/>
  <c r="E1018" i="4"/>
  <c r="C1018" i="4"/>
  <c r="E1017" i="4"/>
  <c r="C1017" i="4"/>
  <c r="E1016" i="4"/>
  <c r="C1016" i="4"/>
  <c r="E1015" i="4"/>
  <c r="C1015" i="4"/>
  <c r="E1014" i="4"/>
  <c r="C1014" i="4"/>
  <c r="E1013" i="4"/>
  <c r="C1013" i="4"/>
  <c r="E1012" i="4"/>
  <c r="C1012" i="4"/>
  <c r="E1011" i="4"/>
  <c r="C1011" i="4"/>
  <c r="E1010" i="4"/>
  <c r="C1010" i="4"/>
  <c r="E1009" i="4"/>
  <c r="C1009" i="4"/>
  <c r="E1008" i="4"/>
  <c r="C1008" i="4"/>
  <c r="E1007" i="4"/>
  <c r="C1007" i="4"/>
  <c r="E1006" i="4"/>
  <c r="C1006" i="4"/>
  <c r="E1005" i="4"/>
  <c r="C1005" i="4"/>
  <c r="E1004" i="4"/>
  <c r="C1004" i="4"/>
  <c r="E1003" i="4"/>
  <c r="C1003" i="4"/>
  <c r="E1002" i="4"/>
  <c r="C1002" i="4"/>
  <c r="E1001" i="4"/>
  <c r="C1001" i="4"/>
  <c r="E1000" i="4"/>
  <c r="C1000" i="4"/>
  <c r="E999" i="4"/>
  <c r="C999" i="4"/>
  <c r="E998" i="4"/>
  <c r="C998" i="4"/>
  <c r="E997" i="4"/>
  <c r="C997" i="4"/>
  <c r="E996" i="4"/>
  <c r="C996" i="4"/>
  <c r="E995" i="4"/>
  <c r="C995" i="4"/>
  <c r="E994" i="4"/>
  <c r="C994" i="4"/>
  <c r="E993" i="4"/>
  <c r="C993" i="4"/>
  <c r="E992" i="4"/>
  <c r="C992" i="4"/>
  <c r="E991" i="4"/>
  <c r="C991" i="4"/>
  <c r="E990" i="4"/>
  <c r="C990" i="4"/>
  <c r="E989" i="4"/>
  <c r="C989" i="4"/>
  <c r="E988" i="4"/>
  <c r="C988" i="4"/>
  <c r="E987" i="4"/>
  <c r="C987" i="4"/>
  <c r="E986" i="4"/>
  <c r="C986" i="4"/>
  <c r="E985" i="4"/>
  <c r="C985" i="4"/>
  <c r="E984" i="4"/>
  <c r="C984" i="4"/>
  <c r="E983" i="4"/>
  <c r="C983" i="4"/>
  <c r="E982" i="4"/>
  <c r="C982" i="4"/>
  <c r="E981" i="4"/>
  <c r="C981" i="4"/>
  <c r="E980" i="4"/>
  <c r="C980" i="4"/>
  <c r="E979" i="4"/>
  <c r="C979" i="4"/>
  <c r="E978" i="4"/>
  <c r="C978" i="4"/>
  <c r="E977" i="4"/>
  <c r="C977" i="4"/>
  <c r="E976" i="4"/>
  <c r="C976" i="4"/>
  <c r="E975" i="4"/>
  <c r="C975" i="4"/>
  <c r="E974" i="4"/>
  <c r="C974" i="4"/>
  <c r="E973" i="4"/>
  <c r="C973" i="4"/>
  <c r="E972" i="4"/>
  <c r="C972" i="4"/>
  <c r="E971" i="4"/>
  <c r="C971" i="4"/>
  <c r="E970" i="4"/>
  <c r="C970" i="4"/>
  <c r="E969" i="4"/>
  <c r="C969" i="4"/>
  <c r="E968" i="4"/>
  <c r="C968" i="4"/>
  <c r="E967" i="4"/>
  <c r="C967" i="4"/>
  <c r="E966" i="4"/>
  <c r="C966" i="4"/>
  <c r="E965" i="4"/>
  <c r="C965" i="4"/>
  <c r="E964" i="4"/>
  <c r="C964" i="4"/>
  <c r="E963" i="4"/>
  <c r="C963" i="4"/>
  <c r="E962" i="4"/>
  <c r="C962" i="4"/>
  <c r="E961" i="4"/>
  <c r="C961" i="4"/>
  <c r="E960" i="4"/>
  <c r="C960" i="4"/>
  <c r="E959" i="4"/>
  <c r="C959" i="4"/>
  <c r="E958" i="4"/>
  <c r="C958" i="4"/>
  <c r="E957" i="4"/>
  <c r="C957" i="4"/>
  <c r="E956" i="4"/>
  <c r="C956" i="4"/>
  <c r="E955" i="4"/>
  <c r="C955" i="4"/>
  <c r="E954" i="4"/>
  <c r="C954" i="4"/>
  <c r="E953" i="4"/>
  <c r="C953" i="4"/>
  <c r="E952" i="4"/>
  <c r="C952" i="4"/>
  <c r="E951" i="4"/>
  <c r="C951" i="4"/>
  <c r="E950" i="4"/>
  <c r="C950" i="4"/>
  <c r="E949" i="4"/>
  <c r="C949" i="4"/>
  <c r="E948" i="4"/>
  <c r="C948" i="4"/>
  <c r="E947" i="4"/>
  <c r="C947" i="4"/>
  <c r="E946" i="4"/>
  <c r="C946" i="4"/>
  <c r="E945" i="4"/>
  <c r="C945" i="4"/>
  <c r="E944" i="4"/>
  <c r="C944" i="4"/>
  <c r="E943" i="4"/>
  <c r="C943" i="4"/>
  <c r="E942" i="4"/>
  <c r="C942" i="4"/>
  <c r="E941" i="4"/>
  <c r="C941" i="4"/>
  <c r="E940" i="4"/>
  <c r="C940" i="4"/>
  <c r="E939" i="4"/>
  <c r="C939" i="4"/>
  <c r="E938" i="4"/>
  <c r="C938" i="4"/>
  <c r="E937" i="4"/>
  <c r="C937" i="4"/>
  <c r="E936" i="4"/>
  <c r="C936" i="4"/>
  <c r="E935" i="4"/>
  <c r="C935" i="4"/>
  <c r="E934" i="4"/>
  <c r="C934" i="4"/>
  <c r="E933" i="4"/>
  <c r="C933" i="4"/>
  <c r="E932" i="4"/>
  <c r="C932" i="4"/>
  <c r="E931" i="4"/>
  <c r="C931" i="4"/>
  <c r="E930" i="4"/>
  <c r="C930" i="4"/>
  <c r="E929" i="4"/>
  <c r="C929" i="4"/>
  <c r="E928" i="4"/>
  <c r="C928" i="4"/>
  <c r="E927" i="4"/>
  <c r="C927" i="4"/>
  <c r="E926" i="4"/>
  <c r="C926" i="4"/>
  <c r="E925" i="4"/>
  <c r="C925" i="4"/>
  <c r="E924" i="4"/>
  <c r="C924" i="4"/>
  <c r="E923" i="4"/>
  <c r="C923" i="4"/>
  <c r="E922" i="4"/>
  <c r="C922" i="4"/>
  <c r="E921" i="4"/>
  <c r="C921" i="4"/>
  <c r="E920" i="4"/>
  <c r="C920" i="4"/>
  <c r="E919" i="4"/>
  <c r="C919" i="4"/>
  <c r="E918" i="4"/>
  <c r="C918" i="4"/>
  <c r="E917" i="4"/>
  <c r="C917" i="4"/>
  <c r="E916" i="4"/>
  <c r="C916" i="4"/>
  <c r="E915" i="4"/>
  <c r="C915" i="4"/>
  <c r="E914" i="4"/>
  <c r="C914" i="4"/>
  <c r="E913" i="4"/>
  <c r="C913" i="4"/>
  <c r="E912" i="4"/>
  <c r="C912" i="4"/>
  <c r="E911" i="4"/>
  <c r="C911" i="4"/>
  <c r="E910" i="4"/>
  <c r="C910" i="4"/>
  <c r="E909" i="4"/>
  <c r="C909" i="4"/>
  <c r="E908" i="4"/>
  <c r="C908" i="4"/>
  <c r="E907" i="4"/>
  <c r="C907" i="4"/>
  <c r="E906" i="4"/>
  <c r="C906" i="4"/>
  <c r="E905" i="4"/>
  <c r="C905" i="4"/>
  <c r="E904" i="4"/>
  <c r="C904" i="4"/>
  <c r="E903" i="4"/>
  <c r="C903" i="4"/>
  <c r="E902" i="4"/>
  <c r="C902" i="4"/>
  <c r="E901" i="4"/>
  <c r="C901" i="4"/>
  <c r="E900" i="4"/>
  <c r="C900" i="4"/>
  <c r="E899" i="4"/>
  <c r="C899" i="4"/>
  <c r="E898" i="4"/>
  <c r="C898" i="4"/>
  <c r="E897" i="4"/>
  <c r="C897" i="4"/>
  <c r="E896" i="4"/>
  <c r="C896" i="4"/>
  <c r="E895" i="4"/>
  <c r="C895" i="4"/>
  <c r="E894" i="4"/>
  <c r="C894" i="4"/>
  <c r="E893" i="4"/>
  <c r="C893" i="4"/>
  <c r="E892" i="4"/>
  <c r="C892" i="4"/>
  <c r="E891" i="4"/>
  <c r="C891" i="4"/>
  <c r="E890" i="4"/>
  <c r="C890" i="4"/>
  <c r="E889" i="4"/>
  <c r="C889" i="4"/>
  <c r="E888" i="4"/>
  <c r="C888" i="4"/>
  <c r="E887" i="4"/>
  <c r="C887" i="4"/>
  <c r="E886" i="4"/>
  <c r="C886" i="4"/>
  <c r="E885" i="4"/>
  <c r="C885" i="4"/>
  <c r="E884" i="4"/>
  <c r="C884" i="4"/>
  <c r="E883" i="4"/>
  <c r="C883" i="4"/>
  <c r="E882" i="4"/>
  <c r="C882" i="4"/>
  <c r="E881" i="4"/>
  <c r="C881" i="4"/>
  <c r="E880" i="4"/>
  <c r="C880" i="4"/>
  <c r="E879" i="4"/>
  <c r="C879" i="4"/>
  <c r="E878" i="4"/>
  <c r="C878" i="4"/>
  <c r="E877" i="4"/>
  <c r="C877" i="4"/>
  <c r="E876" i="4"/>
  <c r="C876" i="4"/>
  <c r="E875" i="4"/>
  <c r="C875" i="4"/>
  <c r="E874" i="4"/>
  <c r="C874" i="4"/>
  <c r="E873" i="4"/>
  <c r="C873" i="4"/>
  <c r="E872" i="4"/>
  <c r="C872" i="4"/>
  <c r="E871" i="4"/>
  <c r="C871" i="4"/>
  <c r="E870" i="4"/>
  <c r="C870" i="4"/>
  <c r="E869" i="4"/>
  <c r="C869" i="4"/>
  <c r="E868" i="4"/>
  <c r="C868" i="4"/>
  <c r="E867" i="4"/>
  <c r="C867" i="4"/>
  <c r="E866" i="4"/>
  <c r="C866" i="4"/>
  <c r="E865" i="4"/>
  <c r="C865" i="4"/>
  <c r="E864" i="4"/>
  <c r="C864" i="4"/>
  <c r="E863" i="4"/>
  <c r="C863" i="4"/>
  <c r="E862" i="4"/>
  <c r="C862" i="4"/>
  <c r="E861" i="4"/>
  <c r="C861" i="4"/>
  <c r="E860" i="4"/>
  <c r="C860" i="4"/>
  <c r="E859" i="4"/>
  <c r="C859" i="4"/>
  <c r="E858" i="4"/>
  <c r="C858" i="4"/>
  <c r="E857" i="4"/>
  <c r="C857" i="4"/>
  <c r="E856" i="4"/>
  <c r="C856" i="4"/>
  <c r="E855" i="4"/>
  <c r="C855" i="4"/>
  <c r="E854" i="4"/>
  <c r="C854" i="4"/>
  <c r="E853" i="4"/>
  <c r="C853" i="4"/>
  <c r="E852" i="4"/>
  <c r="C852" i="4"/>
  <c r="E851" i="4"/>
  <c r="C851" i="4"/>
  <c r="E850" i="4"/>
  <c r="C850" i="4"/>
  <c r="E849" i="4"/>
  <c r="C849" i="4"/>
  <c r="E848" i="4"/>
  <c r="C848" i="4"/>
  <c r="E847" i="4"/>
  <c r="C847" i="4"/>
  <c r="E846" i="4"/>
  <c r="C846" i="4"/>
  <c r="E845" i="4"/>
  <c r="C845" i="4"/>
  <c r="E844" i="4"/>
  <c r="C844" i="4"/>
  <c r="E843" i="4"/>
  <c r="C843" i="4"/>
  <c r="E842" i="4"/>
  <c r="C842" i="4"/>
  <c r="E841" i="4"/>
  <c r="C841" i="4"/>
  <c r="E840" i="4"/>
  <c r="C840" i="4"/>
  <c r="E839" i="4"/>
  <c r="C839" i="4"/>
  <c r="E838" i="4"/>
  <c r="C838" i="4"/>
  <c r="E837" i="4"/>
  <c r="C837" i="4"/>
  <c r="E836" i="4"/>
  <c r="C836" i="4"/>
  <c r="E835" i="4"/>
  <c r="C835" i="4"/>
  <c r="E834" i="4"/>
  <c r="C834" i="4"/>
  <c r="E833" i="4"/>
  <c r="C833" i="4"/>
  <c r="E832" i="4"/>
  <c r="C832" i="4"/>
  <c r="E831" i="4"/>
  <c r="C831" i="4"/>
  <c r="E830" i="4"/>
  <c r="C830" i="4"/>
  <c r="E829" i="4"/>
  <c r="C829" i="4"/>
  <c r="E828" i="4"/>
  <c r="C828" i="4"/>
  <c r="E827" i="4"/>
  <c r="C827" i="4"/>
  <c r="E826" i="4"/>
  <c r="C826" i="4"/>
  <c r="E825" i="4"/>
  <c r="C825" i="4"/>
  <c r="E824" i="4"/>
  <c r="C824" i="4"/>
  <c r="E823" i="4"/>
  <c r="C823" i="4"/>
  <c r="E822" i="4"/>
  <c r="C822" i="4"/>
  <c r="E821" i="4"/>
  <c r="C821" i="4"/>
  <c r="E820" i="4"/>
  <c r="C820" i="4"/>
  <c r="E819" i="4"/>
  <c r="C819" i="4"/>
  <c r="E818" i="4"/>
  <c r="C818" i="4"/>
  <c r="E817" i="4"/>
  <c r="C817" i="4"/>
  <c r="E816" i="4"/>
  <c r="C816" i="4"/>
  <c r="E815" i="4"/>
  <c r="C815" i="4"/>
  <c r="E814" i="4"/>
  <c r="C814" i="4"/>
  <c r="E813" i="4"/>
  <c r="C813" i="4"/>
  <c r="E812" i="4"/>
  <c r="C812" i="4"/>
  <c r="E811" i="4"/>
  <c r="C811" i="4"/>
  <c r="E810" i="4"/>
  <c r="C810" i="4"/>
  <c r="E809" i="4"/>
  <c r="C809" i="4"/>
  <c r="E808" i="4"/>
  <c r="C808" i="4"/>
  <c r="E807" i="4"/>
  <c r="C807" i="4"/>
  <c r="E806" i="4"/>
  <c r="C806" i="4"/>
  <c r="E805" i="4"/>
  <c r="C805" i="4"/>
  <c r="E804" i="4"/>
  <c r="C804" i="4"/>
  <c r="E803" i="4"/>
  <c r="C803" i="4"/>
  <c r="E802" i="4"/>
  <c r="C802" i="4"/>
  <c r="E801" i="4"/>
  <c r="C801" i="4"/>
  <c r="E800" i="4"/>
  <c r="C800" i="4"/>
  <c r="E799" i="4"/>
  <c r="C799" i="4"/>
  <c r="E798" i="4"/>
  <c r="C798" i="4"/>
  <c r="E797" i="4"/>
  <c r="C797" i="4"/>
  <c r="E796" i="4"/>
  <c r="C796" i="4"/>
  <c r="E795" i="4"/>
  <c r="C795" i="4"/>
  <c r="E794" i="4"/>
  <c r="C794" i="4"/>
  <c r="E793" i="4"/>
  <c r="C793" i="4"/>
  <c r="E792" i="4"/>
  <c r="C792" i="4"/>
  <c r="E791" i="4"/>
  <c r="C791" i="4"/>
  <c r="E790" i="4"/>
  <c r="C790" i="4"/>
  <c r="E789" i="4"/>
  <c r="C789" i="4"/>
  <c r="E788" i="4"/>
  <c r="C788" i="4"/>
  <c r="E787" i="4"/>
  <c r="C787" i="4"/>
  <c r="E786" i="4"/>
  <c r="C786" i="4"/>
  <c r="E785" i="4"/>
  <c r="C785" i="4"/>
  <c r="E784" i="4"/>
  <c r="C784" i="4"/>
  <c r="E783" i="4"/>
  <c r="C783" i="4"/>
  <c r="E782" i="4"/>
  <c r="C782" i="4"/>
  <c r="E781" i="4"/>
  <c r="C781" i="4"/>
  <c r="E780" i="4"/>
  <c r="C780" i="4"/>
  <c r="E779" i="4"/>
  <c r="C779" i="4"/>
  <c r="E778" i="4"/>
  <c r="C778" i="4"/>
  <c r="E777" i="4"/>
  <c r="C777" i="4"/>
  <c r="E776" i="4"/>
  <c r="C776" i="4"/>
  <c r="E775" i="4"/>
  <c r="C775" i="4"/>
  <c r="E774" i="4"/>
  <c r="C774" i="4"/>
  <c r="E773" i="4"/>
  <c r="C773" i="4"/>
  <c r="E772" i="4"/>
  <c r="C772" i="4"/>
  <c r="E771" i="4"/>
  <c r="C771" i="4"/>
  <c r="E770" i="4"/>
  <c r="C770" i="4"/>
  <c r="E769" i="4"/>
  <c r="C769" i="4"/>
  <c r="E768" i="4"/>
  <c r="C768" i="4"/>
  <c r="E767" i="4"/>
  <c r="C767" i="4"/>
  <c r="E766" i="4"/>
  <c r="C766" i="4"/>
  <c r="E765" i="4"/>
  <c r="C765" i="4"/>
  <c r="E764" i="4"/>
  <c r="C764" i="4"/>
  <c r="E763" i="4"/>
  <c r="C763" i="4"/>
  <c r="E762" i="4"/>
  <c r="C762" i="4"/>
  <c r="E761" i="4"/>
  <c r="C761" i="4"/>
  <c r="E760" i="4"/>
  <c r="C760" i="4"/>
  <c r="E759" i="4"/>
  <c r="C759" i="4"/>
  <c r="E758" i="4"/>
  <c r="C758" i="4"/>
  <c r="E757" i="4"/>
  <c r="C757" i="4"/>
  <c r="E756" i="4"/>
  <c r="C756" i="4"/>
  <c r="E755" i="4"/>
  <c r="C755" i="4"/>
  <c r="E754" i="4"/>
  <c r="C754" i="4"/>
  <c r="E753" i="4"/>
  <c r="C753" i="4"/>
  <c r="E752" i="4"/>
  <c r="C752" i="4"/>
  <c r="E751" i="4"/>
  <c r="C751" i="4"/>
  <c r="E750" i="4"/>
  <c r="C750" i="4"/>
  <c r="E749" i="4"/>
  <c r="C749" i="4"/>
  <c r="E748" i="4"/>
  <c r="C748" i="4"/>
  <c r="E747" i="4"/>
  <c r="C747" i="4"/>
  <c r="E746" i="4"/>
  <c r="C746" i="4"/>
  <c r="E745" i="4"/>
  <c r="C745" i="4"/>
  <c r="E744" i="4"/>
  <c r="C744" i="4"/>
  <c r="E743" i="4"/>
  <c r="C743" i="4"/>
  <c r="E742" i="4"/>
  <c r="C742" i="4"/>
  <c r="E741" i="4"/>
  <c r="C741" i="4"/>
  <c r="E740" i="4"/>
  <c r="C740" i="4"/>
  <c r="E739" i="4"/>
  <c r="C739" i="4"/>
  <c r="E738" i="4"/>
  <c r="C738" i="4"/>
  <c r="E737" i="4"/>
  <c r="C737" i="4"/>
  <c r="E736" i="4"/>
  <c r="C736" i="4"/>
  <c r="E735" i="4"/>
  <c r="C735" i="4"/>
  <c r="E734" i="4"/>
  <c r="C734" i="4"/>
  <c r="E733" i="4"/>
  <c r="C733" i="4"/>
  <c r="E732" i="4"/>
  <c r="C732" i="4"/>
  <c r="E731" i="4"/>
  <c r="C731" i="4"/>
  <c r="E730" i="4"/>
  <c r="C730" i="4"/>
  <c r="E729" i="4"/>
  <c r="C729" i="4"/>
  <c r="E728" i="4"/>
  <c r="C728" i="4"/>
  <c r="E727" i="4"/>
  <c r="C727" i="4"/>
  <c r="E726" i="4"/>
  <c r="C726" i="4"/>
  <c r="E725" i="4"/>
  <c r="C725" i="4"/>
  <c r="E724" i="4"/>
  <c r="C724" i="4"/>
  <c r="E723" i="4"/>
  <c r="C723" i="4"/>
  <c r="E722" i="4"/>
  <c r="C722" i="4"/>
  <c r="E721" i="4"/>
  <c r="C721" i="4"/>
  <c r="E720" i="4"/>
  <c r="C720" i="4"/>
  <c r="E719" i="4"/>
  <c r="C719" i="4"/>
  <c r="E718" i="4"/>
  <c r="C718" i="4"/>
  <c r="E717" i="4"/>
  <c r="C717" i="4"/>
  <c r="E716" i="4"/>
  <c r="C716" i="4"/>
  <c r="E715" i="4"/>
  <c r="C715" i="4"/>
  <c r="E714" i="4"/>
  <c r="C714" i="4"/>
  <c r="E713" i="4"/>
  <c r="C713" i="4"/>
  <c r="E712" i="4"/>
  <c r="C712" i="4"/>
  <c r="E711" i="4"/>
  <c r="C711" i="4"/>
  <c r="E710" i="4"/>
  <c r="C710" i="4"/>
  <c r="E709" i="4"/>
  <c r="C709" i="4"/>
  <c r="E708" i="4"/>
  <c r="C708" i="4"/>
  <c r="E707" i="4"/>
  <c r="C707" i="4"/>
  <c r="E706" i="4"/>
  <c r="C706" i="4"/>
  <c r="E705" i="4"/>
  <c r="C705" i="4"/>
  <c r="E704" i="4"/>
  <c r="C704" i="4"/>
  <c r="E703" i="4"/>
  <c r="C703" i="4"/>
  <c r="E702" i="4"/>
  <c r="C702" i="4"/>
  <c r="E701" i="4"/>
  <c r="C701" i="4"/>
  <c r="E700" i="4"/>
  <c r="C700" i="4"/>
  <c r="E699" i="4"/>
  <c r="C699" i="4"/>
  <c r="E698" i="4"/>
  <c r="C698" i="4"/>
  <c r="E697" i="4"/>
  <c r="C697" i="4"/>
  <c r="E696" i="4"/>
  <c r="C696" i="4"/>
  <c r="E695" i="4"/>
  <c r="C695" i="4"/>
  <c r="E694" i="4"/>
  <c r="C694" i="4"/>
  <c r="E693" i="4"/>
  <c r="C693" i="4"/>
  <c r="E692" i="4"/>
  <c r="C692" i="4"/>
  <c r="E691" i="4"/>
  <c r="C691" i="4"/>
  <c r="E690" i="4"/>
  <c r="C690" i="4"/>
  <c r="E689" i="4"/>
  <c r="C689" i="4"/>
  <c r="E688" i="4"/>
  <c r="C688" i="4"/>
  <c r="E687" i="4"/>
  <c r="C687" i="4"/>
  <c r="E686" i="4"/>
  <c r="C686" i="4"/>
  <c r="E685" i="4"/>
  <c r="C685" i="4"/>
  <c r="E684" i="4"/>
  <c r="C684" i="4"/>
  <c r="E683" i="4"/>
  <c r="C683" i="4"/>
  <c r="E682" i="4"/>
  <c r="C682" i="4"/>
  <c r="E681" i="4"/>
  <c r="C681" i="4"/>
  <c r="E680" i="4"/>
  <c r="C680" i="4"/>
  <c r="E679" i="4"/>
  <c r="C679" i="4"/>
  <c r="E678" i="4"/>
  <c r="C678" i="4"/>
  <c r="E677" i="4"/>
  <c r="C677" i="4"/>
  <c r="E676" i="4"/>
  <c r="C676" i="4"/>
  <c r="E675" i="4"/>
  <c r="C675" i="4"/>
  <c r="E674" i="4"/>
  <c r="C674" i="4"/>
  <c r="E673" i="4"/>
  <c r="C673" i="4"/>
  <c r="E672" i="4"/>
  <c r="C672" i="4"/>
  <c r="E671" i="4"/>
  <c r="C671" i="4"/>
  <c r="E670" i="4"/>
  <c r="C670" i="4"/>
  <c r="E669" i="4"/>
  <c r="C669" i="4"/>
  <c r="E668" i="4"/>
  <c r="C668" i="4"/>
  <c r="E667" i="4"/>
  <c r="C667" i="4"/>
  <c r="E666" i="4"/>
  <c r="C666" i="4"/>
  <c r="E665" i="4"/>
  <c r="C665" i="4"/>
  <c r="E664" i="4"/>
  <c r="C664" i="4"/>
  <c r="E663" i="4"/>
  <c r="C663" i="4"/>
  <c r="E662" i="4"/>
  <c r="C662" i="4"/>
  <c r="E661" i="4"/>
  <c r="C661" i="4"/>
  <c r="E660" i="4"/>
  <c r="C660" i="4"/>
  <c r="E659" i="4"/>
  <c r="C659" i="4"/>
  <c r="E658" i="4"/>
  <c r="C658" i="4"/>
  <c r="E657" i="4"/>
  <c r="C657" i="4"/>
  <c r="E656" i="4"/>
  <c r="C656" i="4"/>
  <c r="E655" i="4"/>
  <c r="C655" i="4"/>
  <c r="E654" i="4"/>
  <c r="C654" i="4"/>
  <c r="E653" i="4"/>
  <c r="C653" i="4"/>
  <c r="E652" i="4"/>
  <c r="C652" i="4"/>
  <c r="E651" i="4"/>
  <c r="C651" i="4"/>
  <c r="E650" i="4"/>
  <c r="C650" i="4"/>
  <c r="E649" i="4"/>
  <c r="C649" i="4"/>
  <c r="E648" i="4"/>
  <c r="C648" i="4"/>
  <c r="E647" i="4"/>
  <c r="C647" i="4"/>
  <c r="E646" i="4"/>
  <c r="C646" i="4"/>
  <c r="E645" i="4"/>
  <c r="C645" i="4"/>
  <c r="E644" i="4"/>
  <c r="C644" i="4"/>
  <c r="E643" i="4"/>
  <c r="C643" i="4"/>
  <c r="E642" i="4"/>
  <c r="C642" i="4"/>
  <c r="E641" i="4"/>
  <c r="C641" i="4"/>
  <c r="E640" i="4"/>
  <c r="C640" i="4"/>
  <c r="E639" i="4"/>
  <c r="C639" i="4"/>
  <c r="E638" i="4"/>
  <c r="C638" i="4"/>
  <c r="E637" i="4"/>
  <c r="C637" i="4"/>
  <c r="E636" i="4"/>
  <c r="C636" i="4"/>
  <c r="E635" i="4"/>
  <c r="C635" i="4"/>
  <c r="E634" i="4"/>
  <c r="C634" i="4"/>
  <c r="E633" i="4"/>
  <c r="C633" i="4"/>
  <c r="E632" i="4"/>
  <c r="C632" i="4"/>
  <c r="E631" i="4"/>
  <c r="C631" i="4"/>
  <c r="E630" i="4"/>
  <c r="C630" i="4"/>
  <c r="E629" i="4"/>
  <c r="C629" i="4"/>
  <c r="E628" i="4"/>
  <c r="C628" i="4"/>
  <c r="E627" i="4"/>
  <c r="C627" i="4"/>
  <c r="E626" i="4"/>
  <c r="C626" i="4"/>
  <c r="E625" i="4"/>
  <c r="C625" i="4"/>
  <c r="E624" i="4"/>
  <c r="C624" i="4"/>
  <c r="E623" i="4"/>
  <c r="C623" i="4"/>
  <c r="E622" i="4"/>
  <c r="C622" i="4"/>
  <c r="E621" i="4"/>
  <c r="C621" i="4"/>
  <c r="E620" i="4"/>
  <c r="C620" i="4"/>
  <c r="E619" i="4"/>
  <c r="C619" i="4"/>
  <c r="E618" i="4"/>
  <c r="C618" i="4"/>
  <c r="E617" i="4"/>
  <c r="C617" i="4"/>
  <c r="E616" i="4"/>
  <c r="C616" i="4"/>
  <c r="E615" i="4"/>
  <c r="C615" i="4"/>
  <c r="E614" i="4"/>
  <c r="C614" i="4"/>
  <c r="E613" i="4"/>
  <c r="C613" i="4"/>
  <c r="E612" i="4"/>
  <c r="C612" i="4"/>
  <c r="E611" i="4"/>
  <c r="C611" i="4"/>
  <c r="E610" i="4"/>
  <c r="C610" i="4"/>
  <c r="E609" i="4"/>
  <c r="C609" i="4"/>
  <c r="E608" i="4"/>
  <c r="C608" i="4"/>
  <c r="E607" i="4"/>
  <c r="C607" i="4"/>
  <c r="E606" i="4"/>
  <c r="C606" i="4"/>
  <c r="E605" i="4"/>
  <c r="C605" i="4"/>
  <c r="E604" i="4"/>
  <c r="C604" i="4"/>
  <c r="E603" i="4"/>
  <c r="C603" i="4"/>
  <c r="E602" i="4"/>
  <c r="C602" i="4"/>
  <c r="E601" i="4"/>
  <c r="C601" i="4"/>
  <c r="E600" i="4"/>
  <c r="C600" i="4"/>
  <c r="E599" i="4"/>
  <c r="C599" i="4"/>
  <c r="E598" i="4"/>
  <c r="C598" i="4"/>
  <c r="E597" i="4"/>
  <c r="C597" i="4"/>
  <c r="E596" i="4"/>
  <c r="C596" i="4"/>
  <c r="E595" i="4"/>
  <c r="C595" i="4"/>
  <c r="E594" i="4"/>
  <c r="C594" i="4"/>
  <c r="E593" i="4"/>
  <c r="C593" i="4"/>
  <c r="E592" i="4"/>
  <c r="C592" i="4"/>
  <c r="E591" i="4"/>
  <c r="C591" i="4"/>
  <c r="E590" i="4"/>
  <c r="C590" i="4"/>
  <c r="E589" i="4"/>
  <c r="C589" i="4"/>
  <c r="E588" i="4"/>
  <c r="C588" i="4"/>
  <c r="E587" i="4"/>
  <c r="C587" i="4"/>
  <c r="E586" i="4"/>
  <c r="C586" i="4"/>
  <c r="E585" i="4"/>
  <c r="C585" i="4"/>
  <c r="E584" i="4"/>
  <c r="C584" i="4"/>
  <c r="E583" i="4"/>
  <c r="C583" i="4"/>
  <c r="E582" i="4"/>
  <c r="C582" i="4"/>
  <c r="E581" i="4"/>
  <c r="C581" i="4"/>
  <c r="E580" i="4"/>
  <c r="C580" i="4"/>
  <c r="E579" i="4"/>
  <c r="C579" i="4"/>
  <c r="E578" i="4"/>
  <c r="C578" i="4"/>
  <c r="E577" i="4"/>
  <c r="C577" i="4"/>
  <c r="E576" i="4"/>
  <c r="C576" i="4"/>
  <c r="E575" i="4"/>
  <c r="C575" i="4"/>
  <c r="E574" i="4"/>
  <c r="C574" i="4"/>
  <c r="E573" i="4"/>
  <c r="C573" i="4"/>
  <c r="E572" i="4"/>
  <c r="C572" i="4"/>
  <c r="E571" i="4"/>
  <c r="C571" i="4"/>
  <c r="E570" i="4"/>
  <c r="C570" i="4"/>
  <c r="E569" i="4"/>
  <c r="C569" i="4"/>
  <c r="E568" i="4"/>
  <c r="C568" i="4"/>
  <c r="E567" i="4"/>
  <c r="C567" i="4"/>
  <c r="E566" i="4"/>
  <c r="C566" i="4"/>
  <c r="E565" i="4"/>
  <c r="C565" i="4"/>
  <c r="E564" i="4"/>
  <c r="C564" i="4"/>
  <c r="E563" i="4"/>
  <c r="C563" i="4"/>
  <c r="E562" i="4"/>
  <c r="C562" i="4"/>
  <c r="E561" i="4"/>
  <c r="C561" i="4"/>
  <c r="E560" i="4"/>
  <c r="C560" i="4"/>
  <c r="E559" i="4"/>
  <c r="C559" i="4"/>
  <c r="E558" i="4"/>
  <c r="C558" i="4"/>
  <c r="E557" i="4"/>
  <c r="C557" i="4"/>
  <c r="E556" i="4"/>
  <c r="C556" i="4"/>
  <c r="E555" i="4"/>
  <c r="C555" i="4"/>
  <c r="E554" i="4"/>
  <c r="C554" i="4"/>
  <c r="E553" i="4"/>
  <c r="C553" i="4"/>
  <c r="E552" i="4"/>
  <c r="C552" i="4"/>
  <c r="E551" i="4"/>
  <c r="C551" i="4"/>
  <c r="E550" i="4"/>
  <c r="C550" i="4"/>
  <c r="E549" i="4"/>
  <c r="C549" i="4"/>
  <c r="E548" i="4"/>
  <c r="C548" i="4"/>
  <c r="E547" i="4"/>
  <c r="C547" i="4"/>
  <c r="E546" i="4"/>
  <c r="C546" i="4"/>
  <c r="E545" i="4"/>
  <c r="C545" i="4"/>
  <c r="E544" i="4"/>
  <c r="C544" i="4"/>
  <c r="E543" i="4"/>
  <c r="C543" i="4"/>
  <c r="E542" i="4"/>
  <c r="C542" i="4"/>
  <c r="E541" i="4"/>
  <c r="C541" i="4"/>
  <c r="E540" i="4"/>
  <c r="C540" i="4"/>
  <c r="E539" i="4"/>
  <c r="C539" i="4"/>
  <c r="E538" i="4"/>
  <c r="C538" i="4"/>
  <c r="E537" i="4"/>
  <c r="C537" i="4"/>
  <c r="E536" i="4"/>
  <c r="C536" i="4"/>
  <c r="E535" i="4"/>
  <c r="C535" i="4"/>
  <c r="E534" i="4"/>
  <c r="C534" i="4"/>
  <c r="E533" i="4"/>
  <c r="C533" i="4"/>
  <c r="E532" i="4"/>
  <c r="C532" i="4"/>
  <c r="E531" i="4"/>
  <c r="C531" i="4"/>
  <c r="E530" i="4"/>
  <c r="C530" i="4"/>
  <c r="E529" i="4"/>
  <c r="C529" i="4"/>
  <c r="E528" i="4"/>
  <c r="C528" i="4"/>
  <c r="E527" i="4"/>
  <c r="C527" i="4"/>
  <c r="E526" i="4"/>
  <c r="C526" i="4"/>
  <c r="E525" i="4"/>
  <c r="C525" i="4"/>
  <c r="E524" i="4"/>
  <c r="C524" i="4"/>
  <c r="E523" i="4"/>
  <c r="C523" i="4"/>
  <c r="E522" i="4"/>
  <c r="C522" i="4"/>
  <c r="E521" i="4"/>
  <c r="C521" i="4"/>
  <c r="E520" i="4"/>
  <c r="C520" i="4"/>
  <c r="E519" i="4"/>
  <c r="C519" i="4"/>
  <c r="E518" i="4"/>
  <c r="C518" i="4"/>
  <c r="E517" i="4"/>
  <c r="C517" i="4"/>
  <c r="E516" i="4"/>
  <c r="C516" i="4"/>
  <c r="E515" i="4"/>
  <c r="C515" i="4"/>
  <c r="E514" i="4"/>
  <c r="C514" i="4"/>
  <c r="E513" i="4"/>
  <c r="C513" i="4"/>
  <c r="E512" i="4"/>
  <c r="C512" i="4"/>
  <c r="E511" i="4"/>
  <c r="C511" i="4"/>
  <c r="E510" i="4"/>
  <c r="C510" i="4"/>
  <c r="E509" i="4"/>
  <c r="C509" i="4"/>
  <c r="E508" i="4"/>
  <c r="C508" i="4"/>
  <c r="E507" i="4"/>
  <c r="C507" i="4"/>
  <c r="E506" i="4"/>
  <c r="C506" i="4"/>
  <c r="E505" i="4"/>
  <c r="C505" i="4"/>
  <c r="E504" i="4"/>
  <c r="C504" i="4"/>
  <c r="E503" i="4"/>
  <c r="C503" i="4"/>
  <c r="E502" i="4"/>
  <c r="C502" i="4"/>
  <c r="E501" i="4"/>
  <c r="C501" i="4"/>
  <c r="E500" i="4"/>
  <c r="C500" i="4"/>
  <c r="E499" i="4"/>
  <c r="C499" i="4"/>
  <c r="E498" i="4"/>
  <c r="C498" i="4"/>
  <c r="E497" i="4"/>
  <c r="C497" i="4"/>
  <c r="E496" i="4"/>
  <c r="C496" i="4"/>
  <c r="E495" i="4"/>
  <c r="C495" i="4"/>
  <c r="E494" i="4"/>
  <c r="C494" i="4"/>
  <c r="E493" i="4"/>
  <c r="C493" i="4"/>
  <c r="E492" i="4"/>
  <c r="C492" i="4"/>
  <c r="E491" i="4"/>
  <c r="C491" i="4"/>
  <c r="E490" i="4"/>
  <c r="C490" i="4"/>
  <c r="E489" i="4"/>
  <c r="C489" i="4"/>
  <c r="E488" i="4"/>
  <c r="C488" i="4"/>
  <c r="E487" i="4"/>
  <c r="C487" i="4"/>
  <c r="E486" i="4"/>
  <c r="C486" i="4"/>
  <c r="E485" i="4"/>
  <c r="C485" i="4"/>
  <c r="E484" i="4"/>
  <c r="C484" i="4"/>
  <c r="E483" i="4"/>
  <c r="C483" i="4"/>
  <c r="E482" i="4"/>
  <c r="C482" i="4"/>
  <c r="E481" i="4"/>
  <c r="C481" i="4"/>
  <c r="E480" i="4"/>
  <c r="C480" i="4"/>
  <c r="E479" i="4"/>
  <c r="C479" i="4"/>
  <c r="E478" i="4"/>
  <c r="C478" i="4"/>
  <c r="E477" i="4"/>
  <c r="C477" i="4"/>
  <c r="E476" i="4"/>
  <c r="C476" i="4"/>
  <c r="E475" i="4"/>
  <c r="C475" i="4"/>
  <c r="E474" i="4"/>
  <c r="C474" i="4"/>
  <c r="E473" i="4"/>
  <c r="C473" i="4"/>
  <c r="E472" i="4"/>
  <c r="C472" i="4"/>
  <c r="E471" i="4"/>
  <c r="C471" i="4"/>
  <c r="E470" i="4"/>
  <c r="C470" i="4"/>
  <c r="E469" i="4"/>
  <c r="C469" i="4"/>
  <c r="E468" i="4"/>
  <c r="C468" i="4"/>
  <c r="E467" i="4"/>
  <c r="C467" i="4"/>
  <c r="E466" i="4"/>
  <c r="C466" i="4"/>
  <c r="E465" i="4"/>
  <c r="C465" i="4"/>
  <c r="E464" i="4"/>
  <c r="C464" i="4"/>
  <c r="E463" i="4"/>
  <c r="C463" i="4"/>
  <c r="E462" i="4"/>
  <c r="C462" i="4"/>
  <c r="E461" i="4"/>
  <c r="C461" i="4"/>
  <c r="E460" i="4"/>
  <c r="C460" i="4"/>
  <c r="E459" i="4"/>
  <c r="C459" i="4"/>
  <c r="E458" i="4"/>
  <c r="C458" i="4"/>
  <c r="E457" i="4"/>
  <c r="C457" i="4"/>
  <c r="E456" i="4"/>
  <c r="C456" i="4"/>
  <c r="E455" i="4"/>
  <c r="C455" i="4"/>
  <c r="E454" i="4"/>
  <c r="C454" i="4"/>
  <c r="E453" i="4"/>
  <c r="C453" i="4"/>
  <c r="E452" i="4"/>
  <c r="C452" i="4"/>
  <c r="E451" i="4"/>
  <c r="C451" i="4"/>
  <c r="E450" i="4"/>
  <c r="C450" i="4"/>
  <c r="E449" i="4"/>
  <c r="C449" i="4"/>
  <c r="E448" i="4"/>
  <c r="C448" i="4"/>
  <c r="E447" i="4"/>
  <c r="C447" i="4"/>
  <c r="E446" i="4"/>
  <c r="C446" i="4"/>
  <c r="E445" i="4"/>
  <c r="C445" i="4"/>
  <c r="E444" i="4"/>
  <c r="C444" i="4"/>
  <c r="E443" i="4"/>
  <c r="C443" i="4"/>
  <c r="E442" i="4"/>
  <c r="C442" i="4"/>
  <c r="E441" i="4"/>
  <c r="C441" i="4"/>
  <c r="E440" i="4"/>
  <c r="C440" i="4"/>
  <c r="E439" i="4"/>
  <c r="C439" i="4"/>
  <c r="E438" i="4"/>
  <c r="C438" i="4"/>
  <c r="E437" i="4"/>
  <c r="C437" i="4"/>
  <c r="E436" i="4"/>
  <c r="C436" i="4"/>
  <c r="E435" i="4"/>
  <c r="C435" i="4"/>
  <c r="E434" i="4"/>
  <c r="C434" i="4"/>
  <c r="E433" i="4"/>
  <c r="C433" i="4"/>
  <c r="E432" i="4"/>
  <c r="C432" i="4"/>
  <c r="E431" i="4"/>
  <c r="C431" i="4"/>
  <c r="E430" i="4"/>
  <c r="C430" i="4"/>
  <c r="E429" i="4"/>
  <c r="C429" i="4"/>
  <c r="E428" i="4"/>
  <c r="C428" i="4"/>
  <c r="E427" i="4"/>
  <c r="C427" i="4"/>
  <c r="E426" i="4"/>
  <c r="C426" i="4"/>
  <c r="E425" i="4"/>
  <c r="C425" i="4"/>
  <c r="E424" i="4"/>
  <c r="C424" i="4"/>
  <c r="E423" i="4"/>
  <c r="C423" i="4"/>
  <c r="E422" i="4"/>
  <c r="C422" i="4"/>
  <c r="E421" i="4"/>
  <c r="C421" i="4"/>
  <c r="E420" i="4"/>
  <c r="C420" i="4"/>
  <c r="E419" i="4"/>
  <c r="C419" i="4"/>
  <c r="E418" i="4"/>
  <c r="C418" i="4"/>
  <c r="E417" i="4"/>
  <c r="C417" i="4"/>
  <c r="E416" i="4"/>
  <c r="C416" i="4"/>
  <c r="E415" i="4"/>
  <c r="C415" i="4"/>
  <c r="E414" i="4"/>
  <c r="C414" i="4"/>
  <c r="E413" i="4"/>
  <c r="C413" i="4"/>
  <c r="E412" i="4"/>
  <c r="C412" i="4"/>
  <c r="E411" i="4"/>
  <c r="C411" i="4"/>
  <c r="E410" i="4"/>
  <c r="C410" i="4"/>
  <c r="E409" i="4"/>
  <c r="C409" i="4"/>
  <c r="E408" i="4"/>
  <c r="C408" i="4"/>
  <c r="E407" i="4"/>
  <c r="C407" i="4"/>
  <c r="E406" i="4"/>
  <c r="C406" i="4"/>
  <c r="E405" i="4"/>
  <c r="C405" i="4"/>
  <c r="E404" i="4"/>
  <c r="C404" i="4"/>
  <c r="E403" i="4"/>
  <c r="C403" i="4"/>
  <c r="E402" i="4"/>
  <c r="C402" i="4"/>
  <c r="E401" i="4"/>
  <c r="C401" i="4"/>
  <c r="E400" i="4"/>
  <c r="C400" i="4"/>
  <c r="E399" i="4"/>
  <c r="C399" i="4"/>
  <c r="E398" i="4"/>
  <c r="C398" i="4"/>
  <c r="E397" i="4"/>
  <c r="C397" i="4"/>
  <c r="E396" i="4"/>
  <c r="C396" i="4"/>
  <c r="E395" i="4"/>
  <c r="C395" i="4"/>
  <c r="E394" i="4"/>
  <c r="C394" i="4"/>
  <c r="E393" i="4"/>
  <c r="C393" i="4"/>
  <c r="E392" i="4"/>
  <c r="C392" i="4"/>
  <c r="E391" i="4"/>
  <c r="C391" i="4"/>
  <c r="E390" i="4"/>
  <c r="C390" i="4"/>
  <c r="E389" i="4"/>
  <c r="C389" i="4"/>
  <c r="E388" i="4"/>
  <c r="C388" i="4"/>
  <c r="E387" i="4"/>
  <c r="C387" i="4"/>
  <c r="E386" i="4"/>
  <c r="C386" i="4"/>
  <c r="E385" i="4"/>
  <c r="C385" i="4"/>
  <c r="E384" i="4"/>
  <c r="C384" i="4"/>
  <c r="E383" i="4"/>
  <c r="C383" i="4"/>
  <c r="E382" i="4"/>
  <c r="C382" i="4"/>
  <c r="E381" i="4"/>
  <c r="C381" i="4"/>
  <c r="E380" i="4"/>
  <c r="C380" i="4"/>
  <c r="E379" i="4"/>
  <c r="C379" i="4"/>
  <c r="E378" i="4"/>
  <c r="C378" i="4"/>
  <c r="E377" i="4"/>
  <c r="C377" i="4"/>
  <c r="E376" i="4"/>
  <c r="C376" i="4"/>
  <c r="E375" i="4"/>
  <c r="C375" i="4"/>
  <c r="E374" i="4"/>
  <c r="C374" i="4"/>
  <c r="E373" i="4"/>
  <c r="C373" i="4"/>
  <c r="E372" i="4"/>
  <c r="C372" i="4"/>
  <c r="E371" i="4"/>
  <c r="C371" i="4"/>
  <c r="E370" i="4"/>
  <c r="C370" i="4"/>
  <c r="E369" i="4"/>
  <c r="C369" i="4"/>
  <c r="E368" i="4"/>
  <c r="C368" i="4"/>
  <c r="E367" i="4"/>
  <c r="C367" i="4"/>
  <c r="E366" i="4"/>
  <c r="C366" i="4"/>
  <c r="E365" i="4"/>
  <c r="C365" i="4"/>
  <c r="E364" i="4"/>
  <c r="C364" i="4"/>
  <c r="E363" i="4"/>
  <c r="C363" i="4"/>
  <c r="E362" i="4"/>
  <c r="C362" i="4"/>
  <c r="E361" i="4"/>
  <c r="C361" i="4"/>
  <c r="E360" i="4"/>
  <c r="C360" i="4"/>
  <c r="E359" i="4"/>
  <c r="C359" i="4"/>
  <c r="E358" i="4"/>
  <c r="C358" i="4"/>
  <c r="E357" i="4"/>
  <c r="C357" i="4"/>
  <c r="E356" i="4"/>
  <c r="C356" i="4"/>
  <c r="E355" i="4"/>
  <c r="C355" i="4"/>
  <c r="E354" i="4"/>
  <c r="C354" i="4"/>
  <c r="E353" i="4"/>
  <c r="C353" i="4"/>
  <c r="E352" i="4"/>
  <c r="C352" i="4"/>
  <c r="E351" i="4"/>
  <c r="C351" i="4"/>
  <c r="E350" i="4"/>
  <c r="C350" i="4"/>
  <c r="E349" i="4"/>
  <c r="C349" i="4"/>
  <c r="E348" i="4"/>
  <c r="C348" i="4"/>
  <c r="E347" i="4"/>
  <c r="C347" i="4"/>
  <c r="E346" i="4"/>
  <c r="C346" i="4"/>
  <c r="E345" i="4"/>
  <c r="C345" i="4"/>
  <c r="E344" i="4"/>
  <c r="C344" i="4"/>
  <c r="E343" i="4"/>
  <c r="C343" i="4"/>
  <c r="E342" i="4"/>
  <c r="C342" i="4"/>
  <c r="E341" i="4"/>
  <c r="C341" i="4"/>
  <c r="E340" i="4"/>
  <c r="C340" i="4"/>
  <c r="E339" i="4"/>
  <c r="C339" i="4"/>
  <c r="E338" i="4"/>
  <c r="C338" i="4"/>
  <c r="E337" i="4"/>
  <c r="C337" i="4"/>
  <c r="E336" i="4"/>
  <c r="C336" i="4"/>
  <c r="E335" i="4"/>
  <c r="C335" i="4"/>
  <c r="E334" i="4"/>
  <c r="C334" i="4"/>
  <c r="E333" i="4"/>
  <c r="C333" i="4"/>
  <c r="E332" i="4"/>
  <c r="C332" i="4"/>
  <c r="E331" i="4"/>
  <c r="C331" i="4"/>
  <c r="E330" i="4"/>
  <c r="C330" i="4"/>
  <c r="E329" i="4"/>
  <c r="C329" i="4"/>
  <c r="E328" i="4"/>
  <c r="C328" i="4"/>
  <c r="E327" i="4"/>
  <c r="C327" i="4"/>
  <c r="E326" i="4"/>
  <c r="C326" i="4"/>
  <c r="E325" i="4"/>
  <c r="C325" i="4"/>
  <c r="E324" i="4"/>
  <c r="C324" i="4"/>
  <c r="E323" i="4"/>
  <c r="C323" i="4"/>
  <c r="E322" i="4"/>
  <c r="C322" i="4"/>
  <c r="E321" i="4"/>
  <c r="C321" i="4"/>
  <c r="E320" i="4"/>
  <c r="C320" i="4"/>
  <c r="E319" i="4"/>
  <c r="C319" i="4"/>
  <c r="E318" i="4"/>
  <c r="C318" i="4"/>
  <c r="E317" i="4"/>
  <c r="C317" i="4"/>
  <c r="E316" i="4"/>
  <c r="C316" i="4"/>
  <c r="E315" i="4"/>
  <c r="C315" i="4"/>
  <c r="E314" i="4"/>
  <c r="C314" i="4"/>
  <c r="E313" i="4"/>
  <c r="C313" i="4"/>
  <c r="E312" i="4"/>
  <c r="C312" i="4"/>
  <c r="E311" i="4"/>
  <c r="C311" i="4"/>
  <c r="E310" i="4"/>
  <c r="C310" i="4"/>
  <c r="E309" i="4"/>
  <c r="C309" i="4"/>
  <c r="E308" i="4"/>
  <c r="C308" i="4"/>
  <c r="E307" i="4"/>
  <c r="C307" i="4"/>
  <c r="E306" i="4"/>
  <c r="C306" i="4"/>
  <c r="E305" i="4"/>
  <c r="C305" i="4"/>
  <c r="E304" i="4"/>
  <c r="C304" i="4"/>
  <c r="E303" i="4"/>
  <c r="C303" i="4"/>
  <c r="E302" i="4"/>
  <c r="C302" i="4"/>
  <c r="E301" i="4"/>
  <c r="C301" i="4"/>
  <c r="E300" i="4"/>
  <c r="C300" i="4"/>
  <c r="E299" i="4"/>
  <c r="C299" i="4"/>
  <c r="E298" i="4"/>
  <c r="C298" i="4"/>
  <c r="E297" i="4"/>
  <c r="C297" i="4"/>
  <c r="E296" i="4"/>
  <c r="C296" i="4"/>
  <c r="E295" i="4"/>
  <c r="C295" i="4"/>
  <c r="E294" i="4"/>
  <c r="C294" i="4"/>
  <c r="E293" i="4"/>
  <c r="C293" i="4"/>
  <c r="E292" i="4"/>
  <c r="C292" i="4"/>
  <c r="E291" i="4"/>
  <c r="C291" i="4"/>
  <c r="E290" i="4"/>
  <c r="C290" i="4"/>
  <c r="E289" i="4"/>
  <c r="C289" i="4"/>
  <c r="E288" i="4"/>
  <c r="C288" i="4"/>
  <c r="E287" i="4"/>
  <c r="C287" i="4"/>
  <c r="E286" i="4"/>
  <c r="C286" i="4"/>
  <c r="E285" i="4"/>
  <c r="C285" i="4"/>
  <c r="E284" i="4"/>
  <c r="C284" i="4"/>
  <c r="E283" i="4"/>
  <c r="C283" i="4"/>
  <c r="E282" i="4"/>
  <c r="C282" i="4"/>
  <c r="E281" i="4"/>
  <c r="C281" i="4"/>
  <c r="E280" i="4"/>
  <c r="C280" i="4"/>
  <c r="E279" i="4"/>
  <c r="C279" i="4"/>
  <c r="E278" i="4"/>
  <c r="C278" i="4"/>
  <c r="E277" i="4"/>
  <c r="C277" i="4"/>
  <c r="E276" i="4"/>
  <c r="C276" i="4"/>
  <c r="E275" i="4"/>
  <c r="C275" i="4"/>
  <c r="E274" i="4"/>
  <c r="C274" i="4"/>
  <c r="E273" i="4"/>
  <c r="C273" i="4"/>
  <c r="E272" i="4"/>
  <c r="C272" i="4"/>
  <c r="E271" i="4"/>
  <c r="C271" i="4"/>
  <c r="E270" i="4"/>
  <c r="C270" i="4"/>
  <c r="E269" i="4"/>
  <c r="C269" i="4"/>
  <c r="E268" i="4"/>
  <c r="C268" i="4"/>
  <c r="E267" i="4"/>
  <c r="C267" i="4"/>
  <c r="E266" i="4"/>
  <c r="C266" i="4"/>
  <c r="E265" i="4"/>
  <c r="C265" i="4"/>
  <c r="E264" i="4"/>
  <c r="C264" i="4"/>
  <c r="E263" i="4"/>
  <c r="C263" i="4"/>
  <c r="E262" i="4"/>
  <c r="C262" i="4"/>
  <c r="E261" i="4"/>
  <c r="C261" i="4"/>
  <c r="E260" i="4"/>
  <c r="C260" i="4"/>
  <c r="E259" i="4"/>
  <c r="C259" i="4"/>
  <c r="E258" i="4"/>
  <c r="C258" i="4"/>
  <c r="E257" i="4"/>
  <c r="C257" i="4"/>
  <c r="E256" i="4"/>
  <c r="C256" i="4"/>
  <c r="E255" i="4"/>
  <c r="C255" i="4"/>
  <c r="E254" i="4"/>
  <c r="C254" i="4"/>
  <c r="E253" i="4"/>
  <c r="C253" i="4"/>
  <c r="E252" i="4"/>
  <c r="C252" i="4"/>
  <c r="E251" i="4"/>
  <c r="C251" i="4"/>
  <c r="E250" i="4"/>
  <c r="C250" i="4"/>
  <c r="E249" i="4"/>
  <c r="C249" i="4"/>
  <c r="E248" i="4"/>
  <c r="C248" i="4"/>
  <c r="E247" i="4"/>
  <c r="C247" i="4"/>
  <c r="E246" i="4"/>
  <c r="C246" i="4"/>
  <c r="E245" i="4"/>
  <c r="C245" i="4"/>
  <c r="E244" i="4"/>
  <c r="C244" i="4"/>
  <c r="E243" i="4"/>
  <c r="C243" i="4"/>
  <c r="E242" i="4"/>
  <c r="C242" i="4"/>
  <c r="E241" i="4"/>
  <c r="C241" i="4"/>
  <c r="E240" i="4"/>
  <c r="C240" i="4"/>
  <c r="E239" i="4"/>
  <c r="C239" i="4"/>
  <c r="E238" i="4"/>
  <c r="C238" i="4"/>
  <c r="E237" i="4"/>
  <c r="C237" i="4"/>
  <c r="E236" i="4"/>
  <c r="C236" i="4"/>
  <c r="E235" i="4"/>
  <c r="C235" i="4"/>
  <c r="E234" i="4"/>
  <c r="C234" i="4"/>
  <c r="E233" i="4"/>
  <c r="C233" i="4"/>
  <c r="E232" i="4"/>
  <c r="C232" i="4"/>
  <c r="E231" i="4"/>
  <c r="C231" i="4"/>
  <c r="E230" i="4"/>
  <c r="C230" i="4"/>
  <c r="E229" i="4"/>
  <c r="C229" i="4"/>
  <c r="E228" i="4"/>
  <c r="C228" i="4"/>
  <c r="E227" i="4"/>
  <c r="C227" i="4"/>
  <c r="E226" i="4"/>
  <c r="C226" i="4"/>
  <c r="E225" i="4"/>
  <c r="C225" i="4"/>
  <c r="E224" i="4"/>
  <c r="C224" i="4"/>
  <c r="E223" i="4"/>
  <c r="C223" i="4"/>
  <c r="E222" i="4"/>
  <c r="C222" i="4"/>
  <c r="E221" i="4"/>
  <c r="C221" i="4"/>
  <c r="E220" i="4"/>
  <c r="C220" i="4"/>
  <c r="E219" i="4"/>
  <c r="C219" i="4"/>
  <c r="E218" i="4"/>
  <c r="C218" i="4"/>
  <c r="E217" i="4"/>
  <c r="C217" i="4"/>
  <c r="E216" i="4"/>
  <c r="C216" i="4"/>
  <c r="E215" i="4"/>
  <c r="C215" i="4"/>
  <c r="E214" i="4"/>
  <c r="C214" i="4"/>
  <c r="E213" i="4"/>
  <c r="C213" i="4"/>
  <c r="E212" i="4"/>
  <c r="C212" i="4"/>
  <c r="E211" i="4"/>
  <c r="C211" i="4"/>
  <c r="E210" i="4"/>
  <c r="C210" i="4"/>
  <c r="E209" i="4"/>
  <c r="C209" i="4"/>
  <c r="E208" i="4"/>
  <c r="C208" i="4"/>
  <c r="E207" i="4"/>
  <c r="C207" i="4"/>
  <c r="E206" i="4"/>
  <c r="C206" i="4"/>
  <c r="E205" i="4"/>
  <c r="C205" i="4"/>
  <c r="E204" i="4"/>
  <c r="C204" i="4"/>
  <c r="E203" i="4"/>
  <c r="C203" i="4"/>
  <c r="E202" i="4"/>
  <c r="C202" i="4"/>
  <c r="E201" i="4"/>
  <c r="C201" i="4"/>
  <c r="E200" i="4"/>
  <c r="C200" i="4"/>
  <c r="E199" i="4"/>
  <c r="C199" i="4"/>
  <c r="E198" i="4"/>
  <c r="C198" i="4"/>
  <c r="E197" i="4"/>
  <c r="C197" i="4"/>
  <c r="E196" i="4"/>
  <c r="C196" i="4"/>
  <c r="E195" i="4"/>
  <c r="C195" i="4"/>
  <c r="E194" i="4"/>
  <c r="C194" i="4"/>
  <c r="E193" i="4"/>
  <c r="C193" i="4"/>
  <c r="E192" i="4"/>
  <c r="C192" i="4"/>
  <c r="E191" i="4"/>
  <c r="C191" i="4"/>
  <c r="E190" i="4"/>
  <c r="C190" i="4"/>
  <c r="E189" i="4"/>
  <c r="C189" i="4"/>
  <c r="E188" i="4"/>
  <c r="C188" i="4"/>
  <c r="E187" i="4"/>
  <c r="C187" i="4"/>
  <c r="E186" i="4"/>
  <c r="C186" i="4"/>
  <c r="E185" i="4"/>
  <c r="C185" i="4"/>
  <c r="E184" i="4"/>
  <c r="C184" i="4"/>
  <c r="E183" i="4"/>
  <c r="C183" i="4"/>
  <c r="E182" i="4"/>
  <c r="C182" i="4"/>
  <c r="E181" i="4"/>
  <c r="C181" i="4"/>
  <c r="E180" i="4"/>
  <c r="C180" i="4"/>
  <c r="E179" i="4"/>
  <c r="C179" i="4"/>
  <c r="E178" i="4"/>
  <c r="C178" i="4"/>
  <c r="E177" i="4"/>
  <c r="C177" i="4"/>
  <c r="E176" i="4"/>
  <c r="C176" i="4"/>
  <c r="E175" i="4"/>
  <c r="C175" i="4"/>
  <c r="E174" i="4"/>
  <c r="C174" i="4"/>
  <c r="E173" i="4"/>
  <c r="C173" i="4"/>
  <c r="E172" i="4"/>
  <c r="C172" i="4"/>
  <c r="E171" i="4"/>
  <c r="C171" i="4"/>
  <c r="E170" i="4"/>
  <c r="C170" i="4"/>
  <c r="E169" i="4"/>
  <c r="C169" i="4"/>
  <c r="E168" i="4"/>
  <c r="C168" i="4"/>
  <c r="E167" i="4"/>
  <c r="C167" i="4"/>
  <c r="E166" i="4"/>
  <c r="C166" i="4"/>
  <c r="E165" i="4"/>
  <c r="C165" i="4"/>
  <c r="E164" i="4"/>
  <c r="C164" i="4"/>
  <c r="E163" i="4"/>
  <c r="C163" i="4"/>
  <c r="E162" i="4"/>
  <c r="C162" i="4"/>
  <c r="E161" i="4"/>
  <c r="C161" i="4"/>
  <c r="E160" i="4"/>
  <c r="C160" i="4"/>
  <c r="E159" i="4"/>
  <c r="C159" i="4"/>
  <c r="E158" i="4"/>
  <c r="C158" i="4"/>
  <c r="E157" i="4"/>
  <c r="C157" i="4"/>
  <c r="E156" i="4"/>
  <c r="C156" i="4"/>
  <c r="E155" i="4"/>
  <c r="C155" i="4"/>
  <c r="E154" i="4"/>
  <c r="C154" i="4"/>
  <c r="E153" i="4"/>
  <c r="C153" i="4"/>
  <c r="E152" i="4"/>
  <c r="C152" i="4"/>
  <c r="E151" i="4"/>
  <c r="C151" i="4"/>
  <c r="E150" i="4"/>
  <c r="C150" i="4"/>
  <c r="E149" i="4"/>
  <c r="C149" i="4"/>
  <c r="E148" i="4"/>
  <c r="C148" i="4"/>
  <c r="E147" i="4"/>
  <c r="C147" i="4"/>
  <c r="E146" i="4"/>
  <c r="C146" i="4"/>
  <c r="E145" i="4"/>
  <c r="C145" i="4"/>
  <c r="E144" i="4"/>
  <c r="C144" i="4"/>
  <c r="E143" i="4"/>
  <c r="C143" i="4"/>
  <c r="E142" i="4"/>
  <c r="C142" i="4"/>
  <c r="E141" i="4"/>
  <c r="C141" i="4"/>
  <c r="E140" i="4"/>
  <c r="C140" i="4"/>
  <c r="E139" i="4"/>
  <c r="C139" i="4"/>
  <c r="E138" i="4"/>
  <c r="C138" i="4"/>
  <c r="E137" i="4"/>
  <c r="C137" i="4"/>
  <c r="E136" i="4"/>
  <c r="C136" i="4"/>
  <c r="E135" i="4"/>
  <c r="C135" i="4"/>
  <c r="E134" i="4"/>
  <c r="C134" i="4"/>
  <c r="E133" i="4"/>
  <c r="C133" i="4"/>
  <c r="E132" i="4"/>
  <c r="C132" i="4"/>
  <c r="E131" i="4"/>
  <c r="C131" i="4"/>
  <c r="E130" i="4"/>
  <c r="C130" i="4"/>
  <c r="E129" i="4"/>
  <c r="C129" i="4"/>
  <c r="E128" i="4"/>
  <c r="C128" i="4"/>
  <c r="E127" i="4"/>
  <c r="C127" i="4"/>
  <c r="E126" i="4"/>
  <c r="C126" i="4"/>
  <c r="E125" i="4"/>
  <c r="C125" i="4"/>
  <c r="E124" i="4"/>
  <c r="C124" i="4"/>
  <c r="E123" i="4"/>
  <c r="C123" i="4"/>
  <c r="E122" i="4"/>
  <c r="C122" i="4"/>
  <c r="E121" i="4"/>
  <c r="C121" i="4"/>
  <c r="E120" i="4"/>
  <c r="C120" i="4"/>
  <c r="E119" i="4"/>
  <c r="C119" i="4"/>
  <c r="E118" i="4"/>
  <c r="C118" i="4"/>
  <c r="E117" i="4"/>
  <c r="C117" i="4"/>
  <c r="E116" i="4"/>
  <c r="C116" i="4"/>
  <c r="E115" i="4"/>
  <c r="C115" i="4"/>
  <c r="E114" i="4"/>
  <c r="C114" i="4"/>
  <c r="E113" i="4"/>
  <c r="C113" i="4"/>
  <c r="E112" i="4"/>
  <c r="C112" i="4"/>
  <c r="E111" i="4"/>
  <c r="C111" i="4"/>
  <c r="E110" i="4"/>
  <c r="C110" i="4"/>
  <c r="E109" i="4"/>
  <c r="C109" i="4"/>
  <c r="E108" i="4"/>
  <c r="C108" i="4"/>
  <c r="E107" i="4"/>
  <c r="C107" i="4"/>
  <c r="E106" i="4"/>
  <c r="C106" i="4"/>
  <c r="E105" i="4"/>
  <c r="C105" i="4"/>
  <c r="E104" i="4"/>
  <c r="C104" i="4"/>
  <c r="E103" i="4"/>
  <c r="C103" i="4"/>
  <c r="E102" i="4"/>
  <c r="C102" i="4"/>
  <c r="E101" i="4"/>
  <c r="C101" i="4"/>
  <c r="E100" i="4"/>
  <c r="C100" i="4"/>
  <c r="E99" i="4"/>
  <c r="C99" i="4"/>
  <c r="E98" i="4"/>
  <c r="C98" i="4"/>
  <c r="E97" i="4"/>
  <c r="C97" i="4"/>
  <c r="E96" i="4"/>
  <c r="C96" i="4"/>
  <c r="E95" i="4"/>
  <c r="C95" i="4"/>
  <c r="E94" i="4"/>
  <c r="C94" i="4"/>
  <c r="E93" i="4"/>
  <c r="C93" i="4"/>
  <c r="E92" i="4"/>
  <c r="C92" i="4"/>
  <c r="E91" i="4"/>
  <c r="C91" i="4"/>
  <c r="E90" i="4"/>
  <c r="C90" i="4"/>
  <c r="E89" i="4"/>
  <c r="C89" i="4"/>
  <c r="E88" i="4"/>
  <c r="C88" i="4"/>
  <c r="E87" i="4"/>
  <c r="C87" i="4"/>
  <c r="E86" i="4"/>
  <c r="C86" i="4"/>
  <c r="E85" i="4"/>
  <c r="C85" i="4"/>
  <c r="E84" i="4"/>
  <c r="C84" i="4"/>
  <c r="E83" i="4"/>
  <c r="C83" i="4"/>
  <c r="E82" i="4"/>
  <c r="C82" i="4"/>
  <c r="E81" i="4"/>
  <c r="C81" i="4"/>
  <c r="E80" i="4"/>
  <c r="C80" i="4"/>
  <c r="E79" i="4"/>
  <c r="C79" i="4"/>
  <c r="E78" i="4"/>
  <c r="C78" i="4"/>
  <c r="E77" i="4"/>
  <c r="C77" i="4"/>
  <c r="E76" i="4"/>
  <c r="C76" i="4"/>
  <c r="E75" i="4"/>
  <c r="C75" i="4"/>
  <c r="E74" i="4"/>
  <c r="C74" i="4"/>
  <c r="E73" i="4"/>
  <c r="C73" i="4"/>
  <c r="E72" i="4"/>
  <c r="C72" i="4"/>
  <c r="E71" i="4"/>
  <c r="C71" i="4"/>
  <c r="E70" i="4"/>
  <c r="C70" i="4"/>
  <c r="E69" i="4"/>
  <c r="C69" i="4"/>
  <c r="E68" i="4"/>
  <c r="C68" i="4"/>
  <c r="E67" i="4"/>
  <c r="C67" i="4"/>
  <c r="E66" i="4"/>
  <c r="C66" i="4"/>
  <c r="E65" i="4"/>
  <c r="C65" i="4"/>
  <c r="E64" i="4"/>
  <c r="C64" i="4"/>
  <c r="E63" i="4"/>
  <c r="C63" i="4"/>
  <c r="E62" i="4"/>
  <c r="C62" i="4"/>
  <c r="E61" i="4"/>
  <c r="C61" i="4"/>
  <c r="E60" i="4"/>
  <c r="C60" i="4"/>
  <c r="E59" i="4"/>
  <c r="C59" i="4"/>
  <c r="E58" i="4"/>
  <c r="C58" i="4"/>
  <c r="E57" i="4"/>
  <c r="C57" i="4"/>
  <c r="E56" i="4"/>
  <c r="C56" i="4"/>
  <c r="E55" i="4"/>
  <c r="C55" i="4"/>
  <c r="E54" i="4"/>
  <c r="C54" i="4"/>
  <c r="E53" i="4"/>
  <c r="C53" i="4"/>
  <c r="E52" i="4"/>
  <c r="C52" i="4"/>
  <c r="E51" i="4"/>
  <c r="C51" i="4"/>
  <c r="E50" i="4"/>
  <c r="C50" i="4"/>
  <c r="E49" i="4"/>
  <c r="C49" i="4"/>
  <c r="E48" i="4"/>
  <c r="C48" i="4"/>
  <c r="E47" i="4"/>
  <c r="C47" i="4"/>
  <c r="E46" i="4"/>
  <c r="C46" i="4"/>
  <c r="E45" i="4"/>
  <c r="C45" i="4"/>
  <c r="E44" i="4"/>
  <c r="C44" i="4"/>
  <c r="E43" i="4"/>
  <c r="C43" i="4"/>
  <c r="E42" i="4"/>
  <c r="C42" i="4"/>
  <c r="E41" i="4"/>
  <c r="C41" i="4"/>
  <c r="E40" i="4"/>
  <c r="C40" i="4"/>
  <c r="E39" i="4"/>
  <c r="C39" i="4"/>
  <c r="E38" i="4"/>
  <c r="C38" i="4"/>
  <c r="E37" i="4"/>
  <c r="C37" i="4"/>
  <c r="E36" i="4"/>
  <c r="C36" i="4"/>
  <c r="E35" i="4"/>
  <c r="C35" i="4"/>
  <c r="E34" i="4"/>
  <c r="C34" i="4"/>
  <c r="E33" i="4"/>
  <c r="C33" i="4"/>
  <c r="E32" i="4"/>
  <c r="C32" i="4"/>
  <c r="E31" i="4"/>
  <c r="C31" i="4"/>
  <c r="E30" i="4"/>
  <c r="C30" i="4"/>
  <c r="E29" i="4"/>
  <c r="C29" i="4"/>
  <c r="E28" i="4"/>
  <c r="C28" i="4"/>
  <c r="E27" i="4"/>
  <c r="C27" i="4"/>
  <c r="E26" i="4"/>
  <c r="C26" i="4"/>
  <c r="E25" i="4"/>
  <c r="C25" i="4"/>
  <c r="E24" i="4"/>
  <c r="C24" i="4"/>
  <c r="E23" i="4"/>
  <c r="C23" i="4"/>
  <c r="E22" i="4"/>
  <c r="C22" i="4"/>
  <c r="E21" i="4"/>
  <c r="C21" i="4"/>
  <c r="E20" i="4"/>
  <c r="C20" i="4"/>
  <c r="E19" i="4"/>
  <c r="C19" i="4"/>
  <c r="E18" i="4"/>
  <c r="C18" i="4"/>
  <c r="E17" i="4"/>
  <c r="C17" i="4"/>
  <c r="E16" i="4"/>
  <c r="C16" i="4"/>
  <c r="E15" i="4"/>
  <c r="C15" i="4"/>
  <c r="E14" i="4"/>
  <c r="C14" i="4"/>
  <c r="E13" i="4"/>
  <c r="C13" i="4"/>
  <c r="E12" i="4"/>
  <c r="C12" i="4"/>
  <c r="E11" i="4"/>
  <c r="C11" i="4"/>
  <c r="E10" i="4"/>
  <c r="C10" i="4"/>
  <c r="E9" i="4"/>
  <c r="C9" i="4"/>
  <c r="E8" i="4"/>
  <c r="C8" i="4"/>
  <c r="E7" i="4"/>
  <c r="C7" i="4"/>
  <c r="E6" i="4"/>
  <c r="C6" i="4"/>
  <c r="E5" i="4"/>
  <c r="C5" i="4"/>
  <c r="E4" i="4"/>
  <c r="C4" i="4"/>
  <c r="E3" i="4"/>
  <c r="C3" i="4"/>
  <c r="E2" i="4"/>
  <c r="C2" i="4"/>
  <c r="O435" i="3"/>
  <c r="M435" i="3"/>
  <c r="L435" i="3"/>
  <c r="O434" i="3"/>
  <c r="M434" i="3"/>
  <c r="L434" i="3"/>
  <c r="O433" i="3"/>
  <c r="M433" i="3"/>
  <c r="L433" i="3"/>
  <c r="O432" i="3"/>
  <c r="M432" i="3"/>
  <c r="L432" i="3"/>
  <c r="O431" i="3"/>
  <c r="M431" i="3"/>
  <c r="L431" i="3"/>
  <c r="O430" i="3"/>
  <c r="M430" i="3"/>
  <c r="L430" i="3"/>
  <c r="O429" i="3"/>
  <c r="M429" i="3"/>
  <c r="L429" i="3"/>
  <c r="O428" i="3"/>
  <c r="M428" i="3"/>
  <c r="L428" i="3"/>
  <c r="O427" i="3"/>
  <c r="M427" i="3"/>
  <c r="L427" i="3"/>
  <c r="O426" i="3"/>
  <c r="M426" i="3"/>
  <c r="L426" i="3"/>
  <c r="O425" i="3"/>
  <c r="M425" i="3"/>
  <c r="L425" i="3"/>
  <c r="O424" i="3"/>
  <c r="M424" i="3"/>
  <c r="L424" i="3"/>
  <c r="O423" i="3"/>
  <c r="M423" i="3"/>
  <c r="L423" i="3"/>
  <c r="O422" i="3"/>
  <c r="M422" i="3"/>
  <c r="L422" i="3"/>
  <c r="O421" i="3"/>
  <c r="M421" i="3"/>
  <c r="L421" i="3"/>
  <c r="O420" i="3"/>
  <c r="M420" i="3"/>
  <c r="L420" i="3"/>
  <c r="O419" i="3"/>
  <c r="M419" i="3"/>
  <c r="L419" i="3"/>
  <c r="O418" i="3"/>
  <c r="M418" i="3"/>
  <c r="L418" i="3"/>
  <c r="O417" i="3"/>
  <c r="M417" i="3"/>
  <c r="L417" i="3"/>
  <c r="O416" i="3"/>
  <c r="M416" i="3"/>
  <c r="L416" i="3"/>
  <c r="O415" i="3"/>
  <c r="M415" i="3"/>
  <c r="L415" i="3"/>
  <c r="O414" i="3"/>
  <c r="M414" i="3"/>
  <c r="L414" i="3"/>
  <c r="O413" i="3"/>
  <c r="M413" i="3"/>
  <c r="L413" i="3"/>
  <c r="O412" i="3"/>
  <c r="M412" i="3"/>
  <c r="L412" i="3"/>
  <c r="O411" i="3"/>
  <c r="M411" i="3"/>
  <c r="L411" i="3"/>
  <c r="O410" i="3"/>
  <c r="M410" i="3"/>
  <c r="L410" i="3"/>
  <c r="O409" i="3"/>
  <c r="M409" i="3"/>
  <c r="L409" i="3"/>
  <c r="O408" i="3"/>
  <c r="M408" i="3"/>
  <c r="L408" i="3"/>
  <c r="O407" i="3"/>
  <c r="M407" i="3"/>
  <c r="L407" i="3"/>
  <c r="O406" i="3"/>
  <c r="M406" i="3"/>
  <c r="L406" i="3"/>
  <c r="O405" i="3"/>
  <c r="M405" i="3"/>
  <c r="L405" i="3"/>
  <c r="O404" i="3"/>
  <c r="M404" i="3"/>
  <c r="L404" i="3"/>
  <c r="O403" i="3"/>
  <c r="M403" i="3"/>
  <c r="L403" i="3"/>
  <c r="O402" i="3"/>
  <c r="M402" i="3"/>
  <c r="L402" i="3"/>
  <c r="O401" i="3"/>
  <c r="M401" i="3"/>
  <c r="L401" i="3"/>
  <c r="O400" i="3"/>
  <c r="M400" i="3"/>
  <c r="L400" i="3"/>
  <c r="O399" i="3"/>
  <c r="M399" i="3"/>
  <c r="L399" i="3"/>
  <c r="O398" i="3"/>
  <c r="M398" i="3"/>
  <c r="L398" i="3"/>
  <c r="O397" i="3"/>
  <c r="M397" i="3"/>
  <c r="L397" i="3"/>
  <c r="O396" i="3"/>
  <c r="M396" i="3"/>
  <c r="L396" i="3"/>
  <c r="O395" i="3"/>
  <c r="M395" i="3"/>
  <c r="L395" i="3"/>
  <c r="O394" i="3"/>
  <c r="M394" i="3"/>
  <c r="L394" i="3"/>
  <c r="O393" i="3"/>
  <c r="M393" i="3"/>
  <c r="L393" i="3"/>
  <c r="O392" i="3"/>
  <c r="M392" i="3"/>
  <c r="L392" i="3"/>
  <c r="O391" i="3"/>
  <c r="M391" i="3"/>
  <c r="L391" i="3"/>
  <c r="O390" i="3"/>
  <c r="M390" i="3"/>
  <c r="L390" i="3"/>
  <c r="O389" i="3"/>
  <c r="M389" i="3"/>
  <c r="L389" i="3"/>
  <c r="O388" i="3"/>
  <c r="M388" i="3"/>
  <c r="L388" i="3"/>
  <c r="O387" i="3"/>
  <c r="M387" i="3"/>
  <c r="L387" i="3"/>
  <c r="O386" i="3"/>
  <c r="M386" i="3"/>
  <c r="L386" i="3"/>
  <c r="O385" i="3"/>
  <c r="M385" i="3"/>
  <c r="L385" i="3"/>
  <c r="O384" i="3"/>
  <c r="M384" i="3"/>
  <c r="L384" i="3"/>
  <c r="O383" i="3"/>
  <c r="M383" i="3"/>
  <c r="L383" i="3"/>
  <c r="O382" i="3"/>
  <c r="M382" i="3"/>
  <c r="L382" i="3"/>
  <c r="O381" i="3"/>
  <c r="M381" i="3"/>
  <c r="L381" i="3"/>
  <c r="O380" i="3"/>
  <c r="M380" i="3"/>
  <c r="L380" i="3"/>
  <c r="O379" i="3"/>
  <c r="M379" i="3"/>
  <c r="L379" i="3"/>
  <c r="O378" i="3"/>
  <c r="M378" i="3"/>
  <c r="L378" i="3"/>
  <c r="O377" i="3"/>
  <c r="M377" i="3"/>
  <c r="L377" i="3"/>
  <c r="O376" i="3"/>
  <c r="M376" i="3"/>
  <c r="L376" i="3"/>
  <c r="O375" i="3"/>
  <c r="M375" i="3"/>
  <c r="L375" i="3"/>
  <c r="O374" i="3"/>
  <c r="M374" i="3"/>
  <c r="L374" i="3"/>
  <c r="O373" i="3"/>
  <c r="M373" i="3"/>
  <c r="L373" i="3"/>
  <c r="O372" i="3"/>
  <c r="M372" i="3"/>
  <c r="L372" i="3"/>
  <c r="O371" i="3"/>
  <c r="M371" i="3"/>
  <c r="L371" i="3"/>
  <c r="O370" i="3"/>
  <c r="M370" i="3"/>
  <c r="L370" i="3"/>
  <c r="O369" i="3"/>
  <c r="M369" i="3"/>
  <c r="L369" i="3"/>
  <c r="O368" i="3"/>
  <c r="M368" i="3"/>
  <c r="L368" i="3"/>
  <c r="O367" i="3"/>
  <c r="M367" i="3"/>
  <c r="L367" i="3"/>
  <c r="O366" i="3"/>
  <c r="M366" i="3"/>
  <c r="L366" i="3"/>
  <c r="O365" i="3"/>
  <c r="M365" i="3"/>
  <c r="L365" i="3"/>
  <c r="O364" i="3"/>
  <c r="M364" i="3"/>
  <c r="L364" i="3"/>
  <c r="O363" i="3"/>
  <c r="M363" i="3"/>
  <c r="L363" i="3"/>
  <c r="O362" i="3"/>
  <c r="M362" i="3"/>
  <c r="L362" i="3"/>
  <c r="O361" i="3"/>
  <c r="M361" i="3"/>
  <c r="L361" i="3"/>
  <c r="O360" i="3"/>
  <c r="M360" i="3"/>
  <c r="L360" i="3"/>
  <c r="O359" i="3"/>
  <c r="M359" i="3"/>
  <c r="L359" i="3"/>
  <c r="O358" i="3"/>
  <c r="M358" i="3"/>
  <c r="L358" i="3"/>
  <c r="O357" i="3"/>
  <c r="M357" i="3"/>
  <c r="L357" i="3"/>
  <c r="O356" i="3"/>
  <c r="M356" i="3"/>
  <c r="L356" i="3"/>
  <c r="O355" i="3"/>
  <c r="L355" i="3"/>
  <c r="M355" i="3" s="1"/>
  <c r="O354" i="3"/>
  <c r="L354" i="3"/>
  <c r="M354" i="3" s="1"/>
  <c r="O353" i="3"/>
  <c r="L353" i="3"/>
  <c r="M353" i="3" s="1"/>
  <c r="O352" i="3"/>
  <c r="L352" i="3"/>
  <c r="M352" i="3" s="1"/>
  <c r="O351" i="3"/>
  <c r="L351" i="3"/>
  <c r="M351" i="3" s="1"/>
  <c r="O350" i="3"/>
  <c r="L350" i="3"/>
  <c r="M350" i="3" s="1"/>
  <c r="O349" i="3"/>
  <c r="L349" i="3"/>
  <c r="M349" i="3" s="1"/>
  <c r="O348" i="3"/>
  <c r="L348" i="3"/>
  <c r="M348" i="3" s="1"/>
  <c r="O347" i="3"/>
  <c r="L347" i="3"/>
  <c r="M347" i="3" s="1"/>
  <c r="O346" i="3"/>
  <c r="L346" i="3"/>
  <c r="M346" i="3" s="1"/>
  <c r="O345" i="3"/>
  <c r="L345" i="3"/>
  <c r="M345" i="3" s="1"/>
  <c r="O344" i="3"/>
  <c r="L344" i="3"/>
  <c r="M344" i="3" s="1"/>
  <c r="O343" i="3"/>
  <c r="L343" i="3"/>
  <c r="M343" i="3" s="1"/>
  <c r="O342" i="3"/>
  <c r="L342" i="3"/>
  <c r="M342" i="3" s="1"/>
  <c r="O341" i="3"/>
  <c r="L341" i="3"/>
  <c r="M341" i="3" s="1"/>
  <c r="O340" i="3"/>
  <c r="L340" i="3"/>
  <c r="M340" i="3" s="1"/>
  <c r="O339" i="3"/>
  <c r="L339" i="3"/>
  <c r="M339" i="3" s="1"/>
  <c r="O338" i="3"/>
  <c r="L338" i="3"/>
  <c r="M338" i="3" s="1"/>
  <c r="O337" i="3"/>
  <c r="L337" i="3"/>
  <c r="M337" i="3" s="1"/>
  <c r="O336" i="3"/>
  <c r="L336" i="3"/>
  <c r="M336" i="3" s="1"/>
  <c r="O335" i="3"/>
  <c r="L335" i="3"/>
  <c r="M335" i="3" s="1"/>
  <c r="O334" i="3"/>
  <c r="L334" i="3"/>
  <c r="M334" i="3" s="1"/>
  <c r="O333" i="3"/>
  <c r="L333" i="3"/>
  <c r="M333" i="3" s="1"/>
  <c r="O332" i="3"/>
  <c r="L332" i="3"/>
  <c r="M332" i="3" s="1"/>
  <c r="O331" i="3"/>
  <c r="L331" i="3"/>
  <c r="M331" i="3" s="1"/>
  <c r="O330" i="3"/>
  <c r="L330" i="3"/>
  <c r="M330" i="3" s="1"/>
  <c r="O329" i="3"/>
  <c r="L329" i="3"/>
  <c r="M329" i="3" s="1"/>
  <c r="O328" i="3"/>
  <c r="L328" i="3"/>
  <c r="M328" i="3" s="1"/>
  <c r="O327" i="3"/>
  <c r="L327" i="3"/>
  <c r="M327" i="3" s="1"/>
  <c r="O326" i="3"/>
  <c r="L326" i="3"/>
  <c r="M326" i="3" s="1"/>
  <c r="O325" i="3"/>
  <c r="L325" i="3"/>
  <c r="M325" i="3" s="1"/>
  <c r="O324" i="3"/>
  <c r="L324" i="3"/>
  <c r="M324" i="3" s="1"/>
  <c r="O323" i="3"/>
  <c r="L323" i="3"/>
  <c r="M323" i="3" s="1"/>
  <c r="O322" i="3"/>
  <c r="L322" i="3"/>
  <c r="M322" i="3" s="1"/>
  <c r="O321" i="3"/>
  <c r="L321" i="3"/>
  <c r="M321" i="3" s="1"/>
  <c r="O320" i="3"/>
  <c r="L320" i="3"/>
  <c r="M320" i="3" s="1"/>
  <c r="O319" i="3"/>
  <c r="L319" i="3"/>
  <c r="M319" i="3" s="1"/>
  <c r="O318" i="3"/>
  <c r="L318" i="3"/>
  <c r="M318" i="3" s="1"/>
  <c r="O317" i="3"/>
  <c r="L317" i="3"/>
  <c r="M317" i="3" s="1"/>
  <c r="O316" i="3"/>
  <c r="L316" i="3"/>
  <c r="M316" i="3" s="1"/>
  <c r="O315" i="3"/>
  <c r="L315" i="3"/>
  <c r="M315" i="3" s="1"/>
  <c r="O314" i="3"/>
  <c r="L314" i="3"/>
  <c r="M314" i="3" s="1"/>
  <c r="O313" i="3"/>
  <c r="L313" i="3"/>
  <c r="M313" i="3" s="1"/>
  <c r="O312" i="3"/>
  <c r="L312" i="3"/>
  <c r="M312" i="3" s="1"/>
  <c r="O311" i="3"/>
  <c r="L311" i="3"/>
  <c r="M311" i="3" s="1"/>
  <c r="O310" i="3"/>
  <c r="L310" i="3"/>
  <c r="M310" i="3" s="1"/>
  <c r="O309" i="3"/>
  <c r="L309" i="3"/>
  <c r="M309" i="3" s="1"/>
  <c r="O308" i="3"/>
  <c r="L308" i="3"/>
  <c r="M308" i="3" s="1"/>
  <c r="O307" i="3"/>
  <c r="L307" i="3"/>
  <c r="M307" i="3" s="1"/>
  <c r="O306" i="3"/>
  <c r="L306" i="3"/>
  <c r="M306" i="3" s="1"/>
  <c r="O305" i="3"/>
  <c r="L305" i="3"/>
  <c r="M305" i="3" s="1"/>
  <c r="O304" i="3"/>
  <c r="L304" i="3"/>
  <c r="M304" i="3" s="1"/>
  <c r="O303" i="3"/>
  <c r="L303" i="3"/>
  <c r="M303" i="3" s="1"/>
  <c r="O302" i="3"/>
  <c r="L302" i="3"/>
  <c r="M302" i="3" s="1"/>
  <c r="O301" i="3"/>
  <c r="L301" i="3"/>
  <c r="M301" i="3" s="1"/>
  <c r="O300" i="3"/>
  <c r="L300" i="3"/>
  <c r="M300" i="3" s="1"/>
  <c r="O299" i="3"/>
  <c r="L299" i="3"/>
  <c r="M299" i="3" s="1"/>
  <c r="O298" i="3"/>
  <c r="L298" i="3"/>
  <c r="M298" i="3" s="1"/>
  <c r="O297" i="3"/>
  <c r="L297" i="3"/>
  <c r="M297" i="3" s="1"/>
  <c r="O296" i="3"/>
  <c r="L296" i="3"/>
  <c r="M296" i="3" s="1"/>
  <c r="O295" i="3"/>
  <c r="L295" i="3"/>
  <c r="M295" i="3" s="1"/>
  <c r="O294" i="3"/>
  <c r="M294" i="3"/>
  <c r="L294" i="3"/>
  <c r="O293" i="3"/>
  <c r="L293" i="3"/>
  <c r="M293" i="3" s="1"/>
  <c r="O292" i="3"/>
  <c r="L292" i="3"/>
  <c r="M292" i="3" s="1"/>
  <c r="O291" i="3"/>
  <c r="L291" i="3"/>
  <c r="M291" i="3" s="1"/>
  <c r="O290" i="3"/>
  <c r="M290" i="3"/>
  <c r="L290" i="3"/>
  <c r="O289" i="3"/>
  <c r="M289" i="3"/>
  <c r="L289" i="3"/>
  <c r="O288" i="3"/>
  <c r="L288" i="3"/>
  <c r="M288" i="3" s="1"/>
  <c r="O287" i="3"/>
  <c r="L287" i="3"/>
  <c r="M287" i="3" s="1"/>
  <c r="O286" i="3"/>
  <c r="L286" i="3"/>
  <c r="M286" i="3" s="1"/>
  <c r="O285" i="3"/>
  <c r="L285" i="3"/>
  <c r="M285" i="3" s="1"/>
  <c r="O284" i="3"/>
  <c r="L284" i="3"/>
  <c r="M284" i="3" s="1"/>
  <c r="O283" i="3"/>
  <c r="L283" i="3"/>
  <c r="M283" i="3" s="1"/>
  <c r="O282" i="3"/>
  <c r="L282" i="3"/>
  <c r="M282" i="3" s="1"/>
  <c r="O281" i="3"/>
  <c r="L281" i="3"/>
  <c r="M281" i="3" s="1"/>
  <c r="O280" i="3"/>
  <c r="L280" i="3"/>
  <c r="M280" i="3" s="1"/>
  <c r="O279" i="3"/>
  <c r="L279" i="3"/>
  <c r="M279" i="3" s="1"/>
  <c r="O278" i="3"/>
  <c r="L278" i="3"/>
  <c r="M278" i="3" s="1"/>
  <c r="O277" i="3"/>
  <c r="L277" i="3"/>
  <c r="M277" i="3" s="1"/>
  <c r="O276" i="3"/>
  <c r="L276" i="3"/>
  <c r="M276" i="3" s="1"/>
  <c r="O275" i="3"/>
  <c r="L275" i="3"/>
  <c r="M275" i="3" s="1"/>
  <c r="O274" i="3"/>
  <c r="L274" i="3"/>
  <c r="M274" i="3" s="1"/>
  <c r="O273" i="3"/>
  <c r="L273" i="3"/>
  <c r="M273" i="3" s="1"/>
  <c r="O272" i="3"/>
  <c r="L272" i="3"/>
  <c r="M272" i="3" s="1"/>
  <c r="O271" i="3"/>
  <c r="L271" i="3"/>
  <c r="M271" i="3" s="1"/>
  <c r="O270" i="3"/>
  <c r="L270" i="3"/>
  <c r="M270" i="3" s="1"/>
  <c r="O269" i="3"/>
  <c r="L269" i="3"/>
  <c r="M269" i="3" s="1"/>
  <c r="O268" i="3"/>
  <c r="L268" i="3"/>
  <c r="M268" i="3" s="1"/>
  <c r="O267" i="3"/>
  <c r="L267" i="3"/>
  <c r="M267" i="3" s="1"/>
  <c r="O266" i="3"/>
  <c r="L266" i="3"/>
  <c r="M266" i="3" s="1"/>
  <c r="O265" i="3"/>
  <c r="L265" i="3"/>
  <c r="M265" i="3" s="1"/>
  <c r="O264" i="3"/>
  <c r="L264" i="3"/>
  <c r="M264" i="3" s="1"/>
  <c r="O263" i="3"/>
  <c r="L263" i="3"/>
  <c r="M263" i="3" s="1"/>
  <c r="O262" i="3"/>
  <c r="L262" i="3"/>
  <c r="M262" i="3" s="1"/>
  <c r="O261" i="3"/>
  <c r="L261" i="3"/>
  <c r="M261" i="3" s="1"/>
  <c r="O260" i="3"/>
  <c r="L260" i="3"/>
  <c r="M260" i="3" s="1"/>
  <c r="O259" i="3"/>
  <c r="L259" i="3"/>
  <c r="M259" i="3" s="1"/>
  <c r="O258" i="3"/>
  <c r="L258" i="3"/>
  <c r="M258" i="3" s="1"/>
  <c r="O257" i="3"/>
  <c r="L257" i="3"/>
  <c r="M257" i="3" s="1"/>
  <c r="O256" i="3"/>
  <c r="L256" i="3"/>
  <c r="M256" i="3" s="1"/>
  <c r="O255" i="3"/>
  <c r="L255" i="3"/>
  <c r="M255" i="3" s="1"/>
  <c r="O254" i="3"/>
  <c r="L254" i="3"/>
  <c r="M254" i="3" s="1"/>
  <c r="O253" i="3"/>
  <c r="L253" i="3"/>
  <c r="M253" i="3" s="1"/>
  <c r="O252" i="3"/>
  <c r="L252" i="3"/>
  <c r="M252" i="3" s="1"/>
  <c r="O251" i="3"/>
  <c r="L251" i="3"/>
  <c r="M251" i="3" s="1"/>
  <c r="O250" i="3"/>
  <c r="L250" i="3"/>
  <c r="M250" i="3" s="1"/>
  <c r="O249" i="3"/>
  <c r="L249" i="3"/>
  <c r="M249" i="3" s="1"/>
  <c r="O248" i="3"/>
  <c r="L248" i="3"/>
  <c r="M248" i="3" s="1"/>
  <c r="O247" i="3"/>
  <c r="L247" i="3"/>
  <c r="M247" i="3" s="1"/>
  <c r="O246" i="3"/>
  <c r="L246" i="3"/>
  <c r="M246" i="3" s="1"/>
  <c r="O245" i="3"/>
  <c r="L245" i="3"/>
  <c r="M245" i="3" s="1"/>
  <c r="O244" i="3"/>
  <c r="L244" i="3"/>
  <c r="M244" i="3" s="1"/>
  <c r="O243" i="3"/>
  <c r="L243" i="3"/>
  <c r="M243" i="3" s="1"/>
  <c r="O242" i="3"/>
  <c r="L242" i="3"/>
  <c r="M242" i="3" s="1"/>
  <c r="O241" i="3"/>
  <c r="L241" i="3"/>
  <c r="M241" i="3" s="1"/>
  <c r="O240" i="3"/>
  <c r="L240" i="3"/>
  <c r="M240" i="3" s="1"/>
  <c r="O239" i="3"/>
  <c r="L239" i="3"/>
  <c r="M239" i="3" s="1"/>
  <c r="O238" i="3"/>
  <c r="L238" i="3"/>
  <c r="M238" i="3" s="1"/>
  <c r="O237" i="3"/>
  <c r="L237" i="3"/>
  <c r="M237" i="3" s="1"/>
  <c r="O236" i="3"/>
  <c r="L236" i="3"/>
  <c r="M236" i="3" s="1"/>
  <c r="O235" i="3"/>
  <c r="L235" i="3"/>
  <c r="M235" i="3" s="1"/>
  <c r="O234" i="3"/>
  <c r="L234" i="3"/>
  <c r="M234" i="3" s="1"/>
  <c r="O233" i="3"/>
  <c r="L233" i="3"/>
  <c r="M233" i="3" s="1"/>
  <c r="O232" i="3"/>
  <c r="L232" i="3"/>
  <c r="M232" i="3" s="1"/>
  <c r="O231" i="3"/>
  <c r="L231" i="3"/>
  <c r="M231" i="3" s="1"/>
  <c r="O230" i="3"/>
  <c r="L230" i="3"/>
  <c r="M230" i="3" s="1"/>
  <c r="O229" i="3"/>
  <c r="L229" i="3"/>
  <c r="M229" i="3" s="1"/>
  <c r="O228" i="3"/>
  <c r="L228" i="3"/>
  <c r="M228" i="3" s="1"/>
  <c r="O227" i="3"/>
  <c r="L227" i="3"/>
  <c r="M227" i="3" s="1"/>
  <c r="O226" i="3"/>
  <c r="L226" i="3"/>
  <c r="M226" i="3" s="1"/>
  <c r="O225" i="3"/>
  <c r="L225" i="3"/>
  <c r="M225" i="3" s="1"/>
  <c r="O224" i="3"/>
  <c r="L224" i="3"/>
  <c r="M224" i="3" s="1"/>
  <c r="O223" i="3"/>
  <c r="L223" i="3"/>
  <c r="M223" i="3" s="1"/>
  <c r="O222" i="3"/>
  <c r="L222" i="3"/>
  <c r="M222" i="3" s="1"/>
  <c r="O221" i="3"/>
  <c r="L221" i="3"/>
  <c r="M221" i="3" s="1"/>
  <c r="O220" i="3"/>
  <c r="L220" i="3"/>
  <c r="M220" i="3" s="1"/>
  <c r="O219" i="3"/>
  <c r="L219" i="3"/>
  <c r="M219" i="3" s="1"/>
  <c r="O218" i="3"/>
  <c r="L218" i="3"/>
  <c r="M218" i="3" s="1"/>
  <c r="O217" i="3"/>
  <c r="L217" i="3"/>
  <c r="M217" i="3" s="1"/>
  <c r="O216" i="3"/>
  <c r="L216" i="3"/>
  <c r="M216" i="3" s="1"/>
  <c r="O215" i="3"/>
  <c r="L215" i="3"/>
  <c r="M215" i="3" s="1"/>
  <c r="O214" i="3"/>
  <c r="L214" i="3"/>
  <c r="M214" i="3" s="1"/>
  <c r="O213" i="3"/>
  <c r="L213" i="3"/>
  <c r="M213" i="3" s="1"/>
  <c r="O212" i="3"/>
  <c r="L212" i="3"/>
  <c r="M212" i="3" s="1"/>
  <c r="O211" i="3"/>
  <c r="L211" i="3"/>
  <c r="M211" i="3" s="1"/>
  <c r="O210" i="3"/>
  <c r="L210" i="3"/>
  <c r="M210" i="3" s="1"/>
  <c r="O209" i="3"/>
  <c r="L209" i="3"/>
  <c r="M209" i="3" s="1"/>
  <c r="O208" i="3"/>
  <c r="L208" i="3"/>
  <c r="M208" i="3" s="1"/>
  <c r="O207" i="3"/>
  <c r="L207" i="3"/>
  <c r="M207" i="3" s="1"/>
  <c r="O206" i="3"/>
  <c r="L206" i="3"/>
  <c r="M206" i="3" s="1"/>
  <c r="O205" i="3"/>
  <c r="L205" i="3"/>
  <c r="M205" i="3" s="1"/>
  <c r="O204" i="3"/>
  <c r="L204" i="3"/>
  <c r="M204" i="3" s="1"/>
  <c r="O203" i="3"/>
  <c r="L203" i="3"/>
  <c r="M203" i="3" s="1"/>
  <c r="O202" i="3"/>
  <c r="L202" i="3"/>
  <c r="M202" i="3" s="1"/>
  <c r="O201" i="3"/>
  <c r="L201" i="3"/>
  <c r="M201" i="3" s="1"/>
  <c r="O200" i="3"/>
  <c r="L200" i="3"/>
  <c r="M200" i="3" s="1"/>
  <c r="O199" i="3"/>
  <c r="L199" i="3"/>
  <c r="M199" i="3" s="1"/>
  <c r="O198" i="3"/>
  <c r="L198" i="3"/>
  <c r="M198" i="3" s="1"/>
  <c r="O197" i="3"/>
  <c r="L197" i="3"/>
  <c r="M197" i="3" s="1"/>
  <c r="O196" i="3"/>
  <c r="L196" i="3"/>
  <c r="M196" i="3" s="1"/>
  <c r="O195" i="3"/>
  <c r="L195" i="3"/>
  <c r="M195" i="3" s="1"/>
  <c r="O194" i="3"/>
  <c r="L194" i="3"/>
  <c r="M194" i="3" s="1"/>
  <c r="O193" i="3"/>
  <c r="L193" i="3"/>
  <c r="M193" i="3" s="1"/>
  <c r="O192" i="3"/>
  <c r="L192" i="3"/>
  <c r="M192" i="3" s="1"/>
  <c r="O191" i="3"/>
  <c r="L191" i="3"/>
  <c r="M191" i="3" s="1"/>
  <c r="O190" i="3"/>
  <c r="L190" i="3"/>
  <c r="M190" i="3" s="1"/>
  <c r="O189" i="3"/>
  <c r="L189" i="3"/>
  <c r="M189" i="3" s="1"/>
  <c r="O188" i="3"/>
  <c r="L188" i="3"/>
  <c r="M188" i="3" s="1"/>
  <c r="O187" i="3"/>
  <c r="L187" i="3"/>
  <c r="M187" i="3" s="1"/>
  <c r="O186" i="3"/>
  <c r="L186" i="3"/>
  <c r="M186" i="3" s="1"/>
  <c r="O185" i="3"/>
  <c r="L185" i="3"/>
  <c r="M185" i="3" s="1"/>
  <c r="O184" i="3"/>
  <c r="L184" i="3"/>
  <c r="M184" i="3" s="1"/>
  <c r="O183" i="3"/>
  <c r="L183" i="3"/>
  <c r="M183" i="3" s="1"/>
  <c r="O182" i="3"/>
  <c r="L182" i="3"/>
  <c r="M182" i="3" s="1"/>
  <c r="O181" i="3"/>
  <c r="L181" i="3"/>
  <c r="M181" i="3" s="1"/>
  <c r="O180" i="3"/>
  <c r="L180" i="3"/>
  <c r="M180" i="3" s="1"/>
  <c r="O179" i="3"/>
  <c r="L179" i="3"/>
  <c r="M179" i="3" s="1"/>
  <c r="O178" i="3"/>
  <c r="L178" i="3"/>
  <c r="M178" i="3" s="1"/>
  <c r="O177" i="3"/>
  <c r="L177" i="3"/>
  <c r="M177" i="3" s="1"/>
  <c r="O176" i="3"/>
  <c r="L176" i="3"/>
  <c r="M176" i="3" s="1"/>
  <c r="O175" i="3"/>
  <c r="L175" i="3"/>
  <c r="M175" i="3" s="1"/>
  <c r="O174" i="3"/>
  <c r="L174" i="3"/>
  <c r="M174" i="3" s="1"/>
  <c r="O173" i="3"/>
  <c r="L173" i="3"/>
  <c r="M173" i="3" s="1"/>
  <c r="O172" i="3"/>
  <c r="L172" i="3"/>
  <c r="M172" i="3" s="1"/>
  <c r="O171" i="3"/>
  <c r="L171" i="3"/>
  <c r="M171" i="3" s="1"/>
  <c r="O170" i="3"/>
  <c r="L170" i="3"/>
  <c r="M170" i="3" s="1"/>
  <c r="O169" i="3"/>
  <c r="L169" i="3"/>
  <c r="M169" i="3" s="1"/>
  <c r="O168" i="3"/>
  <c r="L168" i="3"/>
  <c r="M168" i="3" s="1"/>
  <c r="O167" i="3"/>
  <c r="L167" i="3"/>
  <c r="M167" i="3" s="1"/>
  <c r="O166" i="3"/>
  <c r="L166" i="3"/>
  <c r="M166" i="3" s="1"/>
  <c r="O165" i="3"/>
  <c r="L165" i="3"/>
  <c r="M165" i="3" s="1"/>
  <c r="O164" i="3"/>
  <c r="L164" i="3"/>
  <c r="M164" i="3" s="1"/>
  <c r="O163" i="3"/>
  <c r="L163" i="3"/>
  <c r="M163" i="3" s="1"/>
  <c r="O162" i="3"/>
  <c r="L162" i="3"/>
  <c r="M162" i="3" s="1"/>
  <c r="O161" i="3"/>
  <c r="L161" i="3"/>
  <c r="M161" i="3" s="1"/>
  <c r="O160" i="3"/>
  <c r="L160" i="3"/>
  <c r="M160" i="3" s="1"/>
  <c r="O159" i="3"/>
  <c r="L159" i="3"/>
  <c r="M159" i="3" s="1"/>
  <c r="O158" i="3"/>
  <c r="L158" i="3"/>
  <c r="M158" i="3" s="1"/>
  <c r="O157" i="3"/>
  <c r="L157" i="3"/>
  <c r="M157" i="3" s="1"/>
  <c r="O156" i="3"/>
  <c r="L156" i="3"/>
  <c r="M156" i="3" s="1"/>
  <c r="O155" i="3"/>
  <c r="L155" i="3"/>
  <c r="M155" i="3" s="1"/>
  <c r="O154" i="3"/>
  <c r="L154" i="3"/>
  <c r="M154" i="3" s="1"/>
  <c r="O153" i="3"/>
  <c r="L153" i="3"/>
  <c r="M153" i="3" s="1"/>
  <c r="O152" i="3"/>
  <c r="L152" i="3"/>
  <c r="M152" i="3" s="1"/>
  <c r="O151" i="3"/>
  <c r="L151" i="3"/>
  <c r="M151" i="3" s="1"/>
  <c r="O150" i="3"/>
  <c r="L150" i="3"/>
  <c r="M150" i="3" s="1"/>
  <c r="O149" i="3"/>
  <c r="L149" i="3"/>
  <c r="M149" i="3" s="1"/>
  <c r="O148" i="3"/>
  <c r="L148" i="3"/>
  <c r="M148" i="3" s="1"/>
  <c r="O147" i="3"/>
  <c r="L147" i="3"/>
  <c r="M147" i="3" s="1"/>
  <c r="O146" i="3"/>
  <c r="L146" i="3"/>
  <c r="M146" i="3" s="1"/>
  <c r="O145" i="3"/>
  <c r="L145" i="3"/>
  <c r="M145" i="3" s="1"/>
  <c r="O144" i="3"/>
  <c r="L144" i="3"/>
  <c r="M144" i="3" s="1"/>
  <c r="O143" i="3"/>
  <c r="L143" i="3"/>
  <c r="M143" i="3" s="1"/>
  <c r="O142" i="3"/>
  <c r="L142" i="3"/>
  <c r="M142" i="3" s="1"/>
  <c r="O141" i="3"/>
  <c r="L141" i="3"/>
  <c r="M141" i="3" s="1"/>
  <c r="O140" i="3"/>
  <c r="L140" i="3"/>
  <c r="M140" i="3" s="1"/>
  <c r="O139" i="3"/>
  <c r="L139" i="3"/>
  <c r="M139" i="3" s="1"/>
  <c r="O138" i="3"/>
  <c r="L138" i="3"/>
  <c r="M138" i="3" s="1"/>
  <c r="O137" i="3"/>
  <c r="L137" i="3"/>
  <c r="M137" i="3" s="1"/>
  <c r="O136" i="3"/>
  <c r="L136" i="3"/>
  <c r="M136" i="3" s="1"/>
  <c r="O135" i="3"/>
  <c r="L135" i="3"/>
  <c r="M135" i="3" s="1"/>
  <c r="O134" i="3"/>
  <c r="L134" i="3"/>
  <c r="M134" i="3" s="1"/>
  <c r="O133" i="3"/>
  <c r="L133" i="3"/>
  <c r="M133" i="3" s="1"/>
  <c r="O132" i="3"/>
  <c r="L132" i="3"/>
  <c r="M132" i="3" s="1"/>
  <c r="O131" i="3"/>
  <c r="L131" i="3"/>
  <c r="M131" i="3" s="1"/>
  <c r="O130" i="3"/>
  <c r="L130" i="3"/>
  <c r="M130" i="3" s="1"/>
  <c r="O129" i="3"/>
  <c r="L129" i="3"/>
  <c r="M129" i="3" s="1"/>
  <c r="O128" i="3"/>
  <c r="L128" i="3"/>
  <c r="M128" i="3" s="1"/>
  <c r="O127" i="3"/>
  <c r="L127" i="3"/>
  <c r="M127" i="3" s="1"/>
  <c r="O126" i="3"/>
  <c r="L126" i="3"/>
  <c r="M126" i="3" s="1"/>
  <c r="O125" i="3"/>
  <c r="L125" i="3"/>
  <c r="M125" i="3" s="1"/>
  <c r="O124" i="3"/>
  <c r="L124" i="3"/>
  <c r="M124" i="3" s="1"/>
  <c r="O123" i="3"/>
  <c r="L123" i="3"/>
  <c r="M123" i="3" s="1"/>
  <c r="O122" i="3"/>
  <c r="L122" i="3"/>
  <c r="M122" i="3" s="1"/>
  <c r="O121" i="3"/>
  <c r="L121" i="3"/>
  <c r="M121" i="3" s="1"/>
  <c r="O120" i="3"/>
  <c r="L120" i="3"/>
  <c r="M120" i="3" s="1"/>
  <c r="O119" i="3"/>
  <c r="L119" i="3"/>
  <c r="M119" i="3" s="1"/>
  <c r="O118" i="3"/>
  <c r="L118" i="3"/>
  <c r="M118" i="3" s="1"/>
  <c r="O117" i="3"/>
  <c r="L117" i="3"/>
  <c r="M117" i="3" s="1"/>
  <c r="O116" i="3"/>
  <c r="L116" i="3"/>
  <c r="M116" i="3" s="1"/>
  <c r="O115" i="3"/>
  <c r="L115" i="3"/>
  <c r="M115" i="3" s="1"/>
  <c r="O114" i="3"/>
  <c r="L114" i="3"/>
  <c r="M114" i="3" s="1"/>
  <c r="O113" i="3"/>
  <c r="L113" i="3"/>
  <c r="M113" i="3" s="1"/>
  <c r="O112" i="3"/>
  <c r="L112" i="3"/>
  <c r="M112" i="3" s="1"/>
  <c r="O111" i="3"/>
  <c r="L111" i="3"/>
  <c r="M111" i="3" s="1"/>
  <c r="O110" i="3"/>
  <c r="L110" i="3"/>
  <c r="M110" i="3" s="1"/>
  <c r="O109" i="3"/>
  <c r="L109" i="3"/>
  <c r="M109" i="3" s="1"/>
  <c r="O108" i="3"/>
  <c r="L108" i="3"/>
  <c r="M108" i="3" s="1"/>
  <c r="O107" i="3"/>
  <c r="L107" i="3"/>
  <c r="M107" i="3" s="1"/>
  <c r="O106" i="3"/>
  <c r="L106" i="3"/>
  <c r="M106" i="3" s="1"/>
  <c r="O105" i="3"/>
  <c r="L105" i="3"/>
  <c r="M105" i="3" s="1"/>
  <c r="O104" i="3"/>
  <c r="L104" i="3"/>
  <c r="M104" i="3" s="1"/>
  <c r="O103" i="3"/>
  <c r="L103" i="3"/>
  <c r="M103" i="3" s="1"/>
  <c r="O102" i="3"/>
  <c r="L102" i="3"/>
  <c r="M102" i="3" s="1"/>
  <c r="O101" i="3"/>
  <c r="L101" i="3"/>
  <c r="M101" i="3" s="1"/>
  <c r="O100" i="3"/>
  <c r="L100" i="3"/>
  <c r="M100" i="3" s="1"/>
  <c r="O99" i="3"/>
  <c r="L99" i="3"/>
  <c r="M99" i="3" s="1"/>
  <c r="O98" i="3"/>
  <c r="L98" i="3"/>
  <c r="M98" i="3" s="1"/>
  <c r="O97" i="3"/>
  <c r="L97" i="3"/>
  <c r="M97" i="3" s="1"/>
  <c r="O96" i="3"/>
  <c r="L96" i="3"/>
  <c r="M96" i="3" s="1"/>
  <c r="O95" i="3"/>
  <c r="L95" i="3"/>
  <c r="M95" i="3" s="1"/>
  <c r="O94" i="3"/>
  <c r="L94" i="3"/>
  <c r="M94" i="3" s="1"/>
  <c r="O93" i="3"/>
  <c r="L93" i="3"/>
  <c r="M93" i="3" s="1"/>
  <c r="O92" i="3"/>
  <c r="L92" i="3"/>
  <c r="M92" i="3" s="1"/>
  <c r="O91" i="3"/>
  <c r="L91" i="3"/>
  <c r="M91" i="3" s="1"/>
  <c r="O90" i="3"/>
  <c r="L90" i="3"/>
  <c r="M90" i="3" s="1"/>
  <c r="O89" i="3"/>
  <c r="L89" i="3"/>
  <c r="M89" i="3" s="1"/>
  <c r="O88" i="3"/>
  <c r="L88" i="3"/>
  <c r="M88" i="3" s="1"/>
  <c r="O87" i="3"/>
  <c r="L87" i="3"/>
  <c r="M87" i="3" s="1"/>
  <c r="O86" i="3"/>
  <c r="L86" i="3"/>
  <c r="M86" i="3" s="1"/>
  <c r="O85" i="3"/>
  <c r="L85" i="3"/>
  <c r="M85" i="3" s="1"/>
  <c r="O84" i="3"/>
  <c r="M84" i="3"/>
  <c r="L84" i="3"/>
  <c r="O83" i="3"/>
  <c r="L83" i="3"/>
  <c r="M83" i="3" s="1"/>
  <c r="O82" i="3"/>
  <c r="L82" i="3"/>
  <c r="M82" i="3" s="1"/>
  <c r="O81" i="3"/>
  <c r="L81" i="3"/>
  <c r="M81" i="3" s="1"/>
  <c r="O80" i="3"/>
  <c r="L80" i="3"/>
  <c r="M80" i="3" s="1"/>
  <c r="O79" i="3"/>
  <c r="L79" i="3"/>
  <c r="M79" i="3" s="1"/>
  <c r="O78" i="3"/>
  <c r="L78" i="3"/>
  <c r="M78" i="3" s="1"/>
  <c r="O77" i="3"/>
  <c r="L77" i="3"/>
  <c r="M77" i="3" s="1"/>
  <c r="O76" i="3"/>
  <c r="L76" i="3"/>
  <c r="M76" i="3" s="1"/>
  <c r="O75" i="3"/>
  <c r="L75" i="3"/>
  <c r="M75" i="3" s="1"/>
  <c r="O74" i="3"/>
  <c r="L74" i="3"/>
  <c r="M74" i="3" s="1"/>
  <c r="O73" i="3"/>
  <c r="L73" i="3"/>
  <c r="M73" i="3" s="1"/>
  <c r="O72" i="3"/>
  <c r="L72" i="3"/>
  <c r="M72" i="3" s="1"/>
  <c r="O71" i="3"/>
  <c r="L71" i="3"/>
  <c r="M71" i="3" s="1"/>
  <c r="O70" i="3"/>
  <c r="L70" i="3"/>
  <c r="M70" i="3" s="1"/>
  <c r="O69" i="3"/>
  <c r="L69" i="3"/>
  <c r="M69" i="3" s="1"/>
  <c r="O68" i="3"/>
  <c r="L68" i="3"/>
  <c r="M68" i="3" s="1"/>
  <c r="O67" i="3"/>
  <c r="L67" i="3"/>
  <c r="M67" i="3" s="1"/>
  <c r="O66" i="3"/>
  <c r="L66" i="3"/>
  <c r="M66" i="3" s="1"/>
  <c r="O65" i="3"/>
  <c r="L65" i="3"/>
  <c r="M65" i="3" s="1"/>
  <c r="O64" i="3"/>
  <c r="L64" i="3"/>
  <c r="M64" i="3" s="1"/>
  <c r="O63" i="3"/>
  <c r="L63" i="3"/>
  <c r="M63" i="3" s="1"/>
  <c r="O62" i="3"/>
  <c r="L62" i="3"/>
  <c r="M62" i="3" s="1"/>
  <c r="O61" i="3"/>
  <c r="L61" i="3"/>
  <c r="M61" i="3" s="1"/>
  <c r="O60" i="3"/>
  <c r="L60" i="3"/>
  <c r="M60" i="3" s="1"/>
  <c r="O59" i="3"/>
  <c r="L59" i="3"/>
  <c r="M59" i="3" s="1"/>
  <c r="O58" i="3"/>
  <c r="L58" i="3"/>
  <c r="M58" i="3" s="1"/>
  <c r="O57" i="3"/>
  <c r="L57" i="3"/>
  <c r="M57" i="3" s="1"/>
  <c r="O56" i="3"/>
  <c r="L56" i="3"/>
  <c r="M56" i="3" s="1"/>
  <c r="O55" i="3"/>
  <c r="L55" i="3"/>
  <c r="M55" i="3" s="1"/>
  <c r="O54" i="3"/>
  <c r="L54" i="3"/>
  <c r="M54" i="3" s="1"/>
  <c r="O53" i="3"/>
  <c r="L53" i="3"/>
  <c r="M53" i="3" s="1"/>
  <c r="O52" i="3"/>
  <c r="L52" i="3"/>
  <c r="M52" i="3" s="1"/>
  <c r="O51" i="3"/>
  <c r="L51" i="3"/>
  <c r="M51" i="3" s="1"/>
  <c r="O50" i="3"/>
  <c r="L50" i="3"/>
  <c r="M50" i="3" s="1"/>
  <c r="O49" i="3"/>
  <c r="L49" i="3"/>
  <c r="M49" i="3" s="1"/>
  <c r="O48" i="3"/>
  <c r="L48" i="3"/>
  <c r="M48" i="3" s="1"/>
  <c r="O47" i="3"/>
  <c r="L47" i="3"/>
  <c r="M47" i="3" s="1"/>
  <c r="O46" i="3"/>
  <c r="L46" i="3"/>
  <c r="M46" i="3" s="1"/>
  <c r="O45" i="3"/>
  <c r="L45" i="3"/>
  <c r="M45" i="3" s="1"/>
  <c r="O44" i="3"/>
  <c r="L44" i="3"/>
  <c r="M44" i="3" s="1"/>
  <c r="O43" i="3"/>
  <c r="L43" i="3"/>
  <c r="M43" i="3" s="1"/>
  <c r="O42" i="3"/>
  <c r="L42" i="3"/>
  <c r="M42" i="3" s="1"/>
  <c r="O41" i="3"/>
  <c r="L41" i="3"/>
  <c r="M41" i="3" s="1"/>
  <c r="O40" i="3"/>
  <c r="L40" i="3"/>
  <c r="M40" i="3" s="1"/>
  <c r="O39" i="3"/>
  <c r="L39" i="3"/>
  <c r="M39" i="3" s="1"/>
  <c r="O38" i="3"/>
  <c r="L38" i="3"/>
  <c r="M38" i="3" s="1"/>
  <c r="O37" i="3"/>
  <c r="L37" i="3"/>
  <c r="M37" i="3" s="1"/>
  <c r="O36" i="3"/>
  <c r="L36" i="3"/>
  <c r="M36" i="3" s="1"/>
  <c r="O35" i="3"/>
  <c r="L35" i="3"/>
  <c r="M35" i="3" s="1"/>
  <c r="O34" i="3"/>
  <c r="L34" i="3"/>
  <c r="M34" i="3" s="1"/>
  <c r="O33" i="3"/>
  <c r="L33" i="3"/>
  <c r="M33" i="3" s="1"/>
  <c r="O32" i="3"/>
  <c r="L32" i="3"/>
  <c r="M32" i="3" s="1"/>
  <c r="O31" i="3"/>
  <c r="L31" i="3"/>
  <c r="M31" i="3" s="1"/>
  <c r="O30" i="3"/>
  <c r="L30" i="3"/>
  <c r="M30" i="3" s="1"/>
  <c r="O29" i="3"/>
  <c r="L29" i="3"/>
  <c r="M29" i="3" s="1"/>
  <c r="O28" i="3"/>
  <c r="L28" i="3"/>
  <c r="M28" i="3" s="1"/>
  <c r="O27" i="3"/>
  <c r="L27" i="3"/>
  <c r="M27" i="3" s="1"/>
  <c r="O26" i="3"/>
  <c r="L26" i="3"/>
  <c r="M26" i="3" s="1"/>
  <c r="O25" i="3"/>
  <c r="L25" i="3"/>
  <c r="M25" i="3" s="1"/>
  <c r="O24" i="3"/>
  <c r="L24" i="3"/>
  <c r="M24" i="3" s="1"/>
  <c r="O23" i="3"/>
  <c r="L23" i="3"/>
  <c r="M23" i="3" s="1"/>
  <c r="O22" i="3"/>
  <c r="L22" i="3"/>
  <c r="M22" i="3" s="1"/>
  <c r="O21" i="3"/>
  <c r="L21" i="3"/>
  <c r="M21" i="3" s="1"/>
  <c r="O20" i="3"/>
  <c r="L20" i="3"/>
  <c r="M20" i="3" s="1"/>
  <c r="O19" i="3"/>
  <c r="L19" i="3"/>
  <c r="M19" i="3" s="1"/>
  <c r="O18" i="3"/>
  <c r="L18" i="3"/>
  <c r="M18" i="3" s="1"/>
  <c r="O17" i="3"/>
  <c r="L17" i="3"/>
  <c r="M17" i="3" s="1"/>
  <c r="O16" i="3"/>
  <c r="L16" i="3"/>
  <c r="M16" i="3" s="1"/>
  <c r="O15" i="3"/>
  <c r="L15" i="3"/>
  <c r="M15" i="3" s="1"/>
  <c r="O14" i="3"/>
  <c r="L14" i="3"/>
  <c r="M14" i="3" s="1"/>
  <c r="O13" i="3"/>
  <c r="L13" i="3"/>
  <c r="M13" i="3" s="1"/>
  <c r="O12" i="3"/>
  <c r="L12" i="3"/>
  <c r="M12" i="3" s="1"/>
  <c r="O11" i="3"/>
  <c r="L11" i="3"/>
  <c r="M11" i="3" s="1"/>
  <c r="O10" i="3"/>
  <c r="L10" i="3"/>
  <c r="M10" i="3" s="1"/>
  <c r="O9" i="3"/>
  <c r="L9" i="3"/>
  <c r="M9" i="3" s="1"/>
  <c r="O8" i="3"/>
  <c r="L8" i="3"/>
  <c r="M8" i="3" s="1"/>
  <c r="O7" i="3"/>
  <c r="L7" i="3"/>
  <c r="M7" i="3" s="1"/>
  <c r="O6" i="3"/>
  <c r="L6" i="3"/>
  <c r="M6" i="3" s="1"/>
  <c r="O5" i="3"/>
  <c r="L5" i="3"/>
  <c r="M5" i="3" s="1"/>
  <c r="O4" i="3"/>
  <c r="L4" i="3"/>
  <c r="M4" i="3" s="1"/>
  <c r="O3" i="3"/>
  <c r="L3" i="3"/>
  <c r="M3" i="3" s="1"/>
  <c r="O2" i="3"/>
  <c r="L2" i="3"/>
  <c r="M2" i="3" s="1"/>
</calcChain>
</file>

<file path=xl/sharedStrings.xml><?xml version="1.0" encoding="utf-8"?>
<sst xmlns="http://schemas.openxmlformats.org/spreadsheetml/2006/main" count="7029" uniqueCount="2889">
  <si>
    <t>GesLab · Inventario de laboratorios · Sede Carepa</t>
  </si>
  <si>
    <t>Versión 2 generada el 29/10/2026 a partir de los archivos originales (no se modificaron; siguen intactos en la carpeta Inventario).</t>
  </si>
  <si>
    <t>CÓMO DILIGENCIARLO (3 pasos)</t>
  </si>
  <si>
    <t>1. Revisar: en Reactivos y Equipos, filtre la columna «Revisar» = Sí. Cada fila trae el motivo. Corrija el dato y cambie «Revisar» a No. Así queda constancia de lo verificado.</t>
  </si>
  <si>
    <t>2. Registrar consumos: hoja Movimientos. Una fila por uso: fecha, ID del reactivo (lista desplegable), cantidad usada. «Existencia hoy» se recalcula sola.</t>
  </si>
  <si>
    <t>3. Registrar roturas de vidriería: hoja Roturas, igual que Movimientos. Para ítems nuevos de vidriería, llene la hoja Vidriería (una fila por ítem).</t>
  </si>
  <si>
    <t>COLORES</t>
  </si>
  <si>
    <t>Encabezado azul oscuro = usted escribe. Encabezado gris = fórmula o dato fijo, no se digita. Fila amarilla = por revisar. Rojo = vencido, negativo o no disponible. Naranja = por vencer, repetido o con traslado pendiente.</t>
  </si>
  <si>
    <t>REGLAS APLICADAS AL UNIFICAR</t>
  </si>
  <si>
    <t>Unidades convertidas a g, mL o unidad (kg→g, L→mL, mg→g). La unidad original queda en la columna Origen cuando se cambió.</t>
  </si>
  <si>
    <t>Cantidades escritas como texto («300g», «3.5L») se separaron en número y unidad. Lo ambiguo quedó marcado en Revisar.</t>
  </si>
  <si>
    <t>Reactivos vencidos se cargaron igual y quedan marcados como VENCIDO; los que vencen en menos de 90 días, como Por vencer. No cuentan como disponibles hasta que usted lo decida.</t>
  </si>
  <si>
    <t>Equipos prestados o enviados a otra sede se cargaron como disponibles, con el aviso «hacer el traslado» en la columna Disponibilidad. Los dados de baja, en mantenimiento o fuera de servicio no aparecen como disponibles.</t>
  </si>
  <si>
    <t>Identificadores (ID) fijos: no los cambie ni reordene filas copiando por encima; use filtros para ordenar. Cada fila conserva su origen (archivo, hoja y fila) para auditar contra el original.</t>
  </si>
  <si>
    <t>RESUMEN DE ESTA SEDE</t>
  </si>
  <si>
    <t>Reactivos y soluciones: 354 filas · 13 por revisar · 93 vencidos.</t>
  </si>
  <si>
    <t>Equipos: 145 filas · 19 por revisar · 11 con traslado pendiente · estados: Operativo 130, Fuera de servicio 10, Baja 5.</t>
  </si>
  <si>
    <t>Vidriería: hoja lista para diligenciar (300 filas con ID).</t>
  </si>
  <si>
    <t>Al terminar, avise para cargar estos libros a GesLab: la existencia de cada práctica se comparará automáticamente con lo solicitado.</t>
  </si>
  <si>
    <t>Unidad</t>
  </si>
  <si>
    <t>Estado físico</t>
  </si>
  <si>
    <t>Tipo</t>
  </si>
  <si>
    <t>Estado del equipo</t>
  </si>
  <si>
    <t>Condición</t>
  </si>
  <si>
    <t>Prestado o enviado a</t>
  </si>
  <si>
    <t>Sí/No</t>
  </si>
  <si>
    <t>Material</t>
  </si>
  <si>
    <t>Área</t>
  </si>
  <si>
    <t>Salón o laboratorio</t>
  </si>
  <si>
    <t>Clase de almacenamiento</t>
  </si>
  <si>
    <t>g</t>
  </si>
  <si>
    <t>Sólido</t>
  </si>
  <si>
    <t>Reactivo</t>
  </si>
  <si>
    <t>Operativo</t>
  </si>
  <si>
    <t>Buena</t>
  </si>
  <si>
    <t>Turbo</t>
  </si>
  <si>
    <t>Sí</t>
  </si>
  <si>
    <t>Vidrio</t>
  </si>
  <si>
    <t>Química</t>
  </si>
  <si>
    <t>101</t>
  </si>
  <si>
    <t>10-10</t>
  </si>
  <si>
    <t>mL</t>
  </si>
  <si>
    <t>Líquido</t>
  </si>
  <si>
    <t>Solución o secundario</t>
  </si>
  <si>
    <t>En mantenimiento</t>
  </si>
  <si>
    <t>Regular</t>
  </si>
  <si>
    <t>Apartadó</t>
  </si>
  <si>
    <t>No</t>
  </si>
  <si>
    <t>Plástico</t>
  </si>
  <si>
    <t>Biología</t>
  </si>
  <si>
    <t>102</t>
  </si>
  <si>
    <t>10-12</t>
  </si>
  <si>
    <t>unidad</t>
  </si>
  <si>
    <t>Gas</t>
  </si>
  <si>
    <t>Fuera de servicio</t>
  </si>
  <si>
    <t>Mala</t>
  </si>
  <si>
    <t>Carepa</t>
  </si>
  <si>
    <t>Porcelana</t>
  </si>
  <si>
    <t>Física</t>
  </si>
  <si>
    <t>103</t>
  </si>
  <si>
    <t>10-13</t>
  </si>
  <si>
    <t>Baja</t>
  </si>
  <si>
    <t>Medellín (Centro de Instrumentación)</t>
  </si>
  <si>
    <t>Metal</t>
  </si>
  <si>
    <t>Otra</t>
  </si>
  <si>
    <t>10-15</t>
  </si>
  <si>
    <t>Otra sede (indicar cuál)</t>
  </si>
  <si>
    <t>Otro</t>
  </si>
  <si>
    <t>10-9</t>
  </si>
  <si>
    <t>3</t>
  </si>
  <si>
    <t>4.1</t>
  </si>
  <si>
    <t>5.1</t>
  </si>
  <si>
    <t>6.1</t>
  </si>
  <si>
    <t>6.1B</t>
  </si>
  <si>
    <t>8</t>
  </si>
  <si>
    <t>8A</t>
  </si>
  <si>
    <t>8B</t>
  </si>
  <si>
    <t>Calse8A</t>
  </si>
  <si>
    <t>Microbiológico</t>
  </si>
  <si>
    <t>ID</t>
  </si>
  <si>
    <t>Revisar</t>
  </si>
  <si>
    <t>Motivo de revisión</t>
  </si>
  <si>
    <t>Fórmula</t>
  </si>
  <si>
    <t>CAS</t>
  </si>
  <si>
    <t>Cantidad inicial</t>
  </si>
  <si>
    <t>Existencia (último conteo)</t>
  </si>
  <si>
    <t>Fecha del conteo</t>
  </si>
  <si>
    <t>Consumido desde el conteo</t>
  </si>
  <si>
    <t>Existencia hoy</t>
  </si>
  <si>
    <t>Vencimiento</t>
  </si>
  <si>
    <t>Estado vencimiento</t>
  </si>
  <si>
    <t>Lote</t>
  </si>
  <si>
    <t>Marca</t>
  </si>
  <si>
    <t>Pureza / concentración</t>
  </si>
  <si>
    <t>Ubicación</t>
  </si>
  <si>
    <t>Cód. interno</t>
  </si>
  <si>
    <t>Recibió</t>
  </si>
  <si>
    <t>Base de la existencia</t>
  </si>
  <si>
    <t>Observaciones</t>
  </si>
  <si>
    <t>Origen (archivo · hoja · fila)</t>
  </si>
  <si>
    <t>REA-CAR-0001</t>
  </si>
  <si>
    <t>1,10 Fenaltrolina Monihidratado</t>
  </si>
  <si>
    <t>C12H8N2</t>
  </si>
  <si>
    <t>5144-89-8</t>
  </si>
  <si>
    <t>K46484825 519</t>
  </si>
  <si>
    <t>Merck</t>
  </si>
  <si>
    <t>100</t>
  </si>
  <si>
    <t>Carolina Galvis Lora</t>
  </si>
  <si>
    <t>Cantidad total del inventario</t>
  </si>
  <si>
    <t>Inventario_Reactivos_Carepa.xlsx · Reactivos · fila 2</t>
  </si>
  <si>
    <t>REA-CAR-0002</t>
  </si>
  <si>
    <t>1-Naftol</t>
  </si>
  <si>
    <t>C10H8O</t>
  </si>
  <si>
    <t>90-15-3</t>
  </si>
  <si>
    <t>1251792</t>
  </si>
  <si>
    <t>Panreac</t>
  </si>
  <si>
    <t>99</t>
  </si>
  <si>
    <t>IF012</t>
  </si>
  <si>
    <t>Inventario_Reactivos_Carepa.xlsx · Reactivos · fila 3</t>
  </si>
  <si>
    <t>REA-CAR-0003</t>
  </si>
  <si>
    <t>1 - Propanol</t>
  </si>
  <si>
    <t>CH3CH(OH)CH2</t>
  </si>
  <si>
    <t>67-63-0</t>
  </si>
  <si>
    <t>I1164334 136</t>
  </si>
  <si>
    <t>Inventario_Reactivos_Carepa.xlsx · Reactivos · fila 4</t>
  </si>
  <si>
    <t>REA-CAR-0004</t>
  </si>
  <si>
    <t>2 - Propanol</t>
  </si>
  <si>
    <t>CH3CH(OH)CH3</t>
  </si>
  <si>
    <t>l1164334136</t>
  </si>
  <si>
    <t>Inventario_Reactivos_Carepa.xlsx · Reactivos · fila 5</t>
  </si>
  <si>
    <t>REA-CAR-0005</t>
  </si>
  <si>
    <t>K48600434 652</t>
  </si>
  <si>
    <t>Inventario_Reactivos_Carepa.xlsx · Reactivos · fila 6</t>
  </si>
  <si>
    <t>REA-CAR-0006</t>
  </si>
  <si>
    <t>8 - Hidroxiquinoleina</t>
  </si>
  <si>
    <t>C9H7NO</t>
  </si>
  <si>
    <t>148-24-3</t>
  </si>
  <si>
    <t>S7085061 530</t>
  </si>
  <si>
    <t>Inventario_Reactivos_Carepa.xlsx · Reactivos · fila 7</t>
  </si>
  <si>
    <t>REA-CAR-0007</t>
  </si>
  <si>
    <t>Aceite de inmersión para microscopía</t>
  </si>
  <si>
    <t>C14H12O2</t>
  </si>
  <si>
    <t>V3H482273H</t>
  </si>
  <si>
    <t>Carlo Erba</t>
  </si>
  <si>
    <t>SR026</t>
  </si>
  <si>
    <t>Inventario_Reactivos_Carepa.xlsx · Reactivos · fila 8</t>
  </si>
  <si>
    <t>REA-CAR-0008</t>
  </si>
  <si>
    <t>Aceite de Parafia</t>
  </si>
  <si>
    <t>1007214220</t>
  </si>
  <si>
    <t>BioMerieux</t>
  </si>
  <si>
    <t>Inventario_Reactivos_Carepa.xlsx · Reactivos · fila 9</t>
  </si>
  <si>
    <t>REA-CAR-0009</t>
  </si>
  <si>
    <t>Acetamida</t>
  </si>
  <si>
    <t>C2H5NO</t>
  </si>
  <si>
    <t>022-00-4</t>
  </si>
  <si>
    <t>S6698643 446</t>
  </si>
  <si>
    <t>Inventario_Reactivos_Carepa.xlsx · Reactivos · fila 10</t>
  </si>
  <si>
    <t>REA-CAR-0010</t>
  </si>
  <si>
    <t>Acetanilida</t>
  </si>
  <si>
    <t>C8H9NO</t>
  </si>
  <si>
    <t>103-84-4</t>
  </si>
  <si>
    <t>S73900544 828</t>
  </si>
  <si>
    <t>98</t>
  </si>
  <si>
    <t>Inventario_Reactivos_Carepa.xlsx · Reactivos · fila 11</t>
  </si>
  <si>
    <t>REA-CAR-0011</t>
  </si>
  <si>
    <t>Acetato de etilo</t>
  </si>
  <si>
    <t>CH3COOC2H5</t>
  </si>
  <si>
    <t>141-78-6</t>
  </si>
  <si>
    <t>K50838323 848</t>
  </si>
  <si>
    <t>IN016</t>
  </si>
  <si>
    <t>Inventario_Reactivos_Carepa.xlsx · Reactivos · fila 12</t>
  </si>
  <si>
    <t>REA-CAR-0012</t>
  </si>
  <si>
    <t>Acetato de plomo trihidratado</t>
  </si>
  <si>
    <t>(CH₃COO)₂Pb * 3 H₂O</t>
  </si>
  <si>
    <t>6080-56-4</t>
  </si>
  <si>
    <t>S8189575 231</t>
  </si>
  <si>
    <t>IF003</t>
  </si>
  <si>
    <t>Inventario_Reactivos_Carepa.xlsx · Reactivos · fila 13</t>
  </si>
  <si>
    <t>REA-CAR-0013</t>
  </si>
  <si>
    <t>Acetato de Sodio</t>
  </si>
  <si>
    <t>CH3COONa</t>
  </si>
  <si>
    <t>127-09-3</t>
  </si>
  <si>
    <t>AM1875868241</t>
  </si>
  <si>
    <t>Inventario_Reactivos_Carepa.xlsx · Reactivos · fila 14</t>
  </si>
  <si>
    <t>REA-CAR-0014</t>
  </si>
  <si>
    <t>Acetona</t>
  </si>
  <si>
    <t>CH3COCH3</t>
  </si>
  <si>
    <t>67-64-1</t>
  </si>
  <si>
    <t>K51483014 924</t>
  </si>
  <si>
    <t>IN022</t>
  </si>
  <si>
    <t>Inventario_Reactivos_Carepa.xlsx · Reactivos · fila 15</t>
  </si>
  <si>
    <t>REA-CAR-0015</t>
  </si>
  <si>
    <t>CAS con formato no estándar: «609-994»</t>
  </si>
  <si>
    <t>Acido 3,5 Dinitrosalicilico 98%</t>
  </si>
  <si>
    <t>C7H4N2O7</t>
  </si>
  <si>
    <t>985741</t>
  </si>
  <si>
    <t>CAS/código original: 609-994</t>
  </si>
  <si>
    <t>Inventario_Reactivos_Carepa.xlsx · Reactivos · fila 16</t>
  </si>
  <si>
    <t>REA-CAR-0016</t>
  </si>
  <si>
    <t>Acido Acetico Glacial 100%</t>
  </si>
  <si>
    <t>CH3COOH</t>
  </si>
  <si>
    <t>64-19-7</t>
  </si>
  <si>
    <t>1976160</t>
  </si>
  <si>
    <t>99.7</t>
  </si>
  <si>
    <t>Inventario_Reactivos_Carepa.xlsx · Reactivos · fila 17</t>
  </si>
  <si>
    <t>REA-CAR-0017</t>
  </si>
  <si>
    <t>Acido Citrico monohidrato</t>
  </si>
  <si>
    <t>C6H8O7 * H2O</t>
  </si>
  <si>
    <t>5949-29-1</t>
  </si>
  <si>
    <t>K48283044 711</t>
  </si>
  <si>
    <t>Inventario_Reactivos_Carepa.xlsx · Reactivos · fila 18</t>
  </si>
  <si>
    <t>REA-CAR-0018</t>
  </si>
  <si>
    <t>Acido ascorbico</t>
  </si>
  <si>
    <t>C6H8O6</t>
  </si>
  <si>
    <t>50-81-7</t>
  </si>
  <si>
    <t>5Y011101</t>
  </si>
  <si>
    <t>Inventario_Reactivos_Carepa.xlsx · Reactivos · fila 19</t>
  </si>
  <si>
    <t>REA-CAR-0019</t>
  </si>
  <si>
    <t>Ácido clorhídrico</t>
  </si>
  <si>
    <t>HCl</t>
  </si>
  <si>
    <t>7647-01-0</t>
  </si>
  <si>
    <t>K0680</t>
  </si>
  <si>
    <t>Honeywell</t>
  </si>
  <si>
    <t>37</t>
  </si>
  <si>
    <t>CO008</t>
  </si>
  <si>
    <t>Inventario_Reactivos_Carepa.xlsx · Reactivos · fila 20</t>
  </si>
  <si>
    <t>REA-CAR-0020</t>
  </si>
  <si>
    <t>Ácido Cromotrópico, sal disódica dihidratado</t>
  </si>
  <si>
    <t>C10H10Na2O10S2</t>
  </si>
  <si>
    <t>5808-22-0</t>
  </si>
  <si>
    <t>L013052198 424</t>
  </si>
  <si>
    <t>98,1</t>
  </si>
  <si>
    <t>Inventario_Reactivos_Carepa.xlsx · Reactivos · fila 21</t>
  </si>
  <si>
    <t>REA-CAR-0021</t>
  </si>
  <si>
    <t>L013052198 336</t>
  </si>
  <si>
    <t>SR013</t>
  </si>
  <si>
    <t>Inventario_Reactivos_Carepa.xlsx · Reactivos · fila 22</t>
  </si>
  <si>
    <t>REA-CAR-0022</t>
  </si>
  <si>
    <t>Acido Glioxilico</t>
  </si>
  <si>
    <t>C2H2O3*H2O</t>
  </si>
  <si>
    <t>7732-18-5</t>
  </si>
  <si>
    <t>S6734084 401</t>
  </si>
  <si>
    <t>50</t>
  </si>
  <si>
    <t>Inventario_Reactivos_Carepa.xlsx · Reactivos · fila 23</t>
  </si>
  <si>
    <t>REA-CAR-0023</t>
  </si>
  <si>
    <t>Ácido nítrico</t>
  </si>
  <si>
    <t>HNO3</t>
  </si>
  <si>
    <t>7697-37-2</t>
  </si>
  <si>
    <t>K47933056 624</t>
  </si>
  <si>
    <t>65</t>
  </si>
  <si>
    <t>IN019</t>
  </si>
  <si>
    <t>Inventario_Reactivos_Carepa.xlsx · Reactivos · fila 24</t>
  </si>
  <si>
    <t>REA-CAR-0024</t>
  </si>
  <si>
    <t>Acido Orto-fosforico</t>
  </si>
  <si>
    <t>H3PO4</t>
  </si>
  <si>
    <t>7664-38-2</t>
  </si>
  <si>
    <t>K46816373 526</t>
  </si>
  <si>
    <t>85</t>
  </si>
  <si>
    <t>Inventario_Reactivos_Carepa.xlsx · Reactivos · fila 25</t>
  </si>
  <si>
    <t>REA-CAR-0025</t>
  </si>
  <si>
    <t>Acido Salicilico</t>
  </si>
  <si>
    <t>C7H6O3</t>
  </si>
  <si>
    <t>69-72-7</t>
  </si>
  <si>
    <t>S6059431 231</t>
  </si>
  <si>
    <t>Inventario_Reactivos_Carepa.xlsx · Reactivos · fila 26</t>
  </si>
  <si>
    <t>REA-CAR-0026</t>
  </si>
  <si>
    <t>Ácido sulfúrico</t>
  </si>
  <si>
    <t>H2SO4</t>
  </si>
  <si>
    <t>7664-93-9</t>
  </si>
  <si>
    <t>K53264431 114</t>
  </si>
  <si>
    <t>95-97</t>
  </si>
  <si>
    <t>CO007</t>
  </si>
  <si>
    <t>Inventario_Reactivos_Carepa.xlsx · Reactivos · fila 27</t>
  </si>
  <si>
    <t>REA-CAR-0027</t>
  </si>
  <si>
    <t>Acido propionico</t>
  </si>
  <si>
    <t>C3H6O2</t>
  </si>
  <si>
    <t>79-09-4</t>
  </si>
  <si>
    <t>S7746005 935</t>
  </si>
  <si>
    <t>Inventario_Reactivos_Carepa.xlsx · Reactivos · fila 28</t>
  </si>
  <si>
    <t>REA-CAR-0028</t>
  </si>
  <si>
    <t>Acido Tricloroacetico</t>
  </si>
  <si>
    <t>CCl3COOH</t>
  </si>
  <si>
    <t>004-00-7</t>
  </si>
  <si>
    <t>K46702007 611</t>
  </si>
  <si>
    <t>Inventario_Reactivos_Carepa.xlsx · Reactivos · fila 29</t>
  </si>
  <si>
    <t>REA-CAR-0029</t>
  </si>
  <si>
    <t>Agar Agar</t>
  </si>
  <si>
    <t>9002-18-0</t>
  </si>
  <si>
    <t>VM1022714 219</t>
  </si>
  <si>
    <t>Inventario_Reactivos_Carepa.xlsx · Reactivos · fila 30</t>
  </si>
  <si>
    <t>REA-CAR-0030</t>
  </si>
  <si>
    <t>Agar Cetrimide</t>
  </si>
  <si>
    <t>VM817784 813</t>
  </si>
  <si>
    <t>Inventario_Reactivos_Carepa.xlsx · Reactivos · fila 31</t>
  </si>
  <si>
    <t>REA-CAR-0031</t>
  </si>
  <si>
    <t>Agar Citrato de SIMMONS</t>
  </si>
  <si>
    <t>VM831801 815</t>
  </si>
  <si>
    <t>Inventario_Reactivos_Carepa.xlsx · Reactivos · fila 32</t>
  </si>
  <si>
    <t>REA-CAR-0032</t>
  </si>
  <si>
    <t>Agar EMB</t>
  </si>
  <si>
    <t>VM802442 738</t>
  </si>
  <si>
    <t>Inventario_Reactivos_Carepa.xlsx · Reactivos · fila 33</t>
  </si>
  <si>
    <t>REA-CAR-0033</t>
  </si>
  <si>
    <t>VM869847 912</t>
  </si>
  <si>
    <t>Inventario_Reactivos_Carepa.xlsx · Reactivos · fila 34</t>
  </si>
  <si>
    <t>REA-CAR-0034</t>
  </si>
  <si>
    <t>Agar Endo</t>
  </si>
  <si>
    <t>VM806344 743</t>
  </si>
  <si>
    <t>Inventario_Reactivos_Carepa.xlsx · Reactivos · fila 35</t>
  </si>
  <si>
    <t>REA-CAR-0035</t>
  </si>
  <si>
    <t>Agar Glucosa 4% SABOURAUD</t>
  </si>
  <si>
    <t>VM942138038</t>
  </si>
  <si>
    <t>Inventario_Reactivos_Carepa.xlsx · Reactivos · fila 36</t>
  </si>
  <si>
    <t>REA-CAR-0036</t>
  </si>
  <si>
    <t>Agar Lisina - Hierro</t>
  </si>
  <si>
    <t>VM784440 719</t>
  </si>
  <si>
    <t>Inventario_Reactivos_Carepa.xlsx · Reactivos · fila 37</t>
  </si>
  <si>
    <t>REA-CAR-0037</t>
  </si>
  <si>
    <t>Agar Macconkey</t>
  </si>
  <si>
    <t>VM732265614</t>
  </si>
  <si>
    <t>Inventario_Reactivos_Carepa.xlsx · Reactivos · fila 38</t>
  </si>
  <si>
    <t>REA-CAR-0038</t>
  </si>
  <si>
    <t>VM775965 712</t>
  </si>
  <si>
    <t>Inventario_Reactivos_Carepa.xlsx · Reactivos · fila 39</t>
  </si>
  <si>
    <t>REA-CAR-0039</t>
  </si>
  <si>
    <t>Agar Nutritivo</t>
  </si>
  <si>
    <t>VM769981 702</t>
  </si>
  <si>
    <t>Inventario_Reactivos_Carepa.xlsx · Reactivos · fila 40</t>
  </si>
  <si>
    <t>REA-CAR-0040</t>
  </si>
  <si>
    <t>VM8511850 836</t>
  </si>
  <si>
    <t>Inventario_Reactivos_Carepa.xlsx · Reactivos · fila 41</t>
  </si>
  <si>
    <t>REA-CAR-0041</t>
  </si>
  <si>
    <t>VM1011250218</t>
  </si>
  <si>
    <t>Inventario_Reactivos_Carepa.xlsx · Reactivos · fila 42</t>
  </si>
  <si>
    <t>REA-CAR-0042</t>
  </si>
  <si>
    <t>VM817950 809</t>
  </si>
  <si>
    <t>Inventario_Reactivos_Carepa.xlsx · Reactivos · fila 43</t>
  </si>
  <si>
    <t>REA-CAR-0043</t>
  </si>
  <si>
    <t>VM737743618</t>
  </si>
  <si>
    <t>Inventario_Reactivos_Carepa.xlsx · Reactivos · fila 44</t>
  </si>
  <si>
    <t>REA-CAR-0044</t>
  </si>
  <si>
    <t>Agar para Coliformes</t>
  </si>
  <si>
    <t>VM826026 821</t>
  </si>
  <si>
    <t>Inventario_Reactivos_Carepa.xlsx · Reactivos · fila 45</t>
  </si>
  <si>
    <t>REA-CAR-0045</t>
  </si>
  <si>
    <t>Agar PDA</t>
  </si>
  <si>
    <t>VM1007130212</t>
  </si>
  <si>
    <t>Inventario_Reactivos_Carepa.xlsx · Reactivos · fila 46</t>
  </si>
  <si>
    <t>REA-CAR-0046</t>
  </si>
  <si>
    <t>VM866030 907</t>
  </si>
  <si>
    <t>Inventario_Reactivos_Carepa.xlsx · Reactivos · fila 47</t>
  </si>
  <si>
    <t>REA-CAR-0047</t>
  </si>
  <si>
    <t>Agar Plate Count</t>
  </si>
  <si>
    <t>VM813263 738</t>
  </si>
  <si>
    <t>Inventario_Reactivos_Carepa.xlsx · Reactivos · fila 48</t>
  </si>
  <si>
    <t>REA-CAR-0048</t>
  </si>
  <si>
    <t>VM866663 909</t>
  </si>
  <si>
    <t>Inventario_Reactivos_Carepa.xlsx · Reactivos · fila 49</t>
  </si>
  <si>
    <t>REA-CAR-0049</t>
  </si>
  <si>
    <t>Agar SABOURAUD 4%</t>
  </si>
  <si>
    <t>VM834538821</t>
  </si>
  <si>
    <t>Inventario_Reactivos_Carepa.xlsx · Reactivos · fila 50</t>
  </si>
  <si>
    <t>REA-CAR-0050</t>
  </si>
  <si>
    <t>Agar SIM</t>
  </si>
  <si>
    <t>VM1022270228</t>
  </si>
  <si>
    <t>Inventario_Reactivos_Carepa.xlsx · Reactivos · fila 51</t>
  </si>
  <si>
    <t>REA-CAR-0051</t>
  </si>
  <si>
    <t>VM802070 733</t>
  </si>
  <si>
    <t>Inventario_Reactivos_Carepa.xlsx · Reactivos · fila 52</t>
  </si>
  <si>
    <t>REA-CAR-0052</t>
  </si>
  <si>
    <t>Agar Triptona de Soya</t>
  </si>
  <si>
    <t>VM876358 913</t>
  </si>
  <si>
    <t>Inventario_Reactivos_Carepa.xlsx · Reactivos · fila 53</t>
  </si>
  <si>
    <t>REA-CAR-0053</t>
  </si>
  <si>
    <t>Agar Urea</t>
  </si>
  <si>
    <t>VM811192 739</t>
  </si>
  <si>
    <t>Inventario_Reactivos_Carepa.xlsx · Reactivos · fila 54</t>
  </si>
  <si>
    <t>REA-CAR-0054</t>
  </si>
  <si>
    <t>Agua de Peptona</t>
  </si>
  <si>
    <t>VM827228 807</t>
  </si>
  <si>
    <t>Inventario_Reactivos_Carepa.xlsx · Reactivos · fila 55</t>
  </si>
  <si>
    <t>REA-CAR-0055</t>
  </si>
  <si>
    <t>VM857428 845</t>
  </si>
  <si>
    <t>Inventario_Reactivos_Carepa.xlsx · Reactivos · fila 56</t>
  </si>
  <si>
    <t>REA-CAR-0056</t>
  </si>
  <si>
    <t>VM862228 849</t>
  </si>
  <si>
    <t>Inventario_Reactivos_Carepa.xlsx · Reactivos · fila 57</t>
  </si>
  <si>
    <t>REA-CAR-0057</t>
  </si>
  <si>
    <t>Alcohol Isopropilico</t>
  </si>
  <si>
    <t>1304012-1</t>
  </si>
  <si>
    <t>Quimicos JM</t>
  </si>
  <si>
    <t>Inventario_Reactivos_Carepa.xlsx · Reactivos · fila 58</t>
  </si>
  <si>
    <t>REA-CAR-0058</t>
  </si>
  <si>
    <t>Alcohol Industrial</t>
  </si>
  <si>
    <t>64-17-5</t>
  </si>
  <si>
    <t>190729-E03</t>
  </si>
  <si>
    <t>Avantika</t>
  </si>
  <si>
    <t>70</t>
  </si>
  <si>
    <t>Inventario_Reactivos_Carepa.xlsx · Reactivos · fila 59</t>
  </si>
  <si>
    <t>REA-CAR-0059</t>
  </si>
  <si>
    <t>Alginato de sodio</t>
  </si>
  <si>
    <t>(C6H7O6Na)N</t>
  </si>
  <si>
    <t>9005-38-3</t>
  </si>
  <si>
    <t>0X009722</t>
  </si>
  <si>
    <t>90.8</t>
  </si>
  <si>
    <t>Inventario_Reactivos_Carepa.xlsx · Reactivos · fila 60</t>
  </si>
  <si>
    <t>REA-CAR-0060</t>
  </si>
  <si>
    <t>CAS con formato no estándar: «105428»</t>
  </si>
  <si>
    <t>Amoniaco en solución 25% (Hidróxido de amonio)</t>
  </si>
  <si>
    <t>NH4OH</t>
  </si>
  <si>
    <t>K46354832 510</t>
  </si>
  <si>
    <t>25</t>
  </si>
  <si>
    <t>CO006</t>
  </si>
  <si>
    <t>CAS/código original: 105428</t>
  </si>
  <si>
    <t>Inventario_Reactivos_Carepa.xlsx · Reactivos · fila 61</t>
  </si>
  <si>
    <t>REA-CAR-0061</t>
  </si>
  <si>
    <t>K49011332 715</t>
  </si>
  <si>
    <t>Inventario_Reactivos_Carepa.xlsx · Reactivos · fila 62</t>
  </si>
  <si>
    <t>REA-CAR-0062</t>
  </si>
  <si>
    <t>Anhidrido Acetico</t>
  </si>
  <si>
    <t>(CH3CO)2O</t>
  </si>
  <si>
    <t>008-00-9</t>
  </si>
  <si>
    <t>K45975942 505</t>
  </si>
  <si>
    <t>98.5</t>
  </si>
  <si>
    <t>Inventario_Reactivos_Carepa.xlsx · Reactivos · fila 63</t>
  </si>
  <si>
    <t>REA-CAR-0063</t>
  </si>
  <si>
    <t>Anilina</t>
  </si>
  <si>
    <t>C6H5NH2</t>
  </si>
  <si>
    <t>62-53-3</t>
  </si>
  <si>
    <t>K53216261 201</t>
  </si>
  <si>
    <t>Inventario_Reactivos_Carepa.xlsx · Reactivos · fila 64</t>
  </si>
  <si>
    <t>REA-CAR-0064</t>
  </si>
  <si>
    <t>Azul de lactofenol</t>
  </si>
  <si>
    <t>C₆H₅OH</t>
  </si>
  <si>
    <t>HX57257941</t>
  </si>
  <si>
    <t>Inventario_Reactivos_Carepa.xlsx · Reactivos · fila 65 · unidad original «ml»</t>
  </si>
  <si>
    <t>REA-CAR-0065</t>
  </si>
  <si>
    <t>Solución de azul de Metileno</t>
  </si>
  <si>
    <t>C₁₆H₁₈CIN3S</t>
  </si>
  <si>
    <t>61-73-4</t>
  </si>
  <si>
    <t>HX71941887</t>
  </si>
  <si>
    <t>SR025</t>
  </si>
  <si>
    <t>Inventario_Reactivos_Carepa.xlsx · Reactivos · fila 66</t>
  </si>
  <si>
    <t>REA-CAR-0066</t>
  </si>
  <si>
    <t>Azul Giemsa</t>
  </si>
  <si>
    <t>Inventario_Reactivos_Carepa.xlsx · Reactivos · fila 67</t>
  </si>
  <si>
    <t>REA-CAR-0067</t>
  </si>
  <si>
    <t>Azul de timol</t>
  </si>
  <si>
    <t>C27H30O5S</t>
  </si>
  <si>
    <t>76-61-9</t>
  </si>
  <si>
    <t>014146376 515</t>
  </si>
  <si>
    <t>Inventario_Reactivos_Carepa.xlsx · Reactivos · fila 68</t>
  </si>
  <si>
    <t>REA-CAR-0068</t>
  </si>
  <si>
    <t>Benzaldeído</t>
  </si>
  <si>
    <t>012-00-5</t>
  </si>
  <si>
    <t>S7003956 520</t>
  </si>
  <si>
    <t>Inventario_Reactivos_Carepa.xlsx · Reactivos · fila 69</t>
  </si>
  <si>
    <t>REA-CAR-0069</t>
  </si>
  <si>
    <t>Caldo BRILA</t>
  </si>
  <si>
    <t>VM647753444</t>
  </si>
  <si>
    <t>Inventario_Reactivos_Carepa.xlsx · Reactivos · fila 70</t>
  </si>
  <si>
    <t>REA-CAR-0070</t>
  </si>
  <si>
    <t>VM804954 738</t>
  </si>
  <si>
    <t>Inventario_Reactivos_Carepa.xlsx · Reactivos · fila 71</t>
  </si>
  <si>
    <t>REA-CAR-0071</t>
  </si>
  <si>
    <t>Caldo Extrato de Malta</t>
  </si>
  <si>
    <t>8002-48-0</t>
  </si>
  <si>
    <t>VM816697 746</t>
  </si>
  <si>
    <t>Inventario_Reactivos_Carepa.xlsx · Reactivos · fila 72</t>
  </si>
  <si>
    <t>REA-CAR-0072</t>
  </si>
  <si>
    <t>Caldo MRS</t>
  </si>
  <si>
    <t>VM982461 137</t>
  </si>
  <si>
    <t>Inventario_Reactivos_Carepa.xlsx · Reactivos · fila 73</t>
  </si>
  <si>
    <t>REA-CAR-0073</t>
  </si>
  <si>
    <t>Caldo MR-VP</t>
  </si>
  <si>
    <t>VM820912 811</t>
  </si>
  <si>
    <t>Inventario_Reactivos_Carepa.xlsx · Reactivos · fila 74</t>
  </si>
  <si>
    <t>REA-CAR-0074</t>
  </si>
  <si>
    <t>Caldo Nutritivo</t>
  </si>
  <si>
    <t>VM857743 844</t>
  </si>
  <si>
    <t>Inventario_Reactivos_Carepa.xlsx · Reactivos · fila 75</t>
  </si>
  <si>
    <t>REA-CAR-0075</t>
  </si>
  <si>
    <t>VM987743 133</t>
  </si>
  <si>
    <t>Inventario_Reactivos_Carepa.xlsx · Reactivos · fila 76</t>
  </si>
  <si>
    <t>REA-CAR-0076</t>
  </si>
  <si>
    <t>Carbonato de Calcio</t>
  </si>
  <si>
    <t>CaCO3</t>
  </si>
  <si>
    <t>471-34-1</t>
  </si>
  <si>
    <t>A1195666 728</t>
  </si>
  <si>
    <t>Inventario_Reactivos_Carepa.xlsx · Reactivos · fila 77</t>
  </si>
  <si>
    <t>REA-CAR-0077</t>
  </si>
  <si>
    <t>Carbonato de Sodio</t>
  </si>
  <si>
    <t>Na2CO3</t>
  </si>
  <si>
    <t>497-19-8</t>
  </si>
  <si>
    <t>A1137592 720</t>
  </si>
  <si>
    <t>Inventario_Reactivos_Carepa.xlsx · Reactivos · fila 78</t>
  </si>
  <si>
    <t>REA-CAR-0078</t>
  </si>
  <si>
    <t>Ciclohexano</t>
  </si>
  <si>
    <t>C6H12</t>
  </si>
  <si>
    <t>TO009</t>
  </si>
  <si>
    <t>Inventario_Reactivos_Carepa.xlsx · Reactivos · fila 79</t>
  </si>
  <si>
    <t>REA-CAR-0079</t>
  </si>
  <si>
    <t>Ciclohexanol</t>
  </si>
  <si>
    <t>C6H12O</t>
  </si>
  <si>
    <t>108-93-0</t>
  </si>
  <si>
    <t>S253528 421</t>
  </si>
  <si>
    <t>Inventario_Reactivos_Carepa.xlsx · Reactivos · fila 80</t>
  </si>
  <si>
    <t>REA-CAR-0080</t>
  </si>
  <si>
    <t>Ciclohexeno</t>
  </si>
  <si>
    <t>C6H10</t>
  </si>
  <si>
    <t>110-83-8</t>
  </si>
  <si>
    <t>S5777824 727</t>
  </si>
  <si>
    <t>Inventario_Reactivos_Carepa.xlsx · Reactivos · fila 81</t>
  </si>
  <si>
    <t>REA-CAR-0081</t>
  </si>
  <si>
    <t>S5680624 447</t>
  </si>
  <si>
    <t>Inventario_Reactivos_Carepa.xlsx · Reactivos · fila 82</t>
  </si>
  <si>
    <t>REA-CAR-0082</t>
  </si>
  <si>
    <t>S0845324 316</t>
  </si>
  <si>
    <t>Inventario_Reactivos_Carepa.xlsx · Reactivos · fila 83</t>
  </si>
  <si>
    <t>REA-CAR-0083</t>
  </si>
  <si>
    <t>Cantidad actual vacía o no numérica («-»)</t>
  </si>
  <si>
    <t>cinta de magnesio</t>
  </si>
  <si>
    <t>Mg</t>
  </si>
  <si>
    <t>K43329512 511</t>
  </si>
  <si>
    <t>Inventario_Reactivos_Carepa.xlsx · Reactivos · fila 84</t>
  </si>
  <si>
    <t>REA-CAR-0084</t>
  </si>
  <si>
    <t>Cloroformo</t>
  </si>
  <si>
    <t>CHCl3</t>
  </si>
  <si>
    <t>67-66-3</t>
  </si>
  <si>
    <t>Inventario_Reactivos_Carepa.xlsx · Reactivos · fila 85 · unidad original «ml»</t>
  </si>
  <si>
    <t>REA-CAR-0085</t>
  </si>
  <si>
    <t>Cloruro de calcio dihidratado</t>
  </si>
  <si>
    <t>CaCl2∙2H2O</t>
  </si>
  <si>
    <t>10035-04-8</t>
  </si>
  <si>
    <t>6G141206L</t>
  </si>
  <si>
    <t>SR036</t>
  </si>
  <si>
    <t>Inventario_Reactivos_Carepa.xlsx · Reactivos · fila 86</t>
  </si>
  <si>
    <t>REA-CAR-0086</t>
  </si>
  <si>
    <t>Cloruro de Cobalto</t>
  </si>
  <si>
    <t>ClCo2*6H2O</t>
  </si>
  <si>
    <t>7791-13-1</t>
  </si>
  <si>
    <t>Inventario_Reactivos_Carepa.xlsx · Reactivos · fila 87</t>
  </si>
  <si>
    <t>REA-CAR-0087</t>
  </si>
  <si>
    <t>cloruro de cobalto (ll) anhidro</t>
  </si>
  <si>
    <t>7646-79-9</t>
  </si>
  <si>
    <t>S6844440 732</t>
  </si>
  <si>
    <t>97</t>
  </si>
  <si>
    <t>Inventario_Reactivos_Carepa.xlsx · Reactivos · fila 88</t>
  </si>
  <si>
    <t>REA-CAR-0088</t>
  </si>
  <si>
    <t>Cloruro de cobre dihidrato</t>
  </si>
  <si>
    <t>CuCl₂ * 2 H₂O</t>
  </si>
  <si>
    <t>10125-13-0</t>
  </si>
  <si>
    <t>6L203106M</t>
  </si>
  <si>
    <t>SR022</t>
  </si>
  <si>
    <t>Inventario_Reactivos_Carepa.xlsx · Reactivos · fila 89</t>
  </si>
  <si>
    <t>REA-CAR-0089</t>
  </si>
  <si>
    <t>CAS con formato no estándar: «5470-11-01 00:00:00»</t>
  </si>
  <si>
    <t>Clorhidrato de hidroxilamonio</t>
  </si>
  <si>
    <t>NH2OH * HCl</t>
  </si>
  <si>
    <t>S7359834 712</t>
  </si>
  <si>
    <t>CAS/código original: 5470-11-01 00:00:00</t>
  </si>
  <si>
    <t>Inventario_Reactivos_Carepa.xlsx · Reactivos · fila 90</t>
  </si>
  <si>
    <t>REA-CAR-0090</t>
  </si>
  <si>
    <t>Cloruro de Hierro(III) Hexahidratado</t>
  </si>
  <si>
    <t>FeCl3 * 6H2O</t>
  </si>
  <si>
    <t>10025-77-1</t>
  </si>
  <si>
    <t>5V012684</t>
  </si>
  <si>
    <t>Inventario_Reactivos_Carepa.xlsx · Reactivos · fila 91</t>
  </si>
  <si>
    <t>REA-CAR-0091</t>
  </si>
  <si>
    <t>Cloruro de magnesio Heptahidratado</t>
  </si>
  <si>
    <t>MgCl2 * 6H2O</t>
  </si>
  <si>
    <t>7791-18-6</t>
  </si>
  <si>
    <t>6H033106M</t>
  </si>
  <si>
    <t>Inventario_Reactivos_Carepa.xlsx · Reactivos · fila 92</t>
  </si>
  <si>
    <t>REA-CAR-0092</t>
  </si>
  <si>
    <t>Cloruro de manganeso</t>
  </si>
  <si>
    <t>MnCl2 * 4H2O</t>
  </si>
  <si>
    <t>13446-34-9</t>
  </si>
  <si>
    <t>460156</t>
  </si>
  <si>
    <t>Inventario_Reactivos_Carepa.xlsx · Reactivos · fila 93</t>
  </si>
  <si>
    <t>REA-CAR-0093</t>
  </si>
  <si>
    <t>Cloruro de potasio</t>
  </si>
  <si>
    <t>KCl</t>
  </si>
  <si>
    <t>7447-40-7</t>
  </si>
  <si>
    <t>K51228936 923</t>
  </si>
  <si>
    <t>Inventario_Reactivos_Carepa.xlsx · Reactivos · fila 94</t>
  </si>
  <si>
    <t>REA-CAR-0094</t>
  </si>
  <si>
    <t>K54733336 317</t>
  </si>
  <si>
    <t>Inventario_Reactivos_Carepa.xlsx · Reactivos · fila 95</t>
  </si>
  <si>
    <t>REA-CAR-0095</t>
  </si>
  <si>
    <t>Cloruro de sodio</t>
  </si>
  <si>
    <t>NaCl</t>
  </si>
  <si>
    <t>7647-14-5</t>
  </si>
  <si>
    <t>K40001004 817</t>
  </si>
  <si>
    <t>SR038</t>
  </si>
  <si>
    <t>Inventario_Reactivos_Carepa.xlsx · Reactivos · fila 96</t>
  </si>
  <si>
    <t>REA-CAR-0096</t>
  </si>
  <si>
    <t>K52190904 041</t>
  </si>
  <si>
    <t>Inventario_Reactivos_Carepa.xlsx · Reactivos · fila 97</t>
  </si>
  <si>
    <t>REA-CAR-0097</t>
  </si>
  <si>
    <t>Cristal violeta</t>
  </si>
  <si>
    <t>C₂₅H₃₀ClN₃</t>
  </si>
  <si>
    <t>548-62-9</t>
  </si>
  <si>
    <t>FN1416840 905</t>
  </si>
  <si>
    <t>SR015</t>
  </si>
  <si>
    <t>Inventario_Reactivos_Carepa.xlsx · Reactivos · fila 98</t>
  </si>
  <si>
    <t>REA-CAR-0098</t>
  </si>
  <si>
    <t>Solución de cristal Violeta</t>
  </si>
  <si>
    <t>HX87219818</t>
  </si>
  <si>
    <t>Inventario_Reactivos_Carepa.xlsx · Reactivos · fila 99</t>
  </si>
  <si>
    <t>REA-CAR-0099</t>
  </si>
  <si>
    <t>D- Glucosa</t>
  </si>
  <si>
    <t>C6H12O6</t>
  </si>
  <si>
    <t>50-99-7</t>
  </si>
  <si>
    <t>K52585537 103</t>
  </si>
  <si>
    <t>SR046</t>
  </si>
  <si>
    <t>Inventario_Reactivos_Carepa.xlsx · Reactivos · fila 100</t>
  </si>
  <si>
    <t>REA-CAR-0100</t>
  </si>
  <si>
    <t>Diclorometano</t>
  </si>
  <si>
    <t>CH2Cl2</t>
  </si>
  <si>
    <t>75-09-2</t>
  </si>
  <si>
    <t>Sigma-Aldrich</t>
  </si>
  <si>
    <t>IF001</t>
  </si>
  <si>
    <t>Inventario_Reactivos_Carepa.xlsx · Reactivos · fila 101 · unidad original «ml»</t>
  </si>
  <si>
    <t>REA-CAR-0101</t>
  </si>
  <si>
    <t>K53445850 124</t>
  </si>
  <si>
    <t>Inventario_Reactivos_Carepa.xlsx · Reactivos · fila 102 · unidad original «ml»</t>
  </si>
  <si>
    <t>REA-CAR-0102</t>
  </si>
  <si>
    <t>Dicromato de potasio</t>
  </si>
  <si>
    <t>K₂Cr₂O₇</t>
  </si>
  <si>
    <t>7778-50-9</t>
  </si>
  <si>
    <t>550511057</t>
  </si>
  <si>
    <t>RA Chemicals</t>
  </si>
  <si>
    <t>IN003</t>
  </si>
  <si>
    <t>Inventario_Reactivos_Carepa.xlsx · Reactivos · fila 103</t>
  </si>
  <si>
    <t>REA-CAR-0103</t>
  </si>
  <si>
    <t>Sodio di-hidrogenofosfato monohidratado</t>
  </si>
  <si>
    <t>NaH2PO4</t>
  </si>
  <si>
    <t>10049-21-5</t>
  </si>
  <si>
    <t>AM1007346634</t>
  </si>
  <si>
    <t>Inventario_Reactivos_Carepa.xlsx · Reactivos · fila 104</t>
  </si>
  <si>
    <t>REA-CAR-0104</t>
  </si>
  <si>
    <t>di-Sodio Hidrógeno Fosfato anhidro</t>
  </si>
  <si>
    <t>Na2HPO4</t>
  </si>
  <si>
    <t>7585-79-4</t>
  </si>
  <si>
    <t>951057</t>
  </si>
  <si>
    <t>Inventario_Reactivos_Carepa.xlsx · Reactivos · fila 105</t>
  </si>
  <si>
    <t>REA-CAR-0105</t>
  </si>
  <si>
    <t>Dodecilsulfato sódico (SDS)</t>
  </si>
  <si>
    <t>C12H25NaO4S</t>
  </si>
  <si>
    <t>151-21-3</t>
  </si>
  <si>
    <t>1370C131</t>
  </si>
  <si>
    <t>Pro Pure</t>
  </si>
  <si>
    <t>Inventario_Reactivos_Carepa.xlsx · Reactivos · fila 106</t>
  </si>
  <si>
    <t>REA-CAR-0106</t>
  </si>
  <si>
    <t>EDTA (Disodio)</t>
  </si>
  <si>
    <t>C10H14N2Na2O8 2H2O</t>
  </si>
  <si>
    <t>6381-92-6</t>
  </si>
  <si>
    <t>4B013470</t>
  </si>
  <si>
    <t>Inventario_Reactivos_Carepa.xlsx · Reactivos · fila 107</t>
  </si>
  <si>
    <t>REA-CAR-0107</t>
  </si>
  <si>
    <t>EDTA (Disodico)</t>
  </si>
  <si>
    <t>K36801918 708</t>
  </si>
  <si>
    <t>Inventario_Reactivos_Carepa.xlsx · Reactivos · fila 108</t>
  </si>
  <si>
    <t>REA-CAR-0108</t>
  </si>
  <si>
    <t>Etanol</t>
  </si>
  <si>
    <t>C2H5OH</t>
  </si>
  <si>
    <t>I1239083 236</t>
  </si>
  <si>
    <t>Inventario_Reactivos_Carepa.xlsx · Reactivos · fila 109</t>
  </si>
  <si>
    <t>REA-CAR-0109</t>
  </si>
  <si>
    <t>Éter Dietílico</t>
  </si>
  <si>
    <t>(C2H5)2O</t>
  </si>
  <si>
    <t>60-29-7</t>
  </si>
  <si>
    <t>K54378821 224</t>
  </si>
  <si>
    <t>TO005</t>
  </si>
  <si>
    <t>Inventario_Reactivos_Carepa.xlsx · Reactivos · fila 110</t>
  </si>
  <si>
    <t>REA-CAR-0110</t>
  </si>
  <si>
    <t>K46614121 518</t>
  </si>
  <si>
    <t>Inventario_Reactivos_Carepa.xlsx · Reactivos · fila 111</t>
  </si>
  <si>
    <t>REA-CAR-0111</t>
  </si>
  <si>
    <t>Fenol</t>
  </si>
  <si>
    <t>108-95-2</t>
  </si>
  <si>
    <t>A1125006</t>
  </si>
  <si>
    <t>IN023</t>
  </si>
  <si>
    <t>Inventario_Reactivos_Carepa.xlsx · Reactivos · fila 112</t>
  </si>
  <si>
    <t>REA-CAR-0112</t>
  </si>
  <si>
    <t>Solucion Fenolfataleína en etanol 1%</t>
  </si>
  <si>
    <t>C₂₀H₁₄O₄</t>
  </si>
  <si>
    <t>77-09-8</t>
  </si>
  <si>
    <t>HX72889927</t>
  </si>
  <si>
    <t>1</t>
  </si>
  <si>
    <t>Inventario_Reactivos_Carepa.xlsx · Reactivos · fila 113</t>
  </si>
  <si>
    <t>REA-CAR-0113</t>
  </si>
  <si>
    <t>CAS con formato no estándar: «7758-11-04 00:00:00»</t>
  </si>
  <si>
    <t>Fosfato Monopotásico</t>
  </si>
  <si>
    <t>K2HPO4</t>
  </si>
  <si>
    <t>7090 B43D05</t>
  </si>
  <si>
    <t>Mallickrodt</t>
  </si>
  <si>
    <t>CAS/código original: 7758-11-04 00:00:00</t>
  </si>
  <si>
    <t>Inventario_Reactivos_Carepa.xlsx · Reactivos · fila 114</t>
  </si>
  <si>
    <t>REA-CAR-0114</t>
  </si>
  <si>
    <t>D(-)-Fructosa</t>
  </si>
  <si>
    <t>C5H12O5</t>
  </si>
  <si>
    <t>57-48-7</t>
  </si>
  <si>
    <t>K50755007 902</t>
  </si>
  <si>
    <t>Inventario_Reactivos_Carepa.xlsx · Reactivos · fila 115</t>
  </si>
  <si>
    <t>REA-CAR-0115</t>
  </si>
  <si>
    <t>Glicerol 99,5% (Glicerina)</t>
  </si>
  <si>
    <t>CH2OHCHOHCH2OH</t>
  </si>
  <si>
    <t>56-81-5</t>
  </si>
  <si>
    <t>17659</t>
  </si>
  <si>
    <t>Mol labs</t>
  </si>
  <si>
    <t>99.5</t>
  </si>
  <si>
    <t>SR043</t>
  </si>
  <si>
    <t>Inventario_Reactivos_Carepa.xlsx · Reactivos · fila 116</t>
  </si>
  <si>
    <t>REA-CAR-0116</t>
  </si>
  <si>
    <t>OHCH2CHOHCH2OH</t>
  </si>
  <si>
    <t>R5504</t>
  </si>
  <si>
    <t>Inventario_Reactivos_Carepa.xlsx · Reactivos · fila 117</t>
  </si>
  <si>
    <t>REA-CAR-0117</t>
  </si>
  <si>
    <t>Hidroxido de potasio</t>
  </si>
  <si>
    <t>KOH</t>
  </si>
  <si>
    <t>1310-58-3</t>
  </si>
  <si>
    <t>MB2100933 236</t>
  </si>
  <si>
    <t>Inventario_Reactivos_Carepa.xlsx · Reactivos · fila 118</t>
  </si>
  <si>
    <t>REA-CAR-0118</t>
  </si>
  <si>
    <t>Hidróxido de sodio</t>
  </si>
  <si>
    <t>NaOH</t>
  </si>
  <si>
    <t>1310-73-2</t>
  </si>
  <si>
    <t>MB1907598 106</t>
  </si>
  <si>
    <t>Inventario_Reactivos_Carepa.xlsx · Reactivos · fila 119</t>
  </si>
  <si>
    <t>REA-CAR-0119</t>
  </si>
  <si>
    <t>99037</t>
  </si>
  <si>
    <t>SR041</t>
  </si>
  <si>
    <t>Inventario_Reactivos_Carepa.xlsx · Reactivos · fila 120</t>
  </si>
  <si>
    <t>REA-CAR-0120</t>
  </si>
  <si>
    <t>Lugol de gram</t>
  </si>
  <si>
    <t>I2</t>
  </si>
  <si>
    <t>20231207</t>
  </si>
  <si>
    <t>Inventario_Reactivos_Carepa.xlsx · Reactivos · fila 121</t>
  </si>
  <si>
    <t>REA-CAR-0121</t>
  </si>
  <si>
    <t>Cantidad actual mayor que la inicial</t>
  </si>
  <si>
    <t>L-Tirosina</t>
  </si>
  <si>
    <t>C9H11NO3</t>
  </si>
  <si>
    <t>60-18-4</t>
  </si>
  <si>
    <t>K52697071 047</t>
  </si>
  <si>
    <t>Inventario_Reactivos_Carepa.xlsx · Reactivos · fila 122</t>
  </si>
  <si>
    <t>REA-CAR-0122</t>
  </si>
  <si>
    <t>L-Tryptophan 99%</t>
  </si>
  <si>
    <t>C11H12N2O2</t>
  </si>
  <si>
    <t>73-22-3</t>
  </si>
  <si>
    <t>Z11A035</t>
  </si>
  <si>
    <t>Alfa Aesar</t>
  </si>
  <si>
    <t>Inventario_Reactivos_Carepa.xlsx · Reactivos · fila 123</t>
  </si>
  <si>
    <t>REA-CAR-0123</t>
  </si>
  <si>
    <t>T5804</t>
  </si>
  <si>
    <t>Inventario_Reactivos_Carepa.xlsx · Reactivos · fila 124 · unidad original «ml»</t>
  </si>
  <si>
    <t>REA-CAR-0124</t>
  </si>
  <si>
    <t>I2: 3,4g/l Kl: 6,8g/l</t>
  </si>
  <si>
    <t>HX87484161</t>
  </si>
  <si>
    <t>Inventario_Reactivos_Carepa.xlsx · Reactivos · fila 125 · unidad original «ml»</t>
  </si>
  <si>
    <t>REA-CAR-0125</t>
  </si>
  <si>
    <t>Metanol</t>
  </si>
  <si>
    <t>CH3OH</t>
  </si>
  <si>
    <t>67-56-1</t>
  </si>
  <si>
    <t>I1230409 229</t>
  </si>
  <si>
    <t>Inventario_Reactivos_Carepa.xlsx · Reactivos · fila 126</t>
  </si>
  <si>
    <t>REA-CAR-0126</t>
  </si>
  <si>
    <t>I865309 701</t>
  </si>
  <si>
    <t>Inventario_Reactivos_Carepa.xlsx · Reactivos · fila 127</t>
  </si>
  <si>
    <t>REA-CAR-0127</t>
  </si>
  <si>
    <t>I0995509 909</t>
  </si>
  <si>
    <t>Inventario_Reactivos_Carepa.xlsx · Reactivos · fila 128</t>
  </si>
  <si>
    <t>REA-CAR-0128</t>
  </si>
  <si>
    <t>I12422009 237</t>
  </si>
  <si>
    <t>Inventario_Reactivos_Carepa.xlsx · Reactivos · fila 129</t>
  </si>
  <si>
    <t>REA-CAR-0129</t>
  </si>
  <si>
    <t>Molibdato de sodio</t>
  </si>
  <si>
    <t>Na2MoO4 * 2H2O</t>
  </si>
  <si>
    <t>A780521 708</t>
  </si>
  <si>
    <t>Inventario_Reactivos_Carepa.xlsx · Reactivos · fila 130</t>
  </si>
  <si>
    <t>REA-CAR-0130</t>
  </si>
  <si>
    <t>Solucion de naranja de metilo 1%</t>
  </si>
  <si>
    <t>HC29204923</t>
  </si>
  <si>
    <t>Inventario_Reactivos_Carepa.xlsx · Reactivos · fila 131</t>
  </si>
  <si>
    <t>REA-CAR-0131</t>
  </si>
  <si>
    <t>Naranja de metilo</t>
  </si>
  <si>
    <t>C14H14N3NaO3S</t>
  </si>
  <si>
    <t>547-58-0</t>
  </si>
  <si>
    <t>L013046822 420</t>
  </si>
  <si>
    <t>IF007</t>
  </si>
  <si>
    <t>Inventario_Reactivos_Carepa.xlsx · Reactivos · fila 132</t>
  </si>
  <si>
    <t>REA-CAR-0132</t>
  </si>
  <si>
    <t>Hexano</t>
  </si>
  <si>
    <t>C6H14</t>
  </si>
  <si>
    <t>110-54-3</t>
  </si>
  <si>
    <t>CO8W62</t>
  </si>
  <si>
    <t>Inventario_Reactivos_Carepa.xlsx · Reactivos · fila 133</t>
  </si>
  <si>
    <t>REA-CAR-0133</t>
  </si>
  <si>
    <t>Ninhidrina</t>
  </si>
  <si>
    <t>C9H6O4</t>
  </si>
  <si>
    <t>85-47-2</t>
  </si>
  <si>
    <t>K456558762 505</t>
  </si>
  <si>
    <t>Inventario_Reactivos_Carepa.xlsx · Reactivos · fila 134</t>
  </si>
  <si>
    <t>REA-CAR-0134</t>
  </si>
  <si>
    <t>Nigrosina</t>
  </si>
  <si>
    <t>101357-32-8</t>
  </si>
  <si>
    <t>FN1419924 908</t>
  </si>
  <si>
    <t>Inventario_Reactivos_Carepa.xlsx · Reactivos · fila 135</t>
  </si>
  <si>
    <t>REA-CAR-0135</t>
  </si>
  <si>
    <t>Nitrato de amonio</t>
  </si>
  <si>
    <t>NH₄NO₃</t>
  </si>
  <si>
    <t>6484-52-2</t>
  </si>
  <si>
    <t>27151069 008</t>
  </si>
  <si>
    <t>ABC Reactivos</t>
  </si>
  <si>
    <t>PE002</t>
  </si>
  <si>
    <t>Inventario_Reactivos_Carepa.xlsx · Reactivos · fila 136</t>
  </si>
  <si>
    <t>REA-CAR-0136</t>
  </si>
  <si>
    <t>Nitrato de Cobre (ii) Trihidrato</t>
  </si>
  <si>
    <t>Cu(NO3)2 * 3H2O</t>
  </si>
  <si>
    <t>10031-43-3</t>
  </si>
  <si>
    <t>K50268853 836</t>
  </si>
  <si>
    <t>Inventario_Reactivos_Carepa.xlsx · Reactivos · fila 137</t>
  </si>
  <si>
    <t>REA-CAR-0137</t>
  </si>
  <si>
    <t>K49055353 720</t>
  </si>
  <si>
    <t>Inventario_Reactivos_Carepa.xlsx · Reactivos · fila 138</t>
  </si>
  <si>
    <t>REA-CAR-0138</t>
  </si>
  <si>
    <t>CAS con formato no estándar: «7789-02-08 00:00:00»</t>
  </si>
  <si>
    <t>Nitrato de cromo (III) nonahidratado</t>
  </si>
  <si>
    <t>Cr(NO3)3*9H2O</t>
  </si>
  <si>
    <t>K48542081 728</t>
  </si>
  <si>
    <t>IN006</t>
  </si>
  <si>
    <t>CAS/código original: 7789-02-08 00:00:00</t>
  </si>
  <si>
    <t>Inventario_Reactivos_Carepa.xlsx · Reactivos · fila 139</t>
  </si>
  <si>
    <t>REA-CAR-0139</t>
  </si>
  <si>
    <t>Nitrato de plata</t>
  </si>
  <si>
    <t>AgNO3</t>
  </si>
  <si>
    <t>7761-88-8</t>
  </si>
  <si>
    <t>K46540512 519</t>
  </si>
  <si>
    <t>IN011</t>
  </si>
  <si>
    <t>Inventario_Reactivos_Carepa.xlsx · Reactivos · fila 140</t>
  </si>
  <si>
    <t>REA-CAR-0140</t>
  </si>
  <si>
    <t>Nitrato de plomo</t>
  </si>
  <si>
    <t>Pb(NO₃)₂</t>
  </si>
  <si>
    <t>10099-74-8</t>
  </si>
  <si>
    <t>K48839098 724</t>
  </si>
  <si>
    <t>Inventario_Reactivos_Carepa.xlsx · Reactivos · fila 141</t>
  </si>
  <si>
    <t>REA-CAR-0141</t>
  </si>
  <si>
    <t>Nitrato de Sodio</t>
  </si>
  <si>
    <t>NaNO3</t>
  </si>
  <si>
    <t>41511011123</t>
  </si>
  <si>
    <t>Inventario_Reactivos_Carepa.xlsx · Reactivos · fila 142</t>
  </si>
  <si>
    <t>REA-CAR-0142</t>
  </si>
  <si>
    <t>Nitrito de Sodio</t>
  </si>
  <si>
    <t>NaNO2</t>
  </si>
  <si>
    <t>7632-00-0</t>
  </si>
  <si>
    <t>A0723349 716</t>
  </si>
  <si>
    <t>Inventario_Reactivos_Carepa.xlsx · Reactivos · fila 143</t>
  </si>
  <si>
    <t>REA-CAR-0143</t>
  </si>
  <si>
    <t>Nitrato de potasio</t>
  </si>
  <si>
    <t>KNO3</t>
  </si>
  <si>
    <t>7757-79-1</t>
  </si>
  <si>
    <t>A0735463 712</t>
  </si>
  <si>
    <t>Inventario_Reactivos_Carepa.xlsx · Reactivos · fila 144</t>
  </si>
  <si>
    <t>REA-CAR-0144</t>
  </si>
  <si>
    <t>A121463 922</t>
  </si>
  <si>
    <t>Inventario_Reactivos_Carepa.xlsx · Reactivos · fila 145</t>
  </si>
  <si>
    <t>REA-CAR-0145</t>
  </si>
  <si>
    <t>Nitrato de Zinc Tetrahidrato</t>
  </si>
  <si>
    <t>Zn(NO3)2 * 4H2O</t>
  </si>
  <si>
    <t>19154-63-3</t>
  </si>
  <si>
    <t>A0609033 610</t>
  </si>
  <si>
    <t>IN001</t>
  </si>
  <si>
    <t>Inventario_Reactivos_Carepa.xlsx · Reactivos · fila 146</t>
  </si>
  <si>
    <t>REA-CAR-0146</t>
  </si>
  <si>
    <t>Orceína</t>
  </si>
  <si>
    <t>C₂₈H₂₄N₂O₇</t>
  </si>
  <si>
    <t>1400-62-0</t>
  </si>
  <si>
    <t>1300555</t>
  </si>
  <si>
    <t>SR035</t>
  </si>
  <si>
    <t>Inventario_Reactivos_Carepa.xlsx · Reactivos · fila 147</t>
  </si>
  <si>
    <t>REA-CAR-0147</t>
  </si>
  <si>
    <t>Óxido de Zinc</t>
  </si>
  <si>
    <t>ZNO</t>
  </si>
  <si>
    <t>1314-13-2</t>
  </si>
  <si>
    <t>K45767049 624</t>
  </si>
  <si>
    <t>SR029</t>
  </si>
  <si>
    <t>Inventario_Reactivos_Carepa.xlsx · Reactivos · fila 148</t>
  </si>
  <si>
    <t>REA-CAR-0148</t>
  </si>
  <si>
    <t>Oxido de sodio</t>
  </si>
  <si>
    <t>Na2O</t>
  </si>
  <si>
    <t>131-59-3</t>
  </si>
  <si>
    <t>E28W049</t>
  </si>
  <si>
    <t>Inventario_Reactivos_Carepa.xlsx · Reactivos · fila 149</t>
  </si>
  <si>
    <t>REA-CAR-0149</t>
  </si>
  <si>
    <t>Permanganato de potasio</t>
  </si>
  <si>
    <t>KMnO4</t>
  </si>
  <si>
    <t>7722-64-7</t>
  </si>
  <si>
    <t>K48061282 636</t>
  </si>
  <si>
    <t>Inventario_Reactivos_Carepa.xlsx · Reactivos · fila 150</t>
  </si>
  <si>
    <t>REA-CAR-0150</t>
  </si>
  <si>
    <t>95434501</t>
  </si>
  <si>
    <t>Inventario_Reactivos_Carepa.xlsx · Reactivos · fila 151</t>
  </si>
  <si>
    <t>REA-CAR-0151</t>
  </si>
  <si>
    <t>Peróxido de hidrógeno 30%</t>
  </si>
  <si>
    <t>H2O2</t>
  </si>
  <si>
    <t>7722-84-1</t>
  </si>
  <si>
    <t>K55266610 321</t>
  </si>
  <si>
    <t>30</t>
  </si>
  <si>
    <t>Inventario_Reactivos_Carepa.xlsx · Reactivos · fila 152</t>
  </si>
  <si>
    <t>REA-CAR-0152</t>
  </si>
  <si>
    <t>Potasio dihidrogenofosfato</t>
  </si>
  <si>
    <t>KH₂PO₄</t>
  </si>
  <si>
    <t>7778-77-0</t>
  </si>
  <si>
    <t>AM0973473 644</t>
  </si>
  <si>
    <t>SR002</t>
  </si>
  <si>
    <t>Inventario_Reactivos_Carepa.xlsx · Reactivos · fila 153</t>
  </si>
  <si>
    <t>REA-CAR-0153</t>
  </si>
  <si>
    <t>Potasio hidrogenofosfato</t>
  </si>
  <si>
    <t>C8H5KO4</t>
  </si>
  <si>
    <t>877-24-7</t>
  </si>
  <si>
    <t>A0959474 711</t>
  </si>
  <si>
    <t>Inventario_Reactivos_Carepa.xlsx · Reactivos · fila 154</t>
  </si>
  <si>
    <t>REA-CAR-0154</t>
  </si>
  <si>
    <t>A0935774 549</t>
  </si>
  <si>
    <t>Inventario_Reactivos_Carepa.xlsx · Reactivos · fila 155</t>
  </si>
  <si>
    <t>REA-CAR-0155</t>
  </si>
  <si>
    <t>C8H5KO5</t>
  </si>
  <si>
    <t>A0959474 71I</t>
  </si>
  <si>
    <t>Inventario_Reactivos_Carepa.xlsx · Reactivos · fila 156</t>
  </si>
  <si>
    <t>REA-CAR-0156</t>
  </si>
  <si>
    <t>Potasio y sodio tartrato tetrahidrato</t>
  </si>
  <si>
    <t>C₄H₄KNaO₆ * 4 H₂O</t>
  </si>
  <si>
    <t>6381-59-5</t>
  </si>
  <si>
    <t>A0983187 617</t>
  </si>
  <si>
    <t>SR004</t>
  </si>
  <si>
    <t>Inventario_Reactivos_Carepa.xlsx · Reactivos · fila 157</t>
  </si>
  <si>
    <t>REA-CAR-0157</t>
  </si>
  <si>
    <t>Rojo Congo</t>
  </si>
  <si>
    <t>027-00-8</t>
  </si>
  <si>
    <t>L57152440 602</t>
  </si>
  <si>
    <t>Inventario_Reactivos_Carepa.xlsx · Reactivos · fila 158</t>
  </si>
  <si>
    <t>REA-CAR-0158</t>
  </si>
  <si>
    <t>Sacarosa</t>
  </si>
  <si>
    <t>C12H22O11</t>
  </si>
  <si>
    <t>57-50-1</t>
  </si>
  <si>
    <t>K47396351 613</t>
  </si>
  <si>
    <t>SR045</t>
  </si>
  <si>
    <t>Inventario_Reactivos_Carepa.xlsx · Reactivos · fila 159</t>
  </si>
  <si>
    <t>REA-CAR-0159</t>
  </si>
  <si>
    <t>Safranina</t>
  </si>
  <si>
    <t>C20H19CIN4</t>
  </si>
  <si>
    <t>477-73-6</t>
  </si>
  <si>
    <t>FN1439848 935</t>
  </si>
  <si>
    <t>SR027</t>
  </si>
  <si>
    <t>Inventario_Reactivos_Carepa.xlsx · Reactivos · fila 160</t>
  </si>
  <si>
    <t>REA-CAR-0160</t>
  </si>
  <si>
    <t>Safranina Solución</t>
  </si>
  <si>
    <t>HX72183417</t>
  </si>
  <si>
    <t>Inventario_Reactivos_Carepa.xlsx · Reactivos · fila 161</t>
  </si>
  <si>
    <t>REA-CAR-0161</t>
  </si>
  <si>
    <t>Silica Gel con Indicador</t>
  </si>
  <si>
    <t>K54084769 208</t>
  </si>
  <si>
    <t>Inventario_Reactivos_Carepa.xlsx · Reactivos · fila 162</t>
  </si>
  <si>
    <t>REA-CAR-0162</t>
  </si>
  <si>
    <t>Sodio metálico</t>
  </si>
  <si>
    <t>Na</t>
  </si>
  <si>
    <t>7440-23-5</t>
  </si>
  <si>
    <t>680311064</t>
  </si>
  <si>
    <t>PE005</t>
  </si>
  <si>
    <t>Inventario_Reactivos_Carepa.xlsx · Reactivos · fila 163</t>
  </si>
  <si>
    <t>REA-CAR-0163</t>
  </si>
  <si>
    <t>Sulfanilamida</t>
  </si>
  <si>
    <t>C₆H₈N₂O₂S</t>
  </si>
  <si>
    <t>63-74-1</t>
  </si>
  <si>
    <t>L017098899 735</t>
  </si>
  <si>
    <t>SR019</t>
  </si>
  <si>
    <t>Inventario_Reactivos_Carepa.xlsx · Reactivos · fila 164</t>
  </si>
  <si>
    <t>REA-CAR-0164</t>
  </si>
  <si>
    <t>Sulfato de Amonio</t>
  </si>
  <si>
    <t>(NH4)2SO4</t>
  </si>
  <si>
    <t>7783-20-2</t>
  </si>
  <si>
    <t>AM1036417 645</t>
  </si>
  <si>
    <t>Inventario_Reactivos_Carepa.xlsx · Reactivos · fila 165</t>
  </si>
  <si>
    <t>REA-CAR-0165</t>
  </si>
  <si>
    <t>Sulfato de cobre anhidrido</t>
  </si>
  <si>
    <t>CuSO4</t>
  </si>
  <si>
    <t>7758-98-7</t>
  </si>
  <si>
    <t>864444</t>
  </si>
  <si>
    <t>Inventario_Reactivos_Carepa.xlsx · Reactivos · fila 166</t>
  </si>
  <si>
    <t>REA-CAR-0166</t>
  </si>
  <si>
    <t>Sulfato de magnesio heptahidratado</t>
  </si>
  <si>
    <t>MgSO4·7H2O</t>
  </si>
  <si>
    <t>10034-99-8</t>
  </si>
  <si>
    <t>6C043266E</t>
  </si>
  <si>
    <t>SR005</t>
  </si>
  <si>
    <t>Inventario_Reactivos_Carepa.xlsx · Reactivos · fila 167</t>
  </si>
  <si>
    <t>REA-CAR-0167</t>
  </si>
  <si>
    <t>Sulfato de plata</t>
  </si>
  <si>
    <t>Ag₂O₄S</t>
  </si>
  <si>
    <t>10294-26-5</t>
  </si>
  <si>
    <t>K54222609 220</t>
  </si>
  <si>
    <t>SR024</t>
  </si>
  <si>
    <t>Inventario_Reactivos_Carepa.xlsx · Reactivos · fila 168</t>
  </si>
  <si>
    <t>REA-CAR-0168</t>
  </si>
  <si>
    <t>Sulfato de potasio</t>
  </si>
  <si>
    <t>K2SO4</t>
  </si>
  <si>
    <t>7778-80-5</t>
  </si>
  <si>
    <t>AM0970253 633</t>
  </si>
  <si>
    <t>Inventario_Reactivos_Carepa.xlsx · Reactivos · fila 169</t>
  </si>
  <si>
    <t>REA-CAR-0169</t>
  </si>
  <si>
    <t>Sulfato de Sodio</t>
  </si>
  <si>
    <t>Na₂SO4</t>
  </si>
  <si>
    <t>7757-82-6</t>
  </si>
  <si>
    <t>AM1023349 708</t>
  </si>
  <si>
    <t>Inventario_Reactivos_Carepa.xlsx · Reactivos · fila 170</t>
  </si>
  <si>
    <t>REA-CAR-0170</t>
  </si>
  <si>
    <t>Sulfito de Sodio</t>
  </si>
  <si>
    <t>Na₂SO3</t>
  </si>
  <si>
    <t>7757-83-7</t>
  </si>
  <si>
    <t>K49156557 726</t>
  </si>
  <si>
    <t>97-100</t>
  </si>
  <si>
    <t>Inventario_Reactivos_Carepa.xlsx · Reactivos · fila 171</t>
  </si>
  <si>
    <t>REA-CAR-0171</t>
  </si>
  <si>
    <t>Tartrato de sodio</t>
  </si>
  <si>
    <t>(CHOHCOONa)2 * 2H2O</t>
  </si>
  <si>
    <t>483636</t>
  </si>
  <si>
    <t>Inventario_Reactivos_Carepa.xlsx · Reactivos · fila 172</t>
  </si>
  <si>
    <t>REA-CAR-0172</t>
  </si>
  <si>
    <t>Tartrato de sodio y potasio</t>
  </si>
  <si>
    <t>C4H4KNAO6 * 4H2O</t>
  </si>
  <si>
    <t>Inventario_Reactivos_Carepa.xlsx · Reactivos · fila 173</t>
  </si>
  <si>
    <t>REA-CAR-0173</t>
  </si>
  <si>
    <t>Tert Butanol</t>
  </si>
  <si>
    <t>(CH3)3COH</t>
  </si>
  <si>
    <t>75-65-0</t>
  </si>
  <si>
    <t>K52702429 146</t>
  </si>
  <si>
    <t>IN004</t>
  </si>
  <si>
    <t>Inventario_Reactivos_Carepa.xlsx · Reactivos · fila 174</t>
  </si>
  <si>
    <t>REA-CAR-0174</t>
  </si>
  <si>
    <t>K51689929 048</t>
  </si>
  <si>
    <t>Inventario_Reactivos_Carepa.xlsx · Reactivos · fila 175</t>
  </si>
  <si>
    <t>REA-CAR-0175</t>
  </si>
  <si>
    <t>Tiocianato de Potasio</t>
  </si>
  <si>
    <t>KSCN</t>
  </si>
  <si>
    <t>333-20-0</t>
  </si>
  <si>
    <t>A0760225 708</t>
  </si>
  <si>
    <t>Inventario_Reactivos_Carepa.xlsx · Reactivos · fila 176</t>
  </si>
  <si>
    <t>REA-CAR-0176</t>
  </si>
  <si>
    <t>Tolueno</t>
  </si>
  <si>
    <t>C6H5CH3</t>
  </si>
  <si>
    <t>108-88-3</t>
  </si>
  <si>
    <t>K48578625 650</t>
  </si>
  <si>
    <t>Inventario_Reactivos_Carepa.xlsx · Reactivos · fila 177 · unidad original «ml»</t>
  </si>
  <si>
    <t>REA-CAR-0177</t>
  </si>
  <si>
    <t>Tris para Biología Molecular</t>
  </si>
  <si>
    <t>C4H11NO3</t>
  </si>
  <si>
    <t>77-86-1</t>
  </si>
  <si>
    <t>5E013343</t>
  </si>
  <si>
    <t>99.9</t>
  </si>
  <si>
    <t>Inventario_Reactivos_Carepa.xlsx · Reactivos · fila 178</t>
  </si>
  <si>
    <t>REA-CAR-0178</t>
  </si>
  <si>
    <t>Urea</t>
  </si>
  <si>
    <t>CO(NH2)2</t>
  </si>
  <si>
    <t>57-13-6</t>
  </si>
  <si>
    <t>K50189387 831</t>
  </si>
  <si>
    <t>Inventario_Reactivos_Carepa.xlsx · Reactivos · fila 179</t>
  </si>
  <si>
    <t>REA-CAR-0179</t>
  </si>
  <si>
    <t>Verde de Bromocresol</t>
  </si>
  <si>
    <t>C21H14O5Br4S</t>
  </si>
  <si>
    <t>76-60-8</t>
  </si>
  <si>
    <t>K47854521 702</t>
  </si>
  <si>
    <t>Inventario_Reactivos_Carepa.xlsx · Reactivos · fila 180</t>
  </si>
  <si>
    <t>REA-CAR-0180</t>
  </si>
  <si>
    <t>Verde de Malaquita</t>
  </si>
  <si>
    <t>C₂₃H₂₆N₂O * HCl</t>
  </si>
  <si>
    <t>2437-29-8</t>
  </si>
  <si>
    <t>Inventario_Reactivos_Carepa.xlsx · Reactivos · fila 181</t>
  </si>
  <si>
    <t>REA-CAR-0181</t>
  </si>
  <si>
    <t>Yodato de potasio</t>
  </si>
  <si>
    <t>KIO₃</t>
  </si>
  <si>
    <t>7758-05-6</t>
  </si>
  <si>
    <t>K54329451 221</t>
  </si>
  <si>
    <t>Inventario_Reactivos_Carepa.xlsx · Reactivos · fila 182</t>
  </si>
  <si>
    <t>REA-CAR-0182</t>
  </si>
  <si>
    <t>Yodo en cristales</t>
  </si>
  <si>
    <t>7553-56-2</t>
  </si>
  <si>
    <t>B2066861 232</t>
  </si>
  <si>
    <t>Inventario_Reactivos_Carepa.xlsx · Reactivos · fila 183</t>
  </si>
  <si>
    <t>REA-CAR-0183</t>
  </si>
  <si>
    <t>Yoduro de potasio</t>
  </si>
  <si>
    <t>Kl</t>
  </si>
  <si>
    <t>7681-11-0</t>
  </si>
  <si>
    <t>B1578543 827</t>
  </si>
  <si>
    <t>IF002</t>
  </si>
  <si>
    <t>Inventario_Reactivos_Carepa.xlsx · Reactivos · fila 184</t>
  </si>
  <si>
    <t>REA-CAR-0184</t>
  </si>
  <si>
    <t>Nitrato de Calcio Tetrahidratado</t>
  </si>
  <si>
    <t>Ca(NO3)2 *4H2O</t>
  </si>
  <si>
    <t>13477-34-4</t>
  </si>
  <si>
    <t>1021426</t>
  </si>
  <si>
    <t>Inventario_Reactivos_Carepa.xlsx · Reactivos · fila 185</t>
  </si>
  <si>
    <t>REA-CAR-0185</t>
  </si>
  <si>
    <t>Reactivo de folin</t>
  </si>
  <si>
    <t>HC69144001</t>
  </si>
  <si>
    <t>Inventario_Reactivos_Carepa.xlsx · Reactivos · fila 186</t>
  </si>
  <si>
    <t>REA-CAR-0186</t>
  </si>
  <si>
    <t>Unidad «Laminas» registrada como unidad</t>
  </si>
  <si>
    <t>TLC Silica gel 60 F</t>
  </si>
  <si>
    <t>HX32035754</t>
  </si>
  <si>
    <t>Inventario_Reactivos_Carepa.xlsx · Reactivos · fila 187 · unidad original «Laminas»</t>
  </si>
  <si>
    <t>REA-CAR-0187</t>
  </si>
  <si>
    <t>Acido lactivo</t>
  </si>
  <si>
    <t>C3H6O3</t>
  </si>
  <si>
    <t>79-33-4</t>
  </si>
  <si>
    <t>535211</t>
  </si>
  <si>
    <t>95</t>
  </si>
  <si>
    <t>Inventario_Reactivos_Carepa.xlsx · Reactivos · fila 188 · unidad original «ml»</t>
  </si>
  <si>
    <t>REA-CAR-0188</t>
  </si>
  <si>
    <t>Agar Hierro 3 azucares</t>
  </si>
  <si>
    <t>VM1016815220</t>
  </si>
  <si>
    <t>ilo</t>
  </si>
  <si>
    <t>Inventario_Reactivos_Carepa.xlsx · Reactivos · fila 189</t>
  </si>
  <si>
    <t>REA-CAR-0189</t>
  </si>
  <si>
    <t>Agar Mueller</t>
  </si>
  <si>
    <t>102602654</t>
  </si>
  <si>
    <t>Inventario_Reactivos_Carepa.xlsx · Reactivos · fila 190</t>
  </si>
  <si>
    <t>REA-CAR-0190</t>
  </si>
  <si>
    <t>Caceina Hidrolizada</t>
  </si>
  <si>
    <t>VM723545546</t>
  </si>
  <si>
    <t>Inventario_Reactivos_Carepa.xlsx · Reactivos · fila 191</t>
  </si>
  <si>
    <t>REA-CAR-0191</t>
  </si>
  <si>
    <t>Agar Baird-parker</t>
  </si>
  <si>
    <t>VM756406644</t>
  </si>
  <si>
    <t>Inventario_Reactivos_Carepa.xlsx · Reactivos · fila 192</t>
  </si>
  <si>
    <t>REA-CAR-0192</t>
  </si>
  <si>
    <t>Peptona</t>
  </si>
  <si>
    <t>VM889143924</t>
  </si>
  <si>
    <t>Inventario_Reactivos_Carepa.xlsx · Reactivos · fila 193</t>
  </si>
  <si>
    <t>REA-CAR-0193</t>
  </si>
  <si>
    <t>Acido Acetil Salicilico</t>
  </si>
  <si>
    <t>C9H8O4</t>
  </si>
  <si>
    <t>50-78-2</t>
  </si>
  <si>
    <t>WXBD4976V</t>
  </si>
  <si>
    <t>Inventario_Reactivos_Carepa.xlsx · Reactivos · fila 194</t>
  </si>
  <si>
    <t>REA-CAR-0194</t>
  </si>
  <si>
    <t>CAS con formato no estándar: «028-011-006»</t>
  </si>
  <si>
    <t>Cloruro de Niquel</t>
  </si>
  <si>
    <t>NiCl2 6H2O</t>
  </si>
  <si>
    <t>K48398217649</t>
  </si>
  <si>
    <t>CAS/código original: 028-011-006</t>
  </si>
  <si>
    <t>Inventario_Reactivos_Carepa.xlsx · Reactivos · fila 195</t>
  </si>
  <si>
    <t>REA-CAR-0195</t>
  </si>
  <si>
    <t>Benceno</t>
  </si>
  <si>
    <t>C6H6</t>
  </si>
  <si>
    <t>020-00-8</t>
  </si>
  <si>
    <t>K80081383426</t>
  </si>
  <si>
    <t>Inventario_Reactivos_Carepa.xlsx · Reactivos · fila 196</t>
  </si>
  <si>
    <t>REA-CAR-0196</t>
  </si>
  <si>
    <t>Sulfato de Hierro</t>
  </si>
  <si>
    <t>FeSO4 7H2O</t>
  </si>
  <si>
    <t>7782-63-0</t>
  </si>
  <si>
    <t>2181597</t>
  </si>
  <si>
    <t>Inventario_Reactivos_Carepa.xlsx · Reactivos · fila 197</t>
  </si>
  <si>
    <t>REA-CAR-0197</t>
  </si>
  <si>
    <t>Yoduro de sodio</t>
  </si>
  <si>
    <t>NaI</t>
  </si>
  <si>
    <t>7681-82-5</t>
  </si>
  <si>
    <t>BO853723237</t>
  </si>
  <si>
    <t>Inventario_Reactivos_Carepa.xlsx · Reactivos · fila 198</t>
  </si>
  <si>
    <t>REA-CAR-0198</t>
  </si>
  <si>
    <t>Sulfato de Zinc</t>
  </si>
  <si>
    <t>ZnSO4 7H2O</t>
  </si>
  <si>
    <t>7446-20-0</t>
  </si>
  <si>
    <t>AM1267383112</t>
  </si>
  <si>
    <t>Inventario_Reactivos_Carepa.xlsx · Reactivos · fila 199</t>
  </si>
  <si>
    <t>REA-CAR-0199</t>
  </si>
  <si>
    <t>Sulfato de Calcio</t>
  </si>
  <si>
    <t>CaSO4 2H2O</t>
  </si>
  <si>
    <t>10101-41-4</t>
  </si>
  <si>
    <t>A0985361733</t>
  </si>
  <si>
    <t>Inventario_Reactivos_Carepa.xlsx · Reactivos · fila 200</t>
  </si>
  <si>
    <t>REA-CAR-0200</t>
  </si>
  <si>
    <t>Cloruro de Zinc</t>
  </si>
  <si>
    <t>ZnCl2</t>
  </si>
  <si>
    <t>7646-85-7</t>
  </si>
  <si>
    <t>B1468916739</t>
  </si>
  <si>
    <t>Inventario_Reactivos_Carepa.xlsx · Reactivos · fila 201</t>
  </si>
  <si>
    <t>REA-CAR-0201</t>
  </si>
  <si>
    <t>Fosfato dipotásico</t>
  </si>
  <si>
    <t>Inventario_Reactivos_Carepa.xlsx · Soluciones o R. Secundarios · fila 2</t>
  </si>
  <si>
    <t>REA-CAR-0202</t>
  </si>
  <si>
    <t>Azul de Metileno</t>
  </si>
  <si>
    <t>Inventario_Reactivos_Carepa.xlsx · Soluciones o R. Secundarios · fila 3</t>
  </si>
  <si>
    <t>REA-CAR-0203</t>
  </si>
  <si>
    <t>Almidon Soluble</t>
  </si>
  <si>
    <t>Inventario_Reactivos_Carepa.xlsx · Soluciones o R. Secundarios · fila 4</t>
  </si>
  <si>
    <t>REA-CAR-0204</t>
  </si>
  <si>
    <t>Lactosa</t>
  </si>
  <si>
    <t>Inventario_Reactivos_Carepa.xlsx · Soluciones o R. Secundarios · fila 5</t>
  </si>
  <si>
    <t>REA-CAR-0205</t>
  </si>
  <si>
    <t>ZnSO₄</t>
  </si>
  <si>
    <t>Inventario_Reactivos_Carepa.xlsx · Soluciones o R. Secundarios · fila 6</t>
  </si>
  <si>
    <t>REA-CAR-0206</t>
  </si>
  <si>
    <t>Resina Pretratada</t>
  </si>
  <si>
    <t>Inventario_Reactivos_Carepa.xlsx · Soluciones o R. Secundarios · fila 7</t>
  </si>
  <si>
    <t>REA-CAR-0207</t>
  </si>
  <si>
    <t>Bicarbonato de Sodio</t>
  </si>
  <si>
    <t>NaHCO₃</t>
  </si>
  <si>
    <t>Inventario_Reactivos_Carepa.xlsx · Soluciones o R. Secundarios · fila 8</t>
  </si>
  <si>
    <t>REA-CAR-0208</t>
  </si>
  <si>
    <t>Gelatina sin sabor</t>
  </si>
  <si>
    <t>Inventario_Reactivos_Carepa.xlsx · Soluciones o R. Secundarios · fila 9</t>
  </si>
  <si>
    <t>REA-CAR-0209</t>
  </si>
  <si>
    <t>Tartrato de Sodio Potasio</t>
  </si>
  <si>
    <t>Inventario_Reactivos_Carepa.xlsx · Soluciones o R. Secundarios · fila 10</t>
  </si>
  <si>
    <t>REA-CAR-0210</t>
  </si>
  <si>
    <t>Fosfato de Sodio Mineral</t>
  </si>
  <si>
    <t>Inventario_Reactivos_Carepa.xlsx · Soluciones o R. Secundarios · fila 11</t>
  </si>
  <si>
    <t>REA-CAR-0211</t>
  </si>
  <si>
    <t>Glicina</t>
  </si>
  <si>
    <t>Inventario_Reactivos_Carepa.xlsx · Soluciones o R. Secundarios · fila 12</t>
  </si>
  <si>
    <t>REA-CAR-0212</t>
  </si>
  <si>
    <t>Fosfato dibasico de sódio</t>
  </si>
  <si>
    <t>Inventario_Reactivos_Carepa.xlsx · Soluciones o R. Secundarios · fila 13</t>
  </si>
  <si>
    <t>REA-CAR-0213</t>
  </si>
  <si>
    <t>Tartrato de Potasio anti Monio Hidratado</t>
  </si>
  <si>
    <t>Inventario_Reactivos_Carepa.xlsx · Soluciones o R. Secundarios · fila 14</t>
  </si>
  <si>
    <t>REA-CAR-0214</t>
  </si>
  <si>
    <t>Inventario_Reactivos_Carepa.xlsx · Soluciones o R. Secundarios · fila 15</t>
  </si>
  <si>
    <t>REA-CAR-0215</t>
  </si>
  <si>
    <t>Giemsa</t>
  </si>
  <si>
    <t>Inventario_Reactivos_Carepa.xlsx · Soluciones o R. Secundarios · fila 16</t>
  </si>
  <si>
    <t>REA-CAR-0216</t>
  </si>
  <si>
    <t>Limadura de hierro</t>
  </si>
  <si>
    <t>Inventario_Reactivos_Carepa.xlsx · Soluciones o R. Secundarios · fila 17</t>
  </si>
  <si>
    <t>REA-CAR-0217</t>
  </si>
  <si>
    <t>Cloruro de Potasio</t>
  </si>
  <si>
    <t>KCl2</t>
  </si>
  <si>
    <t>Inventario_Reactivos_Carepa.xlsx · Soluciones o R. Secundarios · fila 18</t>
  </si>
  <si>
    <t>REA-CAR-0218</t>
  </si>
  <si>
    <t>Sulfato de hirro heptahidratado</t>
  </si>
  <si>
    <t>FeSO4 * 7H2O</t>
  </si>
  <si>
    <t>Inventario_Reactivos_Carepa.xlsx · Soluciones o R. Secundarios · fila 19</t>
  </si>
  <si>
    <t>REA-CAR-0219</t>
  </si>
  <si>
    <t>Inventario_Reactivos_Carepa.xlsx · Soluciones o R. Secundarios · fila 20</t>
  </si>
  <si>
    <t>REA-CAR-0220</t>
  </si>
  <si>
    <t>Sulfato Amonio y Hierro</t>
  </si>
  <si>
    <t>Fe(NH4)2(SO4)2</t>
  </si>
  <si>
    <t>Inventario_Reactivos_Carepa.xlsx · Soluciones o R. Secundarios · fila 21</t>
  </si>
  <si>
    <t>REA-CAR-0221</t>
  </si>
  <si>
    <t>Nitrato de Potasio</t>
  </si>
  <si>
    <t>Inventario_Reactivos_Carepa.xlsx · Soluciones o R. Secundarios · fila 22</t>
  </si>
  <si>
    <t>REA-CAR-0222</t>
  </si>
  <si>
    <t>citrato de amonio dibasico</t>
  </si>
  <si>
    <t>Inventario_Reactivos_Carepa.xlsx · Soluciones o R. Secundarios · fila 23</t>
  </si>
  <si>
    <t>REA-CAR-0223</t>
  </si>
  <si>
    <t>Hidróxido de potasio</t>
  </si>
  <si>
    <t>Inventario_Reactivos_Carepa.xlsx · Soluciones o R. Secundarios · fila 24</t>
  </si>
  <si>
    <t>REA-CAR-0224</t>
  </si>
  <si>
    <t>Acido Ascorbico</t>
  </si>
  <si>
    <t>Inventario_Reactivos_Carepa.xlsx · Soluciones o R. Secundarios · fila 25</t>
  </si>
  <si>
    <t>REA-CAR-0225</t>
  </si>
  <si>
    <t>Carbonato de sodio</t>
  </si>
  <si>
    <t>Inventario_Reactivos_Carepa.xlsx · Soluciones o R. Secundarios · fila 26</t>
  </si>
  <si>
    <t>REA-CAR-0226</t>
  </si>
  <si>
    <t>ftalato acido de potasio</t>
  </si>
  <si>
    <t>Inventario_Reactivos_Carepa.xlsx · Soluciones o R. Secundarios · fila 27</t>
  </si>
  <si>
    <t>REA-CAR-0227</t>
  </si>
  <si>
    <t>CMC Viscosidad Media</t>
  </si>
  <si>
    <t>Inventario_Reactivos_Carepa.xlsx · Soluciones o R. Secundarios · fila 28</t>
  </si>
  <si>
    <t>REA-CAR-0228</t>
  </si>
  <si>
    <t>C6H7O6NaN</t>
  </si>
  <si>
    <t>Inventario_Reactivos_Carepa.xlsx · Soluciones o R. Secundarios · fila 29</t>
  </si>
  <si>
    <t>REA-CAR-0229</t>
  </si>
  <si>
    <t>Tiosulfato de Sodio</t>
  </si>
  <si>
    <t>Inventario_Reactivos_Carepa.xlsx · Soluciones o R. Secundarios · fila 30</t>
  </si>
  <si>
    <t>REA-CAR-0230</t>
  </si>
  <si>
    <t>B-Naftol</t>
  </si>
  <si>
    <t>Inventario_Reactivos_Carepa.xlsx · Soluciones o R. Secundarios · fila 31</t>
  </si>
  <si>
    <t>REA-CAR-0231</t>
  </si>
  <si>
    <t>Inventario_Reactivos_Carepa.xlsx · Soluciones o R. Secundarios · fila 32</t>
  </si>
  <si>
    <t>REA-CAR-0232</t>
  </si>
  <si>
    <t>2-Naftol</t>
  </si>
  <si>
    <t>C10H7OH</t>
  </si>
  <si>
    <t>Inventario_Reactivos_Carepa.xlsx · Soluciones o R. Secundarios · fila 33</t>
  </si>
  <si>
    <t>REA-CAR-0233</t>
  </si>
  <si>
    <t>Sulfato de Magnesio</t>
  </si>
  <si>
    <t>MgSO4 * 7H2O</t>
  </si>
  <si>
    <t>Inventario_Reactivos_Carepa.xlsx · Soluciones o R. Secundarios · fila 34</t>
  </si>
  <si>
    <t>REA-CAR-0234</t>
  </si>
  <si>
    <t>Dicromato de potasio 1%</t>
  </si>
  <si>
    <t>Inventario_Reactivos_Carepa.xlsx · Soluciones o R. Secundarios · fila 35</t>
  </si>
  <si>
    <t>REA-CAR-0235</t>
  </si>
  <si>
    <t>Óxido de manganeso</t>
  </si>
  <si>
    <t>MnO2</t>
  </si>
  <si>
    <t>Inventario_Reactivos_Carepa.xlsx · Soluciones o R. Secundarios · fila 36</t>
  </si>
  <si>
    <t>REA-CAR-0236</t>
  </si>
  <si>
    <t>Fucsina</t>
  </si>
  <si>
    <t>Inventario_Reactivos_Carepa.xlsx · Soluciones o R. Secundarios · fila 37</t>
  </si>
  <si>
    <t>REA-CAR-0237</t>
  </si>
  <si>
    <t>Molibdato de amonio</t>
  </si>
  <si>
    <t>(NH4)6MO7O24</t>
  </si>
  <si>
    <t>Inventario_Reactivos_Carepa.xlsx · Soluciones o R. Secundarios · fila 38</t>
  </si>
  <si>
    <t>REA-CAR-0238</t>
  </si>
  <si>
    <t>Acido borico</t>
  </si>
  <si>
    <t>H3BO3</t>
  </si>
  <si>
    <t>Inventario_Reactivos_Carepa.xlsx · Soluciones o R. Secundarios · fila 39</t>
  </si>
  <si>
    <t>REA-CAR-0239</t>
  </si>
  <si>
    <t>Dioxido de silicio</t>
  </si>
  <si>
    <t>SiO2</t>
  </si>
  <si>
    <t>Inventario_Reactivos_Carepa.xlsx · Soluciones o R. Secundarios · fila 40</t>
  </si>
  <si>
    <t>REA-CAR-0240</t>
  </si>
  <si>
    <t>Caolin</t>
  </si>
  <si>
    <t>H2Al2Si2O8</t>
  </si>
  <si>
    <t>Inventario_Reactivos_Carepa.xlsx · Soluciones o R. Secundarios · fila 41</t>
  </si>
  <si>
    <t>REA-CAR-0241</t>
  </si>
  <si>
    <t>Cloruro de Calcio</t>
  </si>
  <si>
    <t>CaCl *2H2O</t>
  </si>
  <si>
    <t>Inventario_Reactivos_Carepa.xlsx · Soluciones o R. Secundarios · fila 42</t>
  </si>
  <si>
    <t>REA-CAR-0242</t>
  </si>
  <si>
    <t>Carbon Activado</t>
  </si>
  <si>
    <t>Inventario_Reactivos_Carepa.xlsx · Soluciones o R. Secundarios · fila 43</t>
  </si>
  <si>
    <t>REA-CAR-0243</t>
  </si>
  <si>
    <t>Acido maleico</t>
  </si>
  <si>
    <t>Inventario_Reactivos_Carepa.xlsx · Soluciones o R. Secundarios · fila 44</t>
  </si>
  <si>
    <t>REA-CAR-0244</t>
  </si>
  <si>
    <t>Inventario_Reactivos_Carepa.xlsx · Soluciones o R. Secundarios · fila 45</t>
  </si>
  <si>
    <t>REA-CAR-0245</t>
  </si>
  <si>
    <t>Sal Epson</t>
  </si>
  <si>
    <t>Inventario_Reactivos_Carepa.xlsx · Soluciones o R. Secundarios · fila 46</t>
  </si>
  <si>
    <t>REA-CAR-0246</t>
  </si>
  <si>
    <t>Maizena</t>
  </si>
  <si>
    <t>Inventario_Reactivos_Carepa.xlsx · Soluciones o R. Secundarios · fila 47</t>
  </si>
  <si>
    <t>REA-CAR-0247</t>
  </si>
  <si>
    <t>Reactivo de Molish</t>
  </si>
  <si>
    <t>Inventario_Reactivos_Carepa.xlsx · Soluciones o R. Secundarios · fila 48</t>
  </si>
  <si>
    <t>REA-CAR-0248</t>
  </si>
  <si>
    <t>Tween 80</t>
  </si>
  <si>
    <t>Inventario_Reactivos_Carepa.xlsx · Soluciones o R. Secundarios · fila 49</t>
  </si>
  <si>
    <t>REA-CAR-0249</t>
  </si>
  <si>
    <t>Acido Lactico</t>
  </si>
  <si>
    <t>Inventario_Reactivos_Carepa.xlsx · Soluciones o R. Secundarios · fila 50</t>
  </si>
  <si>
    <t>REA-CAR-0250</t>
  </si>
  <si>
    <t>Aceite de Maiz</t>
  </si>
  <si>
    <t>Inventario_Reactivos_Carepa.xlsx · Soluciones o R. Secundarios · fila 51</t>
  </si>
  <si>
    <t>REA-CAR-0251</t>
  </si>
  <si>
    <t>Cal-Cal</t>
  </si>
  <si>
    <t>Inventario_Reactivos_Carepa.xlsx · Soluciones o R. Secundarios · fila 52</t>
  </si>
  <si>
    <t>REA-CAR-0252</t>
  </si>
  <si>
    <t>Mezcla de aceite mineral y aceite vegetal</t>
  </si>
  <si>
    <t>Inventario_Reactivos_Carepa.xlsx · Soluciones o R. Secundarios · fila 53</t>
  </si>
  <si>
    <t>REA-CAR-0253</t>
  </si>
  <si>
    <t>Cloruro de Sodio</t>
  </si>
  <si>
    <t>Inventario_Reactivos_Carepa.xlsx · Soluciones o R. Secundarios · fila 54</t>
  </si>
  <si>
    <t>REA-CAR-0254</t>
  </si>
  <si>
    <t>Fosfato diacido de potasio</t>
  </si>
  <si>
    <t>KH2PO4</t>
  </si>
  <si>
    <t>Inventario_Reactivos_Carepa.xlsx · Soluciones o R. Secundarios · fila 55</t>
  </si>
  <si>
    <t>REA-CAR-0255</t>
  </si>
  <si>
    <t>Fructosa</t>
  </si>
  <si>
    <t>Inventario_Reactivos_Carepa.xlsx · Soluciones o R. Secundarios · fila 56</t>
  </si>
  <si>
    <t>REA-CAR-0256</t>
  </si>
  <si>
    <t>Rojo Fenol</t>
  </si>
  <si>
    <t>Inventario_Reactivos_Carepa.xlsx · Soluciones o R. Secundarios · fila 57</t>
  </si>
  <si>
    <t>REA-CAR-0257</t>
  </si>
  <si>
    <t>C20H19CLN4</t>
  </si>
  <si>
    <t>Inventario_Reactivos_Carepa.xlsx · Soluciones o R. Secundarios · fila 58</t>
  </si>
  <si>
    <t>REA-CAR-0258</t>
  </si>
  <si>
    <t>Fenol en agua 5%</t>
  </si>
  <si>
    <t>0.05</t>
  </si>
  <si>
    <t>Inventario_Reactivos_Carepa.xlsx · Soluciones o R. Secundarios · fila 59</t>
  </si>
  <si>
    <t>REA-CAR-0259</t>
  </si>
  <si>
    <t>Lugol</t>
  </si>
  <si>
    <t>Inventario_Reactivos_Carepa.xlsx · Soluciones o R. Secundarios · fila 60</t>
  </si>
  <si>
    <t>REA-CAR-0260</t>
  </si>
  <si>
    <t>Inventario_Reactivos_Carepa.xlsx · Soluciones o R. Secundarios · fila 61</t>
  </si>
  <si>
    <t>REA-CAR-0261</t>
  </si>
  <si>
    <t>Azul de Lactofenol</t>
  </si>
  <si>
    <t>Inventario_Reactivos_Carepa.xlsx · Soluciones o R. Secundarios · fila 62</t>
  </si>
  <si>
    <t>REA-CAR-0262</t>
  </si>
  <si>
    <t>Colorante Hiss</t>
  </si>
  <si>
    <t>Inventario_Reactivos_Carepa.xlsx · Soluciones o R. Secundarios · fila 63</t>
  </si>
  <si>
    <t>REA-CAR-0263</t>
  </si>
  <si>
    <t>Cristal Violeta</t>
  </si>
  <si>
    <t>Inventario_Reactivos_Carepa.xlsx · Soluciones o R. Secundarios · fila 64</t>
  </si>
  <si>
    <t>REA-CAR-0264</t>
  </si>
  <si>
    <t>Vaselina</t>
  </si>
  <si>
    <t>Inventario_Reactivos_Carepa.xlsx · Soluciones o R. Secundarios · fila 65</t>
  </si>
  <si>
    <t>REA-CAR-0265</t>
  </si>
  <si>
    <t>Alcohol Acetona</t>
  </si>
  <si>
    <t>Inventario_Reactivos_Carepa.xlsx · Soluciones o R. Secundarios · fila 66</t>
  </si>
  <si>
    <t>REA-CAR-0266</t>
  </si>
  <si>
    <t>Rojo de Metilo</t>
  </si>
  <si>
    <t>Inventario_Reactivos_Carepa.xlsx · Soluciones o R. Secundarios · fila 67</t>
  </si>
  <si>
    <t>REA-CAR-0267</t>
  </si>
  <si>
    <t>Verde Malaquita</t>
  </si>
  <si>
    <t>Inventario_Reactivos_Carepa.xlsx · Soluciones o R. Secundarios · fila 68</t>
  </si>
  <si>
    <t>REA-CAR-0268</t>
  </si>
  <si>
    <t>Rojo congo</t>
  </si>
  <si>
    <t>Inventario_Reactivos_Carepa.xlsx · Soluciones o R. Secundarios · fila 69</t>
  </si>
  <si>
    <t>REA-CAR-0269</t>
  </si>
  <si>
    <t>Etanol al 95%</t>
  </si>
  <si>
    <t>Inventario_Reactivos_Carepa.xlsx · Soluciones o R. Secundarios · fila 70</t>
  </si>
  <si>
    <t>REA-CAR-0270</t>
  </si>
  <si>
    <t>Fucsina 5%</t>
  </si>
  <si>
    <t>Inventario_Reactivos_Carepa.xlsx · Soluciones o R. Secundarios · fila 71</t>
  </si>
  <si>
    <t>REA-CAR-0271</t>
  </si>
  <si>
    <t>orceina</t>
  </si>
  <si>
    <t>Inventario_Reactivos_Carepa.xlsx · Soluciones o R. Secundarios · fila 72</t>
  </si>
  <si>
    <t>REA-CAR-0272</t>
  </si>
  <si>
    <t>Formadeido</t>
  </si>
  <si>
    <t>Inventario_Reactivos_Carepa.xlsx · Soluciones o R. Secundarios · fila 73</t>
  </si>
  <si>
    <t>REA-CAR-0273</t>
  </si>
  <si>
    <t>Acido Palmitico</t>
  </si>
  <si>
    <t>Inventario_Reactivos_Carepa.xlsx · Soluciones o R. Secundarios · fila 74</t>
  </si>
  <si>
    <t>REA-CAR-0274</t>
  </si>
  <si>
    <t>Aceido Oleico</t>
  </si>
  <si>
    <t>Inventario_Reactivos_Carepa.xlsx · Soluciones o R. Secundarios · fila 75</t>
  </si>
  <si>
    <t>REA-CAR-0275</t>
  </si>
  <si>
    <t>Fosfato de Sodio</t>
  </si>
  <si>
    <t>Inventario_Reactivos_Carepa.xlsx · Soluciones o R. Secundarios · fila 76</t>
  </si>
  <si>
    <t>REA-CAR-0276</t>
  </si>
  <si>
    <t>Azul comassie</t>
  </si>
  <si>
    <t>Inventario_Reactivos_Carepa.xlsx · Soluciones o R. Secundarios · fila 77</t>
  </si>
  <si>
    <t>REA-CAR-0277</t>
  </si>
  <si>
    <t>Inventario_Reactivos_Carepa.xlsx · Soluciones o R. Secundarios · fila 78</t>
  </si>
  <si>
    <t>REA-CAR-0278</t>
  </si>
  <si>
    <t>2,4-Dinitrofenilhidracina</t>
  </si>
  <si>
    <t>Inventario_Reactivos_Carepa.xlsx · Soluciones o R. Secundarios · fila 79</t>
  </si>
  <si>
    <t>REA-CAR-0279</t>
  </si>
  <si>
    <t>Inventario_Reactivos_Carepa.xlsx · Soluciones o R. Secundarios · fila 80</t>
  </si>
  <si>
    <t>REA-CAR-0280</t>
  </si>
  <si>
    <t>Cloruro de Amonio</t>
  </si>
  <si>
    <t>NH4Cl</t>
  </si>
  <si>
    <t>Inventario_Reactivos_Carepa.xlsx · Soluciones o R. Secundarios · fila 81</t>
  </si>
  <si>
    <t>REA-CAR-0281</t>
  </si>
  <si>
    <t>Maltosa monohidratada</t>
  </si>
  <si>
    <t>Inventario_Reactivos_Carepa.xlsx · Soluciones o R. Secundarios · fila 82</t>
  </si>
  <si>
    <t>REA-CAR-0282</t>
  </si>
  <si>
    <t>Molibdato de sodio dihidratado</t>
  </si>
  <si>
    <t>NaMoO4</t>
  </si>
  <si>
    <t>Inventario_Reactivos_Carepa.xlsx · Soluciones o R. Secundarios · fila 83</t>
  </si>
  <si>
    <t>REA-CAR-0283</t>
  </si>
  <si>
    <t>Acido aminobenzoico</t>
  </si>
  <si>
    <t>Inventario_Reactivos_Carepa.xlsx · Soluciones o R. Secundarios · fila 84</t>
  </si>
  <si>
    <t>REA-CAR-0284</t>
  </si>
  <si>
    <t>Sulfato de Manganeso</t>
  </si>
  <si>
    <t>MnSO4</t>
  </si>
  <si>
    <t>Inventario_Reactivos_Carepa.xlsx · Soluciones o R. Secundarios · fila 85</t>
  </si>
  <si>
    <t>REA-CAR-0285</t>
  </si>
  <si>
    <t>Acido Sulfanilico</t>
  </si>
  <si>
    <t>Inventario_Reactivos_Carepa.xlsx · Soluciones o R. Secundarios · fila 86</t>
  </si>
  <si>
    <t>REA-CAR-0286</t>
  </si>
  <si>
    <t>FeSO4</t>
  </si>
  <si>
    <t>Inventario_Reactivos_Carepa.xlsx · Soluciones o R. Secundarios · fila 87</t>
  </si>
  <si>
    <t>REA-CAR-0287</t>
  </si>
  <si>
    <t>Naftaleno</t>
  </si>
  <si>
    <t>Inventario_Reactivos_Carepa.xlsx · Soluciones o R. Secundarios · fila 88</t>
  </si>
  <si>
    <t>REA-CAR-0288</t>
  </si>
  <si>
    <t>Cantidad actual vacía o no numérica («vacía»)</t>
  </si>
  <si>
    <t>Laminas de cobre</t>
  </si>
  <si>
    <t>Inventario_Reactivos_Carepa.xlsx · Soluciones o R. Secundarios · fila 89</t>
  </si>
  <si>
    <t>REA-CAR-0289</t>
  </si>
  <si>
    <t>Granallas Cinc</t>
  </si>
  <si>
    <t>Inventario_Reactivos_Carepa.xlsx · Soluciones o R. Secundarios · fila 90</t>
  </si>
  <si>
    <t>REA-CAR-0290</t>
  </si>
  <si>
    <t>Acido Nitrico</t>
  </si>
  <si>
    <t>Inventario_Reactivos_Carepa.xlsx · Soluciones o R. Secundarios · fila 91</t>
  </si>
  <si>
    <t>REA-CAR-0291</t>
  </si>
  <si>
    <t>Nitrato de Cinc</t>
  </si>
  <si>
    <t>Zn(NO3)2 * 6H2O</t>
  </si>
  <si>
    <t>Inventario_Reactivos_Carepa.xlsx · Soluciones o R. Secundarios · fila 92</t>
  </si>
  <si>
    <t>REA-CAR-0292</t>
  </si>
  <si>
    <t>Nitrato de Plata</t>
  </si>
  <si>
    <t>Inventario_Reactivos_Carepa.xlsx · Soluciones o R. Secundarios · fila 93</t>
  </si>
  <si>
    <t>REA-CAR-0293</t>
  </si>
  <si>
    <t>Magnesio</t>
  </si>
  <si>
    <t>Inventario_Reactivos_Carepa.xlsx · Soluciones o R. Secundarios · fila 94</t>
  </si>
  <si>
    <t>REA-CAR-0294</t>
  </si>
  <si>
    <t>Permanganato de Potasio</t>
  </si>
  <si>
    <t>Inventario_Reactivos_Carepa.xlsx · Soluciones o R. Secundarios · fila 95</t>
  </si>
  <si>
    <t>REA-CAR-0295</t>
  </si>
  <si>
    <t>Colesterol</t>
  </si>
  <si>
    <t>Inventario_Reactivos_Carepa.xlsx · Soluciones o R. Secundarios · fila 96</t>
  </si>
  <si>
    <t>REA-CAR-0296</t>
  </si>
  <si>
    <t>Cromato de Potasio</t>
  </si>
  <si>
    <t>K2CrO4</t>
  </si>
  <si>
    <t>Inventario_Reactivos_Carepa.xlsx · Soluciones o R. Secundarios · fila 97</t>
  </si>
  <si>
    <t>REA-CAR-0297</t>
  </si>
  <si>
    <t>Vinagr Blanco Comercial</t>
  </si>
  <si>
    <t>Inventario_Reactivos_Carepa.xlsx · Soluciones o R. Secundarios · fila 98</t>
  </si>
  <si>
    <t>REA-CAR-0298</t>
  </si>
  <si>
    <t>Acido Sulfurico</t>
  </si>
  <si>
    <t>Inventario_Reactivos_Carepa.xlsx · Soluciones o R. Secundarios · fila 99</t>
  </si>
  <si>
    <t>REA-CAR-0299</t>
  </si>
  <si>
    <t>NH2CONH2</t>
  </si>
  <si>
    <t>Inventario_Reactivos_Carepa.xlsx · Soluciones o R. Secundarios · fila 100</t>
  </si>
  <si>
    <t>REA-CAR-0300</t>
  </si>
  <si>
    <t>Acido Oxalico</t>
  </si>
  <si>
    <t>C2H2O6</t>
  </si>
  <si>
    <t>Inventario_Reactivos_Carepa.xlsx · Soluciones o R. Secundarios · fila 101</t>
  </si>
  <si>
    <t>REA-CAR-0301</t>
  </si>
  <si>
    <t>Amoniaco</t>
  </si>
  <si>
    <t>H3N</t>
  </si>
  <si>
    <t>Inventario_Reactivos_Carepa.xlsx · Soluciones o R. Secundarios · fila 102</t>
  </si>
  <si>
    <t>REA-CAR-0302</t>
  </si>
  <si>
    <t>Acido Ortofosforico</t>
  </si>
  <si>
    <t>Inventario_Reactivos_Carepa.xlsx · Soluciones o R. Secundarios · fila 103</t>
  </si>
  <si>
    <t>REA-CAR-0303</t>
  </si>
  <si>
    <t>Plomo metalico</t>
  </si>
  <si>
    <t>Inventario_Reactivos_Carepa.xlsx · Soluciones o R. Secundarios · fila 104</t>
  </si>
  <si>
    <t>REA-CAR-0304</t>
  </si>
  <si>
    <t>Acetato de Metilo</t>
  </si>
  <si>
    <t>Inventario_Reactivos_Carepa.xlsx · Soluciones o R. Secundarios · fila 105</t>
  </si>
  <si>
    <t>REA-CAR-0305</t>
  </si>
  <si>
    <t>Acido Propionico</t>
  </si>
  <si>
    <t>Inventario_Reactivos_Carepa.xlsx · Soluciones o R. Secundarios · fila 106</t>
  </si>
  <si>
    <t>REA-CAR-0306</t>
  </si>
  <si>
    <t>Acido Benzoico</t>
  </si>
  <si>
    <t>C6H5COOH</t>
  </si>
  <si>
    <t>Inventario_Reactivos_Carepa.xlsx · Soluciones o R. Secundarios · fila 107</t>
  </si>
  <si>
    <t>REA-CAR-0307</t>
  </si>
  <si>
    <t>Hidroxido de Calcio</t>
  </si>
  <si>
    <t>Ca(OH)2</t>
  </si>
  <si>
    <t>Inventario_Reactivos_Carepa.xlsx · Soluciones o R. Secundarios · fila 108</t>
  </si>
  <si>
    <t>REA-CAR-0308</t>
  </si>
  <si>
    <t>Inventario_Reactivos_Carepa.xlsx · Soluciones o R. Secundarios · fila 109</t>
  </si>
  <si>
    <t>REA-CAR-0309</t>
  </si>
  <si>
    <t>Acido salicilico 1%</t>
  </si>
  <si>
    <t>0.01</t>
  </si>
  <si>
    <t>Inventario_Reactivos_Carepa.xlsx · Soluciones o R. Secundarios · fila 110</t>
  </si>
  <si>
    <t>REA-CAR-0310</t>
  </si>
  <si>
    <t>Cloruro de hierro 1%</t>
  </si>
  <si>
    <t>FeCl</t>
  </si>
  <si>
    <t>Inventario_Reactivos_Carepa.xlsx · Soluciones o R. Secundarios · fila 111</t>
  </si>
  <si>
    <t>REA-CAR-0311</t>
  </si>
  <si>
    <t>Inventario_Reactivos_Carepa.xlsx · Soluciones o R. Secundarios · fila 112</t>
  </si>
  <si>
    <t>REA-CAR-0312</t>
  </si>
  <si>
    <t>Acido Galico</t>
  </si>
  <si>
    <t>Inventario_Reactivos_Carepa.xlsx · Soluciones o R. Secundarios · fila 113</t>
  </si>
  <si>
    <t>REA-CAR-0313</t>
  </si>
  <si>
    <t>Cristales de yodo</t>
  </si>
  <si>
    <t>Inventario_Reactivos_Carepa.xlsx · Soluciones o R. Secundarios · fila 114</t>
  </si>
  <si>
    <t>REA-CAR-0314</t>
  </si>
  <si>
    <t>Yodo metalico</t>
  </si>
  <si>
    <t>Inventario_Reactivos_Carepa.xlsx · Soluciones o R. Secundarios · fila 115</t>
  </si>
  <si>
    <t>REA-CAR-0315</t>
  </si>
  <si>
    <t>Inventario_Reactivos_Carepa.xlsx · Soluciones o R. Secundarios · fila 116</t>
  </si>
  <si>
    <t>REA-CAR-0316</t>
  </si>
  <si>
    <t>Resorcinol</t>
  </si>
  <si>
    <t>Inventario_Reactivos_Carepa.xlsx · Soluciones o R. Secundarios · fila 117</t>
  </si>
  <si>
    <t>REA-CAR-0317</t>
  </si>
  <si>
    <t>Yoduro de Potasio</t>
  </si>
  <si>
    <t>Inventario_Reactivos_Carepa.xlsx · Soluciones o R. Secundarios · fila 118</t>
  </si>
  <si>
    <t>REA-CAR-0318</t>
  </si>
  <si>
    <t>Yodato de Potasio</t>
  </si>
  <si>
    <t>KlO3</t>
  </si>
  <si>
    <t>Inventario_Reactivos_Carepa.xlsx · Soluciones o R. Secundarios · fila 119</t>
  </si>
  <si>
    <t>REA-CAR-0319</t>
  </si>
  <si>
    <t>Acetato de Plomo</t>
  </si>
  <si>
    <t>Inventario_Reactivos_Carepa.xlsx · Soluciones o R. Secundarios · fila 120</t>
  </si>
  <si>
    <t>REA-CAR-0320</t>
  </si>
  <si>
    <t>Sulfato de Cobre Pentahidratado</t>
  </si>
  <si>
    <t>CuSO4 * 5H2O</t>
  </si>
  <si>
    <t>Inventario_Reactivos_Carepa.xlsx · Soluciones o R. Secundarios · fila 121</t>
  </si>
  <si>
    <t>REA-CAR-0321</t>
  </si>
  <si>
    <t>Sulfato de Cobre</t>
  </si>
  <si>
    <t>Inventario_Reactivos_Carepa.xlsx · Soluciones o R. Secundarios · fila 122</t>
  </si>
  <si>
    <t>REA-CAR-0322</t>
  </si>
  <si>
    <t>Fluoruro de Sodio</t>
  </si>
  <si>
    <t>NaF</t>
  </si>
  <si>
    <t>Inventario_Reactivos_Carepa.xlsx · Soluciones o R. Secundarios · fila 123</t>
  </si>
  <si>
    <t>REA-CAR-0323</t>
  </si>
  <si>
    <t>Cloruro de Mercurio</t>
  </si>
  <si>
    <t>Hg2Cl3</t>
  </si>
  <si>
    <t>Inventario_Reactivos_Carepa.xlsx · Soluciones o R. Secundarios · fila 124</t>
  </si>
  <si>
    <t>REA-CAR-0324</t>
  </si>
  <si>
    <t>Naranja de Metilo</t>
  </si>
  <si>
    <t>Inventario_Reactivos_Carepa.xlsx · Soluciones o R. Secundarios · fila 125</t>
  </si>
  <si>
    <t>REA-CAR-0325</t>
  </si>
  <si>
    <t>Benzoato de Sodio</t>
  </si>
  <si>
    <t>Inventario_Reactivos_Carepa.xlsx · Soluciones o R. Secundarios · fila 126</t>
  </si>
  <si>
    <t>REA-CAR-0326</t>
  </si>
  <si>
    <t>1-Butanol</t>
  </si>
  <si>
    <t>C4H9OH</t>
  </si>
  <si>
    <t>Inventario_Reactivos_Carepa.xlsx · Soluciones o R. Secundarios · fila 127</t>
  </si>
  <si>
    <t>REA-CAR-0327</t>
  </si>
  <si>
    <t>Benzaldeido</t>
  </si>
  <si>
    <t>Inventario_Reactivos_Carepa.xlsx · Soluciones o R. Secundarios · fila 128</t>
  </si>
  <si>
    <t>REA-CAR-0328</t>
  </si>
  <si>
    <t>Acido acetigo glacial</t>
  </si>
  <si>
    <t>Inventario_Reactivos_Carepa.xlsx · Soluciones o R. Secundarios · fila 129</t>
  </si>
  <si>
    <t>REA-CAR-0329</t>
  </si>
  <si>
    <t>2-Butanol</t>
  </si>
  <si>
    <t>C4H10O</t>
  </si>
  <si>
    <t>Inventario_Reactivos_Carepa.xlsx · Soluciones o R. Secundarios · fila 130</t>
  </si>
  <si>
    <t>REA-CAR-0330</t>
  </si>
  <si>
    <t>Alcohol Amilico (pentanol)</t>
  </si>
  <si>
    <t>Inventario_Reactivos_Carepa.xlsx · Soluciones o R. Secundarios · fila 131</t>
  </si>
  <si>
    <t>REA-CAR-0331</t>
  </si>
  <si>
    <t>n-hexano</t>
  </si>
  <si>
    <t>Inventario_Reactivos_Carepa.xlsx · Soluciones o R. Secundarios · fila 132</t>
  </si>
  <si>
    <t>REA-CAR-0332</t>
  </si>
  <si>
    <t>Inventario_Reactivos_Carepa.xlsx · Soluciones o R. Secundarios · fila 133</t>
  </si>
  <si>
    <t>REA-CAR-0333</t>
  </si>
  <si>
    <t>Inventario_Reactivos_Carepa.xlsx · Soluciones o R. Secundarios · fila 134</t>
  </si>
  <si>
    <t>REA-CAR-0334</t>
  </si>
  <si>
    <t>(CH3)2CO</t>
  </si>
  <si>
    <t>Inventario_Reactivos_Carepa.xlsx · Soluciones o R. Secundarios · fila 135</t>
  </si>
  <si>
    <t>REA-CAR-0335</t>
  </si>
  <si>
    <t>Etanol:Cloroformo</t>
  </si>
  <si>
    <t>01:01:00</t>
  </si>
  <si>
    <t>Inventario_Reactivos_Carepa.xlsx · Soluciones o R. Secundarios · fila 136</t>
  </si>
  <si>
    <t>REA-CAR-0336</t>
  </si>
  <si>
    <t>Acetato de Etilo</t>
  </si>
  <si>
    <t>C4H8O2</t>
  </si>
  <si>
    <t>Inventario_Reactivos_Carepa.xlsx · Soluciones o R. Secundarios · fila 137</t>
  </si>
  <si>
    <t>REA-CAR-0337</t>
  </si>
  <si>
    <t>Inventario_Reactivos_Carepa.xlsx · Soluciones o R. Secundarios · fila 138</t>
  </si>
  <si>
    <t>REA-CAR-0338</t>
  </si>
  <si>
    <t>Alcohol 70%</t>
  </si>
  <si>
    <t>0.7</t>
  </si>
  <si>
    <t>Inventario_Reactivos_Carepa.xlsx · Soluciones o R. Secundarios · fila 139</t>
  </si>
  <si>
    <t>REA-CAR-0339</t>
  </si>
  <si>
    <t>Ciclohexano-eter etilico-acido acetico</t>
  </si>
  <si>
    <t>3 days, 13:15:02</t>
  </si>
  <si>
    <t>Inventario_Reactivos_Carepa.xlsx · Soluciones o R. Secundarios · fila 140</t>
  </si>
  <si>
    <t>REA-CAR-0340</t>
  </si>
  <si>
    <t>Cloroformo-metanol-agua</t>
  </si>
  <si>
    <t>2 days, 17:25:04</t>
  </si>
  <si>
    <t>Inventario_Reactivos_Carepa.xlsx · Soluciones o R. Secundarios · fila 141</t>
  </si>
  <si>
    <t>REA-CAR-0341</t>
  </si>
  <si>
    <t>Inventario_Reactivos_Carepa.xlsx · Soluciones o R. Secundarios · fila 142</t>
  </si>
  <si>
    <t>REA-CAR-0342</t>
  </si>
  <si>
    <t>Inventario_Reactivos_Carepa.xlsx · Soluciones o R. Secundarios · fila 143</t>
  </si>
  <si>
    <t>REA-CAR-0343</t>
  </si>
  <si>
    <t>Eter etilico</t>
  </si>
  <si>
    <t>Inventario_Reactivos_Carepa.xlsx · Soluciones o R. Secundarios · fila 144</t>
  </si>
  <si>
    <t>REA-CAR-0344</t>
  </si>
  <si>
    <t>Acetato Isoamilo</t>
  </si>
  <si>
    <t>C7H14O2</t>
  </si>
  <si>
    <t>Inventario_Reactivos_Carepa.xlsx · Soluciones o R. Secundarios · fila 145</t>
  </si>
  <si>
    <t>REA-CAR-0345</t>
  </si>
  <si>
    <t>Zinc granulado</t>
  </si>
  <si>
    <t>Inventario_Reactivos_Carepa.xlsx · Soluciones o R. Secundarios · fila 146</t>
  </si>
  <si>
    <t>REA-CAR-0346</t>
  </si>
  <si>
    <t>Silenio negro</t>
  </si>
  <si>
    <t>Inventario_Reactivos_Carepa.xlsx · Soluciones o R. Secundarios · fila 147</t>
  </si>
  <si>
    <t>REA-CAR-0347</t>
  </si>
  <si>
    <t>Cloruro de cobalto</t>
  </si>
  <si>
    <t>Inventario_Reactivos_Carepa.xlsx · Soluciones o R. Secundarios · fila 148</t>
  </si>
  <si>
    <t>REA-CAR-0348</t>
  </si>
  <si>
    <t>Solucion de tiosulfato</t>
  </si>
  <si>
    <t>0,20M</t>
  </si>
  <si>
    <t>Inventario_Reactivos_Carepa.xlsx · Soluciones o R. Secundarios · fila 149</t>
  </si>
  <si>
    <t>REA-CAR-0349</t>
  </si>
  <si>
    <t>Azul de Timol</t>
  </si>
  <si>
    <t>Inventario_Reactivos_Carepa.xlsx · Soluciones o R. Secundarios · fila 150</t>
  </si>
  <si>
    <t>REA-CAR-0350</t>
  </si>
  <si>
    <t>CGCl3</t>
  </si>
  <si>
    <t>Inventario_Reactivos_Carepa.xlsx · Soluciones o R. Secundarios · fila 151</t>
  </si>
  <si>
    <t>REA-CAR-0351</t>
  </si>
  <si>
    <t>Solución saturada de B-Naftol</t>
  </si>
  <si>
    <t>Inventario_Reactivos_Carepa.xlsx · Soluciones o R. Secundarios · fila 152</t>
  </si>
  <si>
    <t>REA-CAR-0352</t>
  </si>
  <si>
    <t>Solución saturada de resorcinol + B-Naftol</t>
  </si>
  <si>
    <t>Inventario_Reactivos_Carepa.xlsx · Soluciones o R. Secundarios · fila 153</t>
  </si>
  <si>
    <t>REA-CAR-0353</t>
  </si>
  <si>
    <t>Solución saturada de resorcinol</t>
  </si>
  <si>
    <t>Inventario_Reactivos_Carepa.xlsx · Soluciones o R. Secundarios · fila 154</t>
  </si>
  <si>
    <t>REA-CAR-0354</t>
  </si>
  <si>
    <t>fosfato dibasico de amonio</t>
  </si>
  <si>
    <t>(NH4)2HPO4</t>
  </si>
  <si>
    <t>Inventario_Reactivos_Carepa.xlsx · Soluciones o R. Secundarios · fila 155</t>
  </si>
  <si>
    <t>REA-CAR-0355</t>
  </si>
  <si>
    <t>REA-CAR-0356</t>
  </si>
  <si>
    <t>REA-CAR-0357</t>
  </si>
  <si>
    <t>REA-CAR-0358</t>
  </si>
  <si>
    <t>REA-CAR-0359</t>
  </si>
  <si>
    <t>REA-CAR-0360</t>
  </si>
  <si>
    <t>REA-CAR-0361</t>
  </si>
  <si>
    <t>REA-CAR-0362</t>
  </si>
  <si>
    <t>REA-CAR-0363</t>
  </si>
  <si>
    <t>REA-CAR-0364</t>
  </si>
  <si>
    <t>REA-CAR-0365</t>
  </si>
  <si>
    <t>REA-CAR-0366</t>
  </si>
  <si>
    <t>REA-CAR-0367</t>
  </si>
  <si>
    <t>REA-CAR-0368</t>
  </si>
  <si>
    <t>REA-CAR-0369</t>
  </si>
  <si>
    <t>REA-CAR-0370</t>
  </si>
  <si>
    <t>REA-CAR-0371</t>
  </si>
  <si>
    <t>REA-CAR-0372</t>
  </si>
  <si>
    <t>REA-CAR-0373</t>
  </si>
  <si>
    <t>REA-CAR-0374</t>
  </si>
  <si>
    <t>REA-CAR-0375</t>
  </si>
  <si>
    <t>REA-CAR-0376</t>
  </si>
  <si>
    <t>REA-CAR-0377</t>
  </si>
  <si>
    <t>REA-CAR-0378</t>
  </si>
  <si>
    <t>REA-CAR-0379</t>
  </si>
  <si>
    <t>REA-CAR-0380</t>
  </si>
  <si>
    <t>REA-CAR-0381</t>
  </si>
  <si>
    <t>REA-CAR-0382</t>
  </si>
  <si>
    <t>REA-CAR-0383</t>
  </si>
  <si>
    <t>REA-CAR-0384</t>
  </si>
  <si>
    <t>REA-CAR-0385</t>
  </si>
  <si>
    <t>REA-CAR-0386</t>
  </si>
  <si>
    <t>REA-CAR-0387</t>
  </si>
  <si>
    <t>REA-CAR-0388</t>
  </si>
  <si>
    <t>REA-CAR-0389</t>
  </si>
  <si>
    <t>REA-CAR-0390</t>
  </si>
  <si>
    <t>REA-CAR-0391</t>
  </si>
  <si>
    <t>REA-CAR-0392</t>
  </si>
  <si>
    <t>REA-CAR-0393</t>
  </si>
  <si>
    <t>REA-CAR-0394</t>
  </si>
  <si>
    <t>REA-CAR-0395</t>
  </si>
  <si>
    <t>REA-CAR-0396</t>
  </si>
  <si>
    <t>REA-CAR-0397</t>
  </si>
  <si>
    <t>REA-CAR-0398</t>
  </si>
  <si>
    <t>REA-CAR-0399</t>
  </si>
  <si>
    <t>REA-CAR-0400</t>
  </si>
  <si>
    <t>REA-CAR-0401</t>
  </si>
  <si>
    <t>REA-CAR-0402</t>
  </si>
  <si>
    <t>REA-CAR-0403</t>
  </si>
  <si>
    <t>REA-CAR-0404</t>
  </si>
  <si>
    <t>REA-CAR-0405</t>
  </si>
  <si>
    <t>REA-CAR-0406</t>
  </si>
  <si>
    <t>REA-CAR-0407</t>
  </si>
  <si>
    <t>REA-CAR-0408</t>
  </si>
  <si>
    <t>REA-CAR-0409</t>
  </si>
  <si>
    <t>REA-CAR-0410</t>
  </si>
  <si>
    <t>REA-CAR-0411</t>
  </si>
  <si>
    <t>REA-CAR-0412</t>
  </si>
  <si>
    <t>REA-CAR-0413</t>
  </si>
  <si>
    <t>REA-CAR-0414</t>
  </si>
  <si>
    <t>REA-CAR-0415</t>
  </si>
  <si>
    <t>REA-CAR-0416</t>
  </si>
  <si>
    <t>REA-CAR-0417</t>
  </si>
  <si>
    <t>REA-CAR-0418</t>
  </si>
  <si>
    <t>REA-CAR-0419</t>
  </si>
  <si>
    <t>REA-CAR-0420</t>
  </si>
  <si>
    <t>REA-CAR-0421</t>
  </si>
  <si>
    <t>REA-CAR-0422</t>
  </si>
  <si>
    <t>REA-CAR-0423</t>
  </si>
  <si>
    <t>REA-CAR-0424</t>
  </si>
  <si>
    <t>REA-CAR-0425</t>
  </si>
  <si>
    <t>REA-CAR-0426</t>
  </si>
  <si>
    <t>REA-CAR-0427</t>
  </si>
  <si>
    <t>REA-CAR-0428</t>
  </si>
  <si>
    <t>REA-CAR-0429</t>
  </si>
  <si>
    <t>REA-CAR-0430</t>
  </si>
  <si>
    <t>REA-CAR-0431</t>
  </si>
  <si>
    <t>REA-CAR-0432</t>
  </si>
  <si>
    <t>REA-CAR-0433</t>
  </si>
  <si>
    <t>REA-CAR-0434</t>
  </si>
  <si>
    <t>Fecha</t>
  </si>
  <si>
    <t>ID reactivo</t>
  </si>
  <si>
    <t>Cantidad usada</t>
  </si>
  <si>
    <t>Sesión / práctica</t>
  </si>
  <si>
    <t>Registró (técnico)</t>
  </si>
  <si>
    <t>Observación</t>
  </si>
  <si>
    <t>Equipo</t>
  </si>
  <si>
    <t>Modelo</t>
  </si>
  <si>
    <t>Serie</t>
  </si>
  <si>
    <t>Cód. activo</t>
  </si>
  <si>
    <t>N° inventario</t>
  </si>
  <si>
    <t>Cantidad</t>
  </si>
  <si>
    <t>Estado</t>
  </si>
  <si>
    <t>Disponibilidad para prácticas</t>
  </si>
  <si>
    <t>Responsable</t>
  </si>
  <si>
    <t>Fecha del inventario</t>
  </si>
  <si>
    <t>EQP-CAR-0001</t>
  </si>
  <si>
    <t>ESTERIOSCOPIO</t>
  </si>
  <si>
    <t>OPTIKA</t>
  </si>
  <si>
    <t>SZM-2</t>
  </si>
  <si>
    <t>390835</t>
  </si>
  <si>
    <t>027797</t>
  </si>
  <si>
    <t>151909</t>
  </si>
  <si>
    <t>Inventario_Equipos_Carepa.xlsx · Carepa · fila 2</t>
  </si>
  <si>
    <t>EQP-CAR-0002</t>
  </si>
  <si>
    <t>390839</t>
  </si>
  <si>
    <t>027798</t>
  </si>
  <si>
    <t>151910</t>
  </si>
  <si>
    <t>Inventario_Equipos_Carepa.xlsx · Carepa · fila 3</t>
  </si>
  <si>
    <t>EQP-CAR-0003</t>
  </si>
  <si>
    <t>390834</t>
  </si>
  <si>
    <t>027800</t>
  </si>
  <si>
    <t>151912</t>
  </si>
  <si>
    <t>Inventario_Equipos_Carepa.xlsx · Carepa · fila 4</t>
  </si>
  <si>
    <t>EQP-CAR-0004</t>
  </si>
  <si>
    <t>390847</t>
  </si>
  <si>
    <t>027801</t>
  </si>
  <si>
    <t>151913</t>
  </si>
  <si>
    <t>Inventario_Equipos_Carepa.xlsx · Carepa · fila 5</t>
  </si>
  <si>
    <t>EQP-CAR-0005</t>
  </si>
  <si>
    <t>390841</t>
  </si>
  <si>
    <t>027802</t>
  </si>
  <si>
    <t>151914</t>
  </si>
  <si>
    <t>Inventario_Equipos_Carepa.xlsx · Carepa · fila 6</t>
  </si>
  <si>
    <t>EQP-CAR-0006</t>
  </si>
  <si>
    <t>390836</t>
  </si>
  <si>
    <t>027803</t>
  </si>
  <si>
    <t>151915</t>
  </si>
  <si>
    <t>Inventario_Equipos_Carepa.xlsx · Carepa · fila 7</t>
  </si>
  <si>
    <t>EQP-CAR-0007</t>
  </si>
  <si>
    <t>390833</t>
  </si>
  <si>
    <t>027804</t>
  </si>
  <si>
    <t>151916</t>
  </si>
  <si>
    <t>Inventario_Equipos_Carepa.xlsx · Carepa · fila 8</t>
  </si>
  <si>
    <t>EQP-CAR-0008</t>
  </si>
  <si>
    <t>390843</t>
  </si>
  <si>
    <t>027807</t>
  </si>
  <si>
    <t>151919</t>
  </si>
  <si>
    <t>Inventario_Equipos_Carepa.xlsx · Carepa · fila 9</t>
  </si>
  <si>
    <t>EQP-CAR-0009</t>
  </si>
  <si>
    <t>390838</t>
  </si>
  <si>
    <t>027808</t>
  </si>
  <si>
    <t>151920</t>
  </si>
  <si>
    <t>Inventario_Equipos_Carepa.xlsx · Carepa · fila 10</t>
  </si>
  <si>
    <t>EQP-CAR-0010</t>
  </si>
  <si>
    <t>390837</t>
  </si>
  <si>
    <t>027810</t>
  </si>
  <si>
    <t>151922</t>
  </si>
  <si>
    <t>Inventario_Equipos_Carepa.xlsx · Carepa · fila 11</t>
  </si>
  <si>
    <t>EQP-CAR-0011</t>
  </si>
  <si>
    <t>390844</t>
  </si>
  <si>
    <t>027811</t>
  </si>
  <si>
    <t>151923</t>
  </si>
  <si>
    <t>Inventario_Equipos_Carepa.xlsx · Carepa · fila 12</t>
  </si>
  <si>
    <t>EQP-CAR-0012</t>
  </si>
  <si>
    <t>390845</t>
  </si>
  <si>
    <t>027812</t>
  </si>
  <si>
    <t>151924</t>
  </si>
  <si>
    <t>Inventario_Equipos_Carepa.xlsx · Carepa · fila 13</t>
  </si>
  <si>
    <t>EQP-CAR-0013</t>
  </si>
  <si>
    <t>390840</t>
  </si>
  <si>
    <t>027813</t>
  </si>
  <si>
    <t>151925</t>
  </si>
  <si>
    <t>Inventario_Equipos_Carepa.xlsx · Carepa · fila 14</t>
  </si>
  <si>
    <t>EQP-CAR-0014</t>
  </si>
  <si>
    <t>Préstamo o envío a Medellín (Centro de Instrumentación): registrar el traslado</t>
  </si>
  <si>
    <t>MICROSCOPIO</t>
  </si>
  <si>
    <t>B-352PL</t>
  </si>
  <si>
    <t>388881</t>
  </si>
  <si>
    <t>027780</t>
  </si>
  <si>
    <t>151856</t>
  </si>
  <si>
    <t>Ubicación original: Enviado al CII</t>
  </si>
  <si>
    <t>Inventario_Equipos_Carepa.xlsx · Carepa · fila 15</t>
  </si>
  <si>
    <t>EQP-CAR-0015</t>
  </si>
  <si>
    <t>388884</t>
  </si>
  <si>
    <t>027781</t>
  </si>
  <si>
    <t>151857</t>
  </si>
  <si>
    <t>Inventario_Equipos_Carepa.xlsx · Carepa · fila 16</t>
  </si>
  <si>
    <t>EQP-CAR-0016</t>
  </si>
  <si>
    <t>388889</t>
  </si>
  <si>
    <t>027782</t>
  </si>
  <si>
    <t>151858</t>
  </si>
  <si>
    <t>Inventario_Equipos_Carepa.xlsx · Carepa · fila 17</t>
  </si>
  <si>
    <t>EQP-CAR-0017</t>
  </si>
  <si>
    <t>388893</t>
  </si>
  <si>
    <t>027783</t>
  </si>
  <si>
    <t>151859</t>
  </si>
  <si>
    <t>DADO DE BAJA | Ubicación original: Enviado a Medellin</t>
  </si>
  <si>
    <t>Inventario_Equipos_Carepa.xlsx · Carepa · fila 18</t>
  </si>
  <si>
    <t>EQP-CAR-0018</t>
  </si>
  <si>
    <t>388886</t>
  </si>
  <si>
    <t>027784</t>
  </si>
  <si>
    <t>151860</t>
  </si>
  <si>
    <t>DADO DE BAJA | Ubicación original: Enviado al CII</t>
  </si>
  <si>
    <t>Inventario_Equipos_Carepa.xlsx · Carepa · fila 19</t>
  </si>
  <si>
    <t>EQP-CAR-0019</t>
  </si>
  <si>
    <t>388894</t>
  </si>
  <si>
    <t>027786</t>
  </si>
  <si>
    <t>151862</t>
  </si>
  <si>
    <t>Inventario_Equipos_Carepa.xlsx · Carepa · fila 20</t>
  </si>
  <si>
    <t>EQP-CAR-0020</t>
  </si>
  <si>
    <t>388879</t>
  </si>
  <si>
    <t>027787</t>
  </si>
  <si>
    <t>151863</t>
  </si>
  <si>
    <t>DADO DE BAJA | Malo (ocular izquierdo malo) | Ubicación original: Enviado al CII</t>
  </si>
  <si>
    <t>Inventario_Equipos_Carepa.xlsx · Carepa · fila 21</t>
  </si>
  <si>
    <t>EQP-CAR-0021</t>
  </si>
  <si>
    <t>388883</t>
  </si>
  <si>
    <t>027788</t>
  </si>
  <si>
    <t>151864</t>
  </si>
  <si>
    <t>Inventario_Equipos_Carepa.xlsx · Carepa · fila 22</t>
  </si>
  <si>
    <t>EQP-CAR-0022</t>
  </si>
  <si>
    <t>388890</t>
  </si>
  <si>
    <t>027789</t>
  </si>
  <si>
    <t>151865</t>
  </si>
  <si>
    <t>Inventario_Equipos_Carepa.xlsx · Carepa · fila 23</t>
  </si>
  <si>
    <t>EQP-CAR-0023</t>
  </si>
  <si>
    <t>388895</t>
  </si>
  <si>
    <t>027790</t>
  </si>
  <si>
    <t>151866</t>
  </si>
  <si>
    <t>Inventario_Equipos_Carepa.xlsx · Carepa · fila 24</t>
  </si>
  <si>
    <t>EQP-CAR-0024</t>
  </si>
  <si>
    <t>388880</t>
  </si>
  <si>
    <t>027791</t>
  </si>
  <si>
    <t>151867</t>
  </si>
  <si>
    <t>Inventario_Equipos_Carepa.xlsx · Carepa · fila 25</t>
  </si>
  <si>
    <t>EQP-CAR-0025</t>
  </si>
  <si>
    <t>Pendiente de dar de baja; Préstamo o envío a Medellín (Centro de Instrumentación): registrar el traslado</t>
  </si>
  <si>
    <t>388891</t>
  </si>
  <si>
    <t>027793</t>
  </si>
  <si>
    <t>151869</t>
  </si>
  <si>
    <t>Dar de baja | Ubicación original: Enviado a Medellin</t>
  </si>
  <si>
    <t>Inventario_Equipos_Carepa.xlsx · Carepa · fila 26</t>
  </si>
  <si>
    <t>EQP-CAR-0026</t>
  </si>
  <si>
    <t>388888</t>
  </si>
  <si>
    <t>027794</t>
  </si>
  <si>
    <t>151870</t>
  </si>
  <si>
    <t>Inventario_Equipos_Carepa.xlsx · Carepa · fila 27</t>
  </si>
  <si>
    <t>EQP-CAR-0027</t>
  </si>
  <si>
    <t>388885</t>
  </si>
  <si>
    <t>027795</t>
  </si>
  <si>
    <t>151871</t>
  </si>
  <si>
    <t>Inventario_Equipos_Carepa.xlsx · Carepa · fila 28</t>
  </si>
  <si>
    <t>EQP-CAR-0028</t>
  </si>
  <si>
    <t>388892</t>
  </si>
  <si>
    <t>027796</t>
  </si>
  <si>
    <t>151872</t>
  </si>
  <si>
    <t>Inventario_Equipos_Carepa.xlsx · Carepa · fila 29</t>
  </si>
  <si>
    <t>EQP-CAR-0029</t>
  </si>
  <si>
    <t>OLLA AUTOCLAVE</t>
  </si>
  <si>
    <t>WARNING</t>
  </si>
  <si>
    <t>25X-1</t>
  </si>
  <si>
    <t>D0030361</t>
  </si>
  <si>
    <t>027764</t>
  </si>
  <si>
    <t>158587</t>
  </si>
  <si>
    <t>Inventario_Equipos_Carepa.xlsx · Carepa · fila 30</t>
  </si>
  <si>
    <t>EQP-CAR-0030</t>
  </si>
  <si>
    <t>D0030379</t>
  </si>
  <si>
    <t>027763</t>
  </si>
  <si>
    <t>158586</t>
  </si>
  <si>
    <t>Inventario_Equipos_Carepa.xlsx · Carepa · fila 31</t>
  </si>
  <si>
    <t>EQP-CAR-0031</t>
  </si>
  <si>
    <t>CABINA DE FLUJO LAMINAR</t>
  </si>
  <si>
    <t>GRUPO C4</t>
  </si>
  <si>
    <t>MIN120</t>
  </si>
  <si>
    <t>362212</t>
  </si>
  <si>
    <t>204424</t>
  </si>
  <si>
    <t>Inventario_Equipos_Carepa.xlsx · Carepa · fila 32</t>
  </si>
  <si>
    <t>EQP-CAR-0032</t>
  </si>
  <si>
    <t>AUTOCLAVE</t>
  </si>
  <si>
    <t>PINGLOBAL</t>
  </si>
  <si>
    <t>2021/Ref.JPA50LV</t>
  </si>
  <si>
    <t>4588739</t>
  </si>
  <si>
    <t>189317</t>
  </si>
  <si>
    <t>Inventario_Equipos_Carepa.xlsx · Carepa · fila 33</t>
  </si>
  <si>
    <t>EQP-CAR-0033</t>
  </si>
  <si>
    <t>INCUBADORA</t>
  </si>
  <si>
    <t>BINDER</t>
  </si>
  <si>
    <t>ED-115</t>
  </si>
  <si>
    <t>13-16020</t>
  </si>
  <si>
    <t>027766</t>
  </si>
  <si>
    <t>151470</t>
  </si>
  <si>
    <t>Inventario_Equipos_Carepa.xlsx · Carepa · fila 34</t>
  </si>
  <si>
    <t>EQP-CAR-0034</t>
  </si>
  <si>
    <t>ED-116</t>
  </si>
  <si>
    <t>13-16017</t>
  </si>
  <si>
    <t>036210</t>
  </si>
  <si>
    <t>152753</t>
  </si>
  <si>
    <t>Inventario_Equipos_Carepa.xlsx · Carepa · fila 35</t>
  </si>
  <si>
    <t>EQP-CAR-0035</t>
  </si>
  <si>
    <t>NEVERA DE 213L</t>
  </si>
  <si>
    <t>HACEB</t>
  </si>
  <si>
    <t>H6161FT22</t>
  </si>
  <si>
    <t>193005</t>
  </si>
  <si>
    <t>Inventario_Equipos_Carepa.xlsx · Carepa · fila 36</t>
  </si>
  <si>
    <t>EQP-CAR-0036</t>
  </si>
  <si>
    <t>193006</t>
  </si>
  <si>
    <t>Inventario_Equipos_Carepa.xlsx · Carepa · fila 37</t>
  </si>
  <si>
    <t>EQP-CAR-0037</t>
  </si>
  <si>
    <t>NEVERA de 420 litros</t>
  </si>
  <si>
    <t>Haceb</t>
  </si>
  <si>
    <t>NEV AS 420L SE 2P DA TI</t>
  </si>
  <si>
    <t>90356431</t>
  </si>
  <si>
    <t>027893</t>
  </si>
  <si>
    <t>152752</t>
  </si>
  <si>
    <t>Inventario_Equipos_Carepa.xlsx · Carepa · fila 38</t>
  </si>
  <si>
    <t>EQP-CAR-0038</t>
  </si>
  <si>
    <t>ULTRACONGELADOR</t>
  </si>
  <si>
    <t>THERMO SCIENTIFIC</t>
  </si>
  <si>
    <t>Inventario_Equipos_Carepa.xlsx · Carepa · fila 39</t>
  </si>
  <si>
    <t>EQP-CAR-0039</t>
  </si>
  <si>
    <t>REFRIGERADOR -20</t>
  </si>
  <si>
    <t>INDUSFRIAL</t>
  </si>
  <si>
    <t>J15CDC3VN</t>
  </si>
  <si>
    <t>027722</t>
  </si>
  <si>
    <t>162232</t>
  </si>
  <si>
    <t>Inventario_Equipos_Carepa.xlsx · Carepa · fila 40</t>
  </si>
  <si>
    <t>EQP-CAR-0040</t>
  </si>
  <si>
    <t>CONGELADOR</t>
  </si>
  <si>
    <t>ECOFRIAL</t>
  </si>
  <si>
    <t>ICC-150</t>
  </si>
  <si>
    <t>027713</t>
  </si>
  <si>
    <t>162429</t>
  </si>
  <si>
    <t>Inventario_Equipos_Carepa.xlsx · Carepa · fila 41</t>
  </si>
  <si>
    <t>EQP-CAR-0041</t>
  </si>
  <si>
    <t>PLANCHA DE CALENTAMIENTO Y AGITACION</t>
  </si>
  <si>
    <t>SI ANALYTICS</t>
  </si>
  <si>
    <t>SLHS-110</t>
  </si>
  <si>
    <t>869543</t>
  </si>
  <si>
    <t>027777</t>
  </si>
  <si>
    <t>153451</t>
  </si>
  <si>
    <t>Inventario_Equipos_Carepa.xlsx · Carepa · fila 42</t>
  </si>
  <si>
    <t>EQP-CAR-0042</t>
  </si>
  <si>
    <t>869547</t>
  </si>
  <si>
    <t>153455</t>
  </si>
  <si>
    <t>Inventario_Equipos_Carepa.xlsx · Carepa · fila 43</t>
  </si>
  <si>
    <t>EQP-CAR-0043</t>
  </si>
  <si>
    <t>869545</t>
  </si>
  <si>
    <t>027879</t>
  </si>
  <si>
    <t>153453</t>
  </si>
  <si>
    <t>Inventario_Equipos_Carepa.xlsx · Carepa · fila 44</t>
  </si>
  <si>
    <t>EQP-CAR-0044</t>
  </si>
  <si>
    <t>869546</t>
  </si>
  <si>
    <t>027880</t>
  </si>
  <si>
    <t>153454</t>
  </si>
  <si>
    <t>Inventario_Equipos_Carepa.xlsx · Carepa · fila 45</t>
  </si>
  <si>
    <t>EQP-CAR-0045</t>
  </si>
  <si>
    <t>Serie repetida en otra fila: 20140915208</t>
  </si>
  <si>
    <t>BENCHMARK</t>
  </si>
  <si>
    <t>H400HS</t>
  </si>
  <si>
    <t>20140915208</t>
  </si>
  <si>
    <t>036180</t>
  </si>
  <si>
    <t>162426</t>
  </si>
  <si>
    <t>Inventario_Equipos_Carepa.xlsx · Carepa · fila 46</t>
  </si>
  <si>
    <t>EQP-CAR-0046</t>
  </si>
  <si>
    <t>027194</t>
  </si>
  <si>
    <t>162587</t>
  </si>
  <si>
    <t>Inventario_Equipos_Carepa.xlsx · Carepa · fila 47</t>
  </si>
  <si>
    <t>EQP-CAR-0047</t>
  </si>
  <si>
    <t>20140915178</t>
  </si>
  <si>
    <t>027196</t>
  </si>
  <si>
    <t>162588</t>
  </si>
  <si>
    <t>Inventario_Equipos_Carepa.xlsx · Carepa · fila 48</t>
  </si>
  <si>
    <t>EQP-CAR-0048</t>
  </si>
  <si>
    <t>20150311156</t>
  </si>
  <si>
    <t>036177</t>
  </si>
  <si>
    <t>162430</t>
  </si>
  <si>
    <t>Inventario_Equipos_Carepa.xlsx · Carepa · fila 49</t>
  </si>
  <si>
    <t>EQP-CAR-0049</t>
  </si>
  <si>
    <t>VELP SCIENTIFICA</t>
  </si>
  <si>
    <t>AREC HEATING MAGNETIC STIRRER</t>
  </si>
  <si>
    <t>338374</t>
  </si>
  <si>
    <t>027729</t>
  </si>
  <si>
    <t>162238</t>
  </si>
  <si>
    <t>Inventario_Equipos_Carepa.xlsx · Carepa · fila 50</t>
  </si>
  <si>
    <t>EQP-CAR-0050</t>
  </si>
  <si>
    <t>351121</t>
  </si>
  <si>
    <t>027730</t>
  </si>
  <si>
    <t>162240</t>
  </si>
  <si>
    <t>Inventario_Equipos_Carepa.xlsx · Carepa · fila 51</t>
  </si>
  <si>
    <t>EQP-CAR-0051</t>
  </si>
  <si>
    <t>MICROONDAS</t>
  </si>
  <si>
    <t>LG</t>
  </si>
  <si>
    <t>MH1443XAR /00</t>
  </si>
  <si>
    <t>312TAVV1R658</t>
  </si>
  <si>
    <t>036227</t>
  </si>
  <si>
    <t>Inventario_Equipos_Carepa.xlsx · Carepa · fila 52</t>
  </si>
  <si>
    <t>EQP-CAR-0052</t>
  </si>
  <si>
    <t>FUENTE DE ALIMENTACION REGULADA</t>
  </si>
  <si>
    <t>ATTEN</t>
  </si>
  <si>
    <t>TPR3005T</t>
  </si>
  <si>
    <t>SEC-UR-CAR201</t>
  </si>
  <si>
    <t>Inventario_Equipos_Carepa.xlsx · Carepa · fila 53</t>
  </si>
  <si>
    <t>EQP-CAR-0053</t>
  </si>
  <si>
    <t>SEC-UR-CAR202</t>
  </si>
  <si>
    <t>Inventario_Equipos_Carepa.xlsx · Carepa · fila 54</t>
  </si>
  <si>
    <t>EQP-CAR-0054</t>
  </si>
  <si>
    <t>SEC-UR-CAR203</t>
  </si>
  <si>
    <t>Inventario_Equipos_Carepa.xlsx · Carepa · fila 55</t>
  </si>
  <si>
    <t>EQP-CAR-0055</t>
  </si>
  <si>
    <t>OSCILOSCOPIO DE ALMACENACENAMIENTO DIGITAL</t>
  </si>
  <si>
    <t>UNI-T</t>
  </si>
  <si>
    <t>UTD2102CEX</t>
  </si>
  <si>
    <t>2130007649</t>
  </si>
  <si>
    <t>027815</t>
  </si>
  <si>
    <t>154488</t>
  </si>
  <si>
    <t>Inventario_Equipos_Carepa.xlsx · Carepa · fila 56</t>
  </si>
  <si>
    <t>EQP-CAR-0056</t>
  </si>
  <si>
    <t>2130007645</t>
  </si>
  <si>
    <t>027816</t>
  </si>
  <si>
    <t>154489</t>
  </si>
  <si>
    <t>Inventario_Equipos_Carepa.xlsx · Carepa · fila 57</t>
  </si>
  <si>
    <t>EQP-CAR-0057</t>
  </si>
  <si>
    <t>UNIT</t>
  </si>
  <si>
    <t>2130007648</t>
  </si>
  <si>
    <t>027817</t>
  </si>
  <si>
    <t>154490</t>
  </si>
  <si>
    <t>Inventario_Equipos_Carepa.xlsx · Carepa · fila 58</t>
  </si>
  <si>
    <t>EQP-CAR-0058</t>
  </si>
  <si>
    <t>BAÑO DE MARIA</t>
  </si>
  <si>
    <t>LABTECH</t>
  </si>
  <si>
    <t>LWB-122D</t>
  </si>
  <si>
    <t>2021070507</t>
  </si>
  <si>
    <t>189320</t>
  </si>
  <si>
    <t>Inventario_Equipos_Carepa.xlsx · Carepa · fila 59</t>
  </si>
  <si>
    <t>EQP-CAR-0059</t>
  </si>
  <si>
    <t>LAUDA</t>
  </si>
  <si>
    <t>AL12</t>
  </si>
  <si>
    <t>LCB472514-0001</t>
  </si>
  <si>
    <t>027771</t>
  </si>
  <si>
    <t>151471</t>
  </si>
  <si>
    <t>Inventario_Equipos_Carepa.xlsx · Carepa · fila 60</t>
  </si>
  <si>
    <t>EQP-CAR-0060</t>
  </si>
  <si>
    <t>VOLTIMETRO DIGITAL</t>
  </si>
  <si>
    <t>UT61</t>
  </si>
  <si>
    <t>H140374583</t>
  </si>
  <si>
    <t>Inventario_Equipos_Carepa.xlsx · Carepa · fila 61</t>
  </si>
  <si>
    <t>EQP-CAR-0061</t>
  </si>
  <si>
    <t>H140374548</t>
  </si>
  <si>
    <t>Inventario_Equipos_Carepa.xlsx · Carepa · fila 62</t>
  </si>
  <si>
    <t>EQP-CAR-0062</t>
  </si>
  <si>
    <t>H140374599</t>
  </si>
  <si>
    <t>Inventario_Equipos_Carepa.xlsx · Carepa · fila 63</t>
  </si>
  <si>
    <t>EQP-CAR-0063</t>
  </si>
  <si>
    <t>H140374597</t>
  </si>
  <si>
    <t>Inventario_Equipos_Carepa.xlsx · Carepa · fila 64</t>
  </si>
  <si>
    <t>EQP-CAR-0064</t>
  </si>
  <si>
    <t>GENERADOR DE FUNCIONES O DE ONDAS</t>
  </si>
  <si>
    <t>UTG9010C</t>
  </si>
  <si>
    <t>14004215</t>
  </si>
  <si>
    <t>027202</t>
  </si>
  <si>
    <t>154487</t>
  </si>
  <si>
    <t>Inventario_Equipos_Carepa.xlsx · Carepa · fila 65</t>
  </si>
  <si>
    <t>EQP-CAR-0065</t>
  </si>
  <si>
    <t>14004217</t>
  </si>
  <si>
    <t>027200</t>
  </si>
  <si>
    <t>154485</t>
  </si>
  <si>
    <t>Inventario_Equipos_Carepa.xlsx · Carepa · fila 66</t>
  </si>
  <si>
    <t>EQP-CAR-0066</t>
  </si>
  <si>
    <t>14004211</t>
  </si>
  <si>
    <t>027201</t>
  </si>
  <si>
    <t>154486</t>
  </si>
  <si>
    <t>Inventario_Equipos_Carepa.xlsx · Carepa · fila 67</t>
  </si>
  <si>
    <t>EQP-CAR-0067</t>
  </si>
  <si>
    <t>MICROSCOPIO BINOCULAR</t>
  </si>
  <si>
    <t>OLYMPUS</t>
  </si>
  <si>
    <t>CX31RBSFA</t>
  </si>
  <si>
    <t>002676</t>
  </si>
  <si>
    <t>158588</t>
  </si>
  <si>
    <t>Inventario_Equipos_Carepa.xlsx · Carepa · fila 68</t>
  </si>
  <si>
    <t>EQP-CAR-0068</t>
  </si>
  <si>
    <t>BASCULA DIGITAL</t>
  </si>
  <si>
    <t>ICM</t>
  </si>
  <si>
    <t>Inventario_Equipos_Carepa.xlsx · Carepa · fila 69</t>
  </si>
  <si>
    <t>EQP-CAR-0069</t>
  </si>
  <si>
    <t>BALANZA DE HUMEDAD</t>
  </si>
  <si>
    <t>SHIMADZU</t>
  </si>
  <si>
    <t>MOC63u</t>
  </si>
  <si>
    <t>D209405692</t>
  </si>
  <si>
    <t>027725</t>
  </si>
  <si>
    <t>Inventario_Equipos_Carepa.xlsx · Carepa · fila 70</t>
  </si>
  <si>
    <t>EQP-CAR-0070</t>
  </si>
  <si>
    <t>Serie repetida en otra fila: 500520</t>
  </si>
  <si>
    <t>BALANZA ANALITICA</t>
  </si>
  <si>
    <t>PRECISA</t>
  </si>
  <si>
    <t>XB220A</t>
  </si>
  <si>
    <t>500520</t>
  </si>
  <si>
    <t>027778</t>
  </si>
  <si>
    <t>152405</t>
  </si>
  <si>
    <t>Inventario_Equipos_Carepa.xlsx · Carepa · fila 71</t>
  </si>
  <si>
    <t>EQP-CAR-0071</t>
  </si>
  <si>
    <t>Préstamo o envío a Apartadó: registrar el traslado; Serie repetida en otra fila: 500520</t>
  </si>
  <si>
    <t>027224</t>
  </si>
  <si>
    <t>152406</t>
  </si>
  <si>
    <t>Ubicación original: APARTADO</t>
  </si>
  <si>
    <t>Inventario_Equipos_Carepa.xlsx · Carepa · fila 72</t>
  </si>
  <si>
    <t>EQP-CAR-0072</t>
  </si>
  <si>
    <t>CENTRIFUGA</t>
  </si>
  <si>
    <t>HETTICH</t>
  </si>
  <si>
    <t>EBA 20</t>
  </si>
  <si>
    <t>11933-07</t>
  </si>
  <si>
    <t>027770</t>
  </si>
  <si>
    <t>151167</t>
  </si>
  <si>
    <t>Inventario_Equipos_Carepa.xlsx · Carepa · fila 73</t>
  </si>
  <si>
    <t>EQP-CAR-0073</t>
  </si>
  <si>
    <t>DESTILADOR DE AGUA</t>
  </si>
  <si>
    <t>CENTRO DE INSTRUMENTOS UDEA</t>
  </si>
  <si>
    <t>EWD-911</t>
  </si>
  <si>
    <t>027765</t>
  </si>
  <si>
    <t>158272</t>
  </si>
  <si>
    <t>Inventario_Equipos_Carepa.xlsx · Carepa · fila 74</t>
  </si>
  <si>
    <t>EQP-CAR-0074</t>
  </si>
  <si>
    <t>KIT PORTATIL DE MECANICA AMARILLA</t>
  </si>
  <si>
    <t>CIENCO</t>
  </si>
  <si>
    <t>036295</t>
  </si>
  <si>
    <t>155645</t>
  </si>
  <si>
    <t>Inventario_Equipos_Carepa.xlsx · Carepa · fila 75</t>
  </si>
  <si>
    <t>EQP-CAR-0075</t>
  </si>
  <si>
    <t>036293</t>
  </si>
  <si>
    <t>155643</t>
  </si>
  <si>
    <t>Inventario_Equipos_Carepa.xlsx · Carepa · fila 76</t>
  </si>
  <si>
    <t>EQP-CAR-0076</t>
  </si>
  <si>
    <t>036294</t>
  </si>
  <si>
    <t>155644</t>
  </si>
  <si>
    <t>Inventario_Equipos_Carepa.xlsx · Carepa · fila 77</t>
  </si>
  <si>
    <t>EQP-CAR-0077</t>
  </si>
  <si>
    <t>EQUIPO DE METROLOGIA MALETA PLATIADA</t>
  </si>
  <si>
    <t>036303</t>
  </si>
  <si>
    <t>155638</t>
  </si>
  <si>
    <t>Inventario_Equipos_Carepa.xlsx · Carepa · fila 78</t>
  </si>
  <si>
    <t>EQP-CAR-0078</t>
  </si>
  <si>
    <t>036302</t>
  </si>
  <si>
    <t>155637</t>
  </si>
  <si>
    <t>Inventario_Equipos_Carepa.xlsx · Carepa · fila 79</t>
  </si>
  <si>
    <t>EQP-CAR-0079</t>
  </si>
  <si>
    <t>036304</t>
  </si>
  <si>
    <t>155639</t>
  </si>
  <si>
    <t>Inventario_Equipos_Carepa.xlsx · Carepa · fila 80</t>
  </si>
  <si>
    <t>EQP-CAR-0080</t>
  </si>
  <si>
    <t>TABLEROS ELETRONICOS</t>
  </si>
  <si>
    <t>155649</t>
  </si>
  <si>
    <t>Inventario_Equipos_Carepa.xlsx · Carepa · fila 81</t>
  </si>
  <si>
    <t>EQP-CAR-0081</t>
  </si>
  <si>
    <t>155650</t>
  </si>
  <si>
    <t>Inventario_Equipos_Carepa.xlsx · Carepa · fila 82</t>
  </si>
  <si>
    <t>EQP-CAR-0082</t>
  </si>
  <si>
    <t>155651</t>
  </si>
  <si>
    <t>Inventario_Equipos_Carepa.xlsx · Carepa · fila 83</t>
  </si>
  <si>
    <t>EQP-CAR-0083</t>
  </si>
  <si>
    <t>HORNO CONVENCIONAL 300° C</t>
  </si>
  <si>
    <t>13-16178</t>
  </si>
  <si>
    <t>027767</t>
  </si>
  <si>
    <t>152407</t>
  </si>
  <si>
    <t>Inventario_Equipos_Carepa.xlsx · Carepa · fila 84</t>
  </si>
  <si>
    <t>EQP-CAR-0084</t>
  </si>
  <si>
    <t>HORNO</t>
  </si>
  <si>
    <t>HERATHERM</t>
  </si>
  <si>
    <t>41818757</t>
  </si>
  <si>
    <t>027721</t>
  </si>
  <si>
    <t>158868</t>
  </si>
  <si>
    <t>Inventario_Equipos_Carepa.xlsx · Carepa · fila 85</t>
  </si>
  <si>
    <t>EQP-CAR-0085</t>
  </si>
  <si>
    <t>41818755</t>
  </si>
  <si>
    <t>027720</t>
  </si>
  <si>
    <t>158867</t>
  </si>
  <si>
    <t>Inventario_Equipos_Carepa.xlsx · Carepa · fila 86</t>
  </si>
  <si>
    <t>EQP-CAR-0086</t>
  </si>
  <si>
    <t>PHMETRO DIGITAL</t>
  </si>
  <si>
    <t>HANNA</t>
  </si>
  <si>
    <t>HI 5522</t>
  </si>
  <si>
    <t>027229</t>
  </si>
  <si>
    <t>163293</t>
  </si>
  <si>
    <t>Inventario_Equipos_Carepa.xlsx · Carepa · fila 87</t>
  </si>
  <si>
    <t>EQP-CAR-0087</t>
  </si>
  <si>
    <t>MAGNETOS</t>
  </si>
  <si>
    <t>N Y S</t>
  </si>
  <si>
    <t>158702</t>
  </si>
  <si>
    <t>Inventario_Equipos_Carepa.xlsx · Carepa · fila 88</t>
  </si>
  <si>
    <t>EQP-CAR-0088</t>
  </si>
  <si>
    <t>150703</t>
  </si>
  <si>
    <t>Inventario_Equipos_Carepa.xlsx · Carepa · fila 89</t>
  </si>
  <si>
    <t>EQP-CAR-0089</t>
  </si>
  <si>
    <t>150704</t>
  </si>
  <si>
    <t>Inventario_Equipos_Carepa.xlsx · Carepa · fila 90</t>
  </si>
  <si>
    <t>EQP-CAR-0090</t>
  </si>
  <si>
    <t>JUEGO DE PESAS</t>
  </si>
  <si>
    <t>036296</t>
  </si>
  <si>
    <t>155634</t>
  </si>
  <si>
    <t>Inventario_Equipos_Carepa.xlsx · Carepa · fila 91</t>
  </si>
  <si>
    <t>EQP-CAR-0091</t>
  </si>
  <si>
    <t>Préstamo o envío a Turbo: registrar el traslado</t>
  </si>
  <si>
    <t>036297</t>
  </si>
  <si>
    <t>155635</t>
  </si>
  <si>
    <t>Ubicación original: TURBO</t>
  </si>
  <si>
    <t>Inventario_Equipos_Carepa.xlsx · Carepa · fila 92</t>
  </si>
  <si>
    <t>EQP-CAR-0092</t>
  </si>
  <si>
    <t>036298</t>
  </si>
  <si>
    <t>155636</t>
  </si>
  <si>
    <t>Inventario_Equipos_Carepa.xlsx · Carepa · fila 93</t>
  </si>
  <si>
    <t>EQP-CAR-0093</t>
  </si>
  <si>
    <t>EQUIPO DE OPTICA</t>
  </si>
  <si>
    <t>Laboratorio cienco</t>
  </si>
  <si>
    <t>036299</t>
  </si>
  <si>
    <t>155646</t>
  </si>
  <si>
    <t>Inventario_Equipos_Carepa.xlsx · Carepa · fila 94</t>
  </si>
  <si>
    <t>EQP-CAR-0094</t>
  </si>
  <si>
    <t>036300</t>
  </si>
  <si>
    <t>155647</t>
  </si>
  <si>
    <t>Inventario_Equipos_Carepa.xlsx · Carepa · fila 95</t>
  </si>
  <si>
    <t>EQP-CAR-0095</t>
  </si>
  <si>
    <t>036301</t>
  </si>
  <si>
    <t>155648</t>
  </si>
  <si>
    <t>Inventario_Equipos_Carepa.xlsx · Carepa · fila 96</t>
  </si>
  <si>
    <t>EQP-CAR-0096</t>
  </si>
  <si>
    <t>BALANZA DE PENDULO</t>
  </si>
  <si>
    <t>CHOKIN</t>
  </si>
  <si>
    <t>027821</t>
  </si>
  <si>
    <t>162339</t>
  </si>
  <si>
    <t>Inventario_Equipos_Carepa.xlsx · Carepa · fila 97</t>
  </si>
  <si>
    <t>EQP-CAR-0097</t>
  </si>
  <si>
    <t>027822</t>
  </si>
  <si>
    <t>162340</t>
  </si>
  <si>
    <t>Inventario_Equipos_Carepa.xlsx · Carepa · fila 98</t>
  </si>
  <si>
    <t>EQP-CAR-0098</t>
  </si>
  <si>
    <t>027820</t>
  </si>
  <si>
    <t>162338</t>
  </si>
  <si>
    <t>Inventario_Equipos_Carepa.xlsx · Carepa · fila 99</t>
  </si>
  <si>
    <t>EQP-CAR-0099</t>
  </si>
  <si>
    <t>JUEGO DE LENTES CONVERGENTE</t>
  </si>
  <si>
    <t>036307</t>
  </si>
  <si>
    <t>162346</t>
  </si>
  <si>
    <t>Inventario_Equipos_Carepa.xlsx · Carepa · fila 100</t>
  </si>
  <si>
    <t>EQP-CAR-0100</t>
  </si>
  <si>
    <t>036305</t>
  </si>
  <si>
    <t>162344</t>
  </si>
  <si>
    <t>Inventario_Equipos_Carepa.xlsx · Carepa · fila 101</t>
  </si>
  <si>
    <t>EQP-CAR-0101</t>
  </si>
  <si>
    <t>036306</t>
  </si>
  <si>
    <t>162345</t>
  </si>
  <si>
    <t>Inventario_Equipos_Carepa.xlsx · Carepa · fila 102</t>
  </si>
  <si>
    <t>EQP-CAR-0102</t>
  </si>
  <si>
    <t>REOSTATO 600AMP</t>
  </si>
  <si>
    <t>RHEOSTAT</t>
  </si>
  <si>
    <t>9 UNIDADES</t>
  </si>
  <si>
    <t>Inventario_Equipos_Carepa.xlsx · Carepa · fila 103</t>
  </si>
  <si>
    <t>EQP-CAR-0103</t>
  </si>
  <si>
    <t>BALANZA DE BRAZO</t>
  </si>
  <si>
    <t>OHAUS</t>
  </si>
  <si>
    <t>D568,90S</t>
  </si>
  <si>
    <t>05,08,2014</t>
  </si>
  <si>
    <t>027188</t>
  </si>
  <si>
    <t>160714</t>
  </si>
  <si>
    <t>Inventario_Equipos_Carepa.xlsx · Carepa · fila 104</t>
  </si>
  <si>
    <t>EQP-CAR-0104</t>
  </si>
  <si>
    <t>DOS DESECADORES</t>
  </si>
  <si>
    <t>BRAUM</t>
  </si>
  <si>
    <t>Inventario_Equipos_Carepa.xlsx · Carepa · fila 105</t>
  </si>
  <si>
    <t>EQP-CAR-0105</t>
  </si>
  <si>
    <t>MICROPIPETA 0.5-10UI</t>
  </si>
  <si>
    <t>BRAND</t>
  </si>
  <si>
    <t>704770</t>
  </si>
  <si>
    <t>18j10136</t>
  </si>
  <si>
    <t>Inventario_Equipos_Carepa.xlsx · Carepa · fila 106</t>
  </si>
  <si>
    <t>EQP-CAR-0106</t>
  </si>
  <si>
    <t>18j09406</t>
  </si>
  <si>
    <t>Inventario_Equipos_Carepa.xlsx · Carepa · fila 107</t>
  </si>
  <si>
    <t>EQP-CAR-0107</t>
  </si>
  <si>
    <t>18h94057</t>
  </si>
  <si>
    <t>Inventario_Equipos_Carepa.xlsx · Carepa · fila 108</t>
  </si>
  <si>
    <t>EQP-CAR-0108</t>
  </si>
  <si>
    <t>18h9459</t>
  </si>
  <si>
    <t>Inventario_Equipos_Carepa.xlsx · Carepa · fila 109</t>
  </si>
  <si>
    <t>EQP-CAR-0109</t>
  </si>
  <si>
    <t>MICROPIPETA 10-100UI</t>
  </si>
  <si>
    <t>704774</t>
  </si>
  <si>
    <t>17K15651</t>
  </si>
  <si>
    <t>Inventario_Equipos_Carepa.xlsx · Carepa · fila 110</t>
  </si>
  <si>
    <t>EQP-CAR-0110</t>
  </si>
  <si>
    <t>17K15652</t>
  </si>
  <si>
    <t>Inventario_Equipos_Carepa.xlsx · Carepa · fila 111</t>
  </si>
  <si>
    <t>EQP-CAR-0111</t>
  </si>
  <si>
    <t>17K15653</t>
  </si>
  <si>
    <t>Inventario_Equipos_Carepa.xlsx · Carepa · fila 112</t>
  </si>
  <si>
    <t>EQP-CAR-0112</t>
  </si>
  <si>
    <t>MICROPIPETA 100-1000UI</t>
  </si>
  <si>
    <t>704780</t>
  </si>
  <si>
    <t>17K17701</t>
  </si>
  <si>
    <t>Inventario_Equipos_Carepa.xlsx · Carepa · fila 113</t>
  </si>
  <si>
    <t>EQP-CAR-0113</t>
  </si>
  <si>
    <t>17K17702</t>
  </si>
  <si>
    <t>Inventario_Equipos_Carepa.xlsx · Carepa · fila 114</t>
  </si>
  <si>
    <t>EQP-CAR-0114</t>
  </si>
  <si>
    <t>17K17699</t>
  </si>
  <si>
    <t>Inventario_Equipos_Carepa.xlsx · Carepa · fila 115</t>
  </si>
  <si>
    <t>EQP-CAR-0115</t>
  </si>
  <si>
    <t>Préstamo o envío a Apartadó: registrar el traslado</t>
  </si>
  <si>
    <t>MICROPIPETA 500-5000UI</t>
  </si>
  <si>
    <t>704782</t>
  </si>
  <si>
    <t>18E3365</t>
  </si>
  <si>
    <t>Inventario_Equipos_Carepa.xlsx · Carepa · fila 116</t>
  </si>
  <si>
    <t>EQP-CAR-0116</t>
  </si>
  <si>
    <t>LIENZA</t>
  </si>
  <si>
    <t>UYUSTOOL</t>
  </si>
  <si>
    <t>HUV030</t>
  </si>
  <si>
    <t>3 UNIDADES</t>
  </si>
  <si>
    <t>Inventario_Equipos_Carepa.xlsx · Carepa · fila 117</t>
  </si>
  <si>
    <t>EQP-CAR-0117</t>
  </si>
  <si>
    <t>BOMBA DE VACIO</t>
  </si>
  <si>
    <t>GAST</t>
  </si>
  <si>
    <t>DA-P704AA</t>
  </si>
  <si>
    <t>036185</t>
  </si>
  <si>
    <t>159798</t>
  </si>
  <si>
    <t>Inventario_Equipos_Carepa.xlsx · Carepa · fila 118</t>
  </si>
  <si>
    <t>EQP-CAR-0118</t>
  </si>
  <si>
    <t>WELCH</t>
  </si>
  <si>
    <t>2534B -01 A</t>
  </si>
  <si>
    <t>E22827</t>
  </si>
  <si>
    <t>027727</t>
  </si>
  <si>
    <t>158585</t>
  </si>
  <si>
    <t>Inventario_Equipos_Carepa.xlsx · Carepa · fila 119</t>
  </si>
  <si>
    <t>EQP-CAR-0119</t>
  </si>
  <si>
    <t>ROTAVAPORADOR</t>
  </si>
  <si>
    <t>BUCHI</t>
  </si>
  <si>
    <t>ROTAVAPOR R-100</t>
  </si>
  <si>
    <t>110011270</t>
  </si>
  <si>
    <t>193004</t>
  </si>
  <si>
    <t>Inventario_Equipos_Carepa.xlsx · Carepa · fila 120</t>
  </si>
  <si>
    <t>EQP-CAR-0120</t>
  </si>
  <si>
    <t>CROMATOGRAFO DE GASES Y MASAS</t>
  </si>
  <si>
    <t>AGILENT</t>
  </si>
  <si>
    <t>8890 GC SYSTEM</t>
  </si>
  <si>
    <t>US2003A002</t>
  </si>
  <si>
    <t>203841</t>
  </si>
  <si>
    <t>Inventario_Equipos_Carepa.xlsx · Carepa · fila 121</t>
  </si>
  <si>
    <t>EQP-CAR-0121</t>
  </si>
  <si>
    <t>DESHUMIFICADOR</t>
  </si>
  <si>
    <t>KEYSTONE</t>
  </si>
  <si>
    <t>KSTAD506PE</t>
  </si>
  <si>
    <t>340D2814303171402N0040</t>
  </si>
  <si>
    <t>206220</t>
  </si>
  <si>
    <t>Inventario_Equipos_Carepa.xlsx · Carepa · fila 122</t>
  </si>
  <si>
    <t>EQP-CAR-0122</t>
  </si>
  <si>
    <t>MUFLA</t>
  </si>
  <si>
    <t>DLABTECH</t>
  </si>
  <si>
    <t>LeF -105s-2</t>
  </si>
  <si>
    <t>2014112709</t>
  </si>
  <si>
    <t>001206</t>
  </si>
  <si>
    <t>159796</t>
  </si>
  <si>
    <t>Inventario_Equipos_Carepa.xlsx · Carepa · fila 123</t>
  </si>
  <si>
    <t>EQP-CAR-0123</t>
  </si>
  <si>
    <t>ESPECTROFOTOMETRO</t>
  </si>
  <si>
    <t>G10S UV-Vis</t>
  </si>
  <si>
    <t>2L5T26¿7214</t>
  </si>
  <si>
    <t>001207</t>
  </si>
  <si>
    <t>162242</t>
  </si>
  <si>
    <t>Inventario_Equipos_Carepa.xlsx · Carepa · fila 124</t>
  </si>
  <si>
    <t>EQP-CAR-0124</t>
  </si>
  <si>
    <t>GENESIS 50</t>
  </si>
  <si>
    <t>9A3Z239013</t>
  </si>
  <si>
    <t>189315</t>
  </si>
  <si>
    <t>Inventario_Equipos_Carepa.xlsx · Carepa · fila 125</t>
  </si>
  <si>
    <t>EQP-CAR-0125</t>
  </si>
  <si>
    <t>VORTEX</t>
  </si>
  <si>
    <t>MX-S</t>
  </si>
  <si>
    <t>VB216N0024025</t>
  </si>
  <si>
    <t>189322</t>
  </si>
  <si>
    <t>Inventario_Equipos_Carepa.xlsx · Carepa · fila 126</t>
  </si>
  <si>
    <t>EQP-CAR-0126</t>
  </si>
  <si>
    <t>CABINA DE EXTRACCION</t>
  </si>
  <si>
    <t>ESCO</t>
  </si>
  <si>
    <t>EFQ-4UDCVW-9</t>
  </si>
  <si>
    <t>2021-169833</t>
  </si>
  <si>
    <t>189314</t>
  </si>
  <si>
    <t>Inventario_Equipos_Carepa.xlsx · Carepa · fila 127</t>
  </si>
  <si>
    <t>EQP-CAR-0127</t>
  </si>
  <si>
    <t>Molino</t>
  </si>
  <si>
    <t>CORONA</t>
  </si>
  <si>
    <t>DONACION DE ESTUDIANTES</t>
  </si>
  <si>
    <t>Inventario_Equipos_Carepa.xlsx · Carepa · fila 128</t>
  </si>
  <si>
    <t>EQP-CAR-0128</t>
  </si>
  <si>
    <t>Pica todo</t>
  </si>
  <si>
    <t>Inventario_Equipos_Carepa.xlsx · Carepa · fila 129</t>
  </si>
  <si>
    <t>EQP-CAR-0129</t>
  </si>
  <si>
    <t>CINTA METRICA 30 METROS</t>
  </si>
  <si>
    <t>FORTE</t>
  </si>
  <si>
    <t>Inventario_Equipos_Carepa.xlsx · Carepa · fila 130</t>
  </si>
  <si>
    <t>EQP-CAR-0130</t>
  </si>
  <si>
    <t>EUROMEX</t>
  </si>
  <si>
    <t>EDUBLUE</t>
  </si>
  <si>
    <t>CE2211732</t>
  </si>
  <si>
    <t>204419</t>
  </si>
  <si>
    <t>Inventario_Equipos_Carepa.xlsx · Carepa · fila 131</t>
  </si>
  <si>
    <t>EQP-CAR-0131</t>
  </si>
  <si>
    <t>CX23LEDRFS1</t>
  </si>
  <si>
    <t>3F82589</t>
  </si>
  <si>
    <t>209281</t>
  </si>
  <si>
    <t>Inventario_Equipos_Carepa.xlsx · Carepa · fila 132</t>
  </si>
  <si>
    <t>EQP-CAR-0132</t>
  </si>
  <si>
    <t>3F82590</t>
  </si>
  <si>
    <t>209283</t>
  </si>
  <si>
    <t>Inventario_Equipos_Carepa.xlsx · Carepa · fila 133</t>
  </si>
  <si>
    <t>EQP-CAR-0133</t>
  </si>
  <si>
    <t>3F82584</t>
  </si>
  <si>
    <t>209284</t>
  </si>
  <si>
    <t>Inventario_Equipos_Carepa.xlsx · Carepa · fila 134</t>
  </si>
  <si>
    <t>EQP-CAR-0134</t>
  </si>
  <si>
    <t>3F82593</t>
  </si>
  <si>
    <t>209282</t>
  </si>
  <si>
    <t>Inventario_Equipos_Carepa.xlsx · Carepa · fila 135</t>
  </si>
  <si>
    <t>EQP-CAR-0135</t>
  </si>
  <si>
    <t>ISCOPER</t>
  </si>
  <si>
    <t>110-240v/50-60hz</t>
  </si>
  <si>
    <t>204311</t>
  </si>
  <si>
    <t>Inventario_Equipos_Carepa.xlsx · Carepa · fila 136</t>
  </si>
  <si>
    <t>EQP-CAR-0136</t>
  </si>
  <si>
    <t>NEVERA 470L</t>
  </si>
  <si>
    <t>CHALLENGER</t>
  </si>
  <si>
    <t>CR-470</t>
  </si>
  <si>
    <t>240408-02683</t>
  </si>
  <si>
    <t>209297</t>
  </si>
  <si>
    <t>Inventario_Equipos_Carepa.xlsx · Carepa · fila 137</t>
  </si>
  <si>
    <t>EQP-CAR-0137</t>
  </si>
  <si>
    <t>NEVERA 394L</t>
  </si>
  <si>
    <t>MABE</t>
  </si>
  <si>
    <t>RMP400FLCG1</t>
  </si>
  <si>
    <t>207468</t>
  </si>
  <si>
    <t>Inventario_Equipos_Carepa.xlsx · Carepa · fila 138</t>
  </si>
  <si>
    <t>EQP-CAR-0138</t>
  </si>
  <si>
    <t>Micropipeta 1000UL</t>
  </si>
  <si>
    <t>SARTORIUS</t>
  </si>
  <si>
    <t>44386326</t>
  </si>
  <si>
    <t>195745</t>
  </si>
  <si>
    <t>Inventario_Equipos_Carepa.xlsx · Carepa · fila 139</t>
  </si>
  <si>
    <t>EQP-CAR-0139</t>
  </si>
  <si>
    <t>Micropipeta 5000UL</t>
  </si>
  <si>
    <t>44385960</t>
  </si>
  <si>
    <t>195746</t>
  </si>
  <si>
    <t>Inventario_Equipos_Carepa.xlsx · Carepa · fila 140</t>
  </si>
  <si>
    <t>EQP-CAR-0140</t>
  </si>
  <si>
    <t>Micropipeta 10000UL</t>
  </si>
  <si>
    <t>44283128</t>
  </si>
  <si>
    <t>195747</t>
  </si>
  <si>
    <t>Inventario_Equipos_Carepa.xlsx · Carepa · fila 141</t>
  </si>
  <si>
    <t>EQP-CAR-0141</t>
  </si>
  <si>
    <t>Sin salón o laboratorio</t>
  </si>
  <si>
    <t>Balanza de precision</t>
  </si>
  <si>
    <t>214374</t>
  </si>
  <si>
    <t>Inventario_Equipos_Carepa.xlsx · Carepa · fila 142</t>
  </si>
  <si>
    <t>EQP-CAR-0142</t>
  </si>
  <si>
    <t>Agitador Magnetico</t>
  </si>
  <si>
    <t>214375</t>
  </si>
  <si>
    <t>Inventario_Equipos_Carepa.xlsx · Carepa · fila 143</t>
  </si>
  <si>
    <t>EQP-CAR-0143</t>
  </si>
  <si>
    <t>214376</t>
  </si>
  <si>
    <t>Inventario_Equipos_Carepa.xlsx · Carepa · fila 144</t>
  </si>
  <si>
    <t>EQP-CAR-0144</t>
  </si>
  <si>
    <t>Congelador Vertical 1001</t>
  </si>
  <si>
    <t>214377</t>
  </si>
  <si>
    <t>Inventario_Equipos_Carepa.xlsx · Carepa · fila 145</t>
  </si>
  <si>
    <t>EQP-CAR-0145</t>
  </si>
  <si>
    <t>Kit Probador de Ph</t>
  </si>
  <si>
    <t>196437</t>
  </si>
  <si>
    <t>Inventario_Equipos_Carepa.xlsx · Carepa · fila 146</t>
  </si>
  <si>
    <t>EQP-CAR-0146</t>
  </si>
  <si>
    <t>EQP-CAR-0147</t>
  </si>
  <si>
    <t>EQP-CAR-0148</t>
  </si>
  <si>
    <t>EQP-CAR-0149</t>
  </si>
  <si>
    <t>EQP-CAR-0150</t>
  </si>
  <si>
    <t>EQP-CAR-0151</t>
  </si>
  <si>
    <t>EQP-CAR-0152</t>
  </si>
  <si>
    <t>EQP-CAR-0153</t>
  </si>
  <si>
    <t>EQP-CAR-0154</t>
  </si>
  <si>
    <t>EQP-CAR-0155</t>
  </si>
  <si>
    <t>EQP-CAR-0156</t>
  </si>
  <si>
    <t>EQP-CAR-0157</t>
  </si>
  <si>
    <t>EQP-CAR-0158</t>
  </si>
  <si>
    <t>EQP-CAR-0159</t>
  </si>
  <si>
    <t>EQP-CAR-0160</t>
  </si>
  <si>
    <t>EQP-CAR-0161</t>
  </si>
  <si>
    <t>EQP-CAR-0162</t>
  </si>
  <si>
    <t>EQP-CAR-0163</t>
  </si>
  <si>
    <t>EQP-CAR-0164</t>
  </si>
  <si>
    <t>EQP-CAR-0165</t>
  </si>
  <si>
    <t>EQP-CAR-0166</t>
  </si>
  <si>
    <t>EQP-CAR-0167</t>
  </si>
  <si>
    <t>EQP-CAR-0168</t>
  </si>
  <si>
    <t>EQP-CAR-0169</t>
  </si>
  <si>
    <t>EQP-CAR-0170</t>
  </si>
  <si>
    <t>EQP-CAR-0171</t>
  </si>
  <si>
    <t>EQP-CAR-0172</t>
  </si>
  <si>
    <t>EQP-CAR-0173</t>
  </si>
  <si>
    <t>EQP-CAR-0174</t>
  </si>
  <si>
    <t>EQP-CAR-0175</t>
  </si>
  <si>
    <t>EQP-CAR-0176</t>
  </si>
  <si>
    <t>EQP-CAR-0177</t>
  </si>
  <si>
    <t>EQP-CAR-0178</t>
  </si>
  <si>
    <t>EQP-CAR-0179</t>
  </si>
  <si>
    <t>EQP-CAR-0180</t>
  </si>
  <si>
    <t>EQP-CAR-0181</t>
  </si>
  <si>
    <t>EQP-CAR-0182</t>
  </si>
  <si>
    <t>EQP-CAR-0183</t>
  </si>
  <si>
    <t>EQP-CAR-0184</t>
  </si>
  <si>
    <t>EQP-CAR-0185</t>
  </si>
  <si>
    <t>Ítem (p. ej. Beaker, Probeta, Pipeta aforada)</t>
  </si>
  <si>
    <t>Capacidad / especificación</t>
  </si>
  <si>
    <t>Cantidad buena</t>
  </si>
  <si>
    <t>Cantidad regular</t>
  </si>
  <si>
    <t>Cantidad dañada o dada de baja</t>
  </si>
  <si>
    <t>Rotas desde el conteo</t>
  </si>
  <si>
    <t>Útil hoy (buena + regular − rotas)</t>
  </si>
  <si>
    <t>VID-CAR-0001</t>
  </si>
  <si>
    <t>VID-CAR-0002</t>
  </si>
  <si>
    <t>VID-CAR-0003</t>
  </si>
  <si>
    <t>VID-CAR-0004</t>
  </si>
  <si>
    <t>VID-CAR-0005</t>
  </si>
  <si>
    <t>VID-CAR-0006</t>
  </si>
  <si>
    <t>VID-CAR-0007</t>
  </si>
  <si>
    <t>VID-CAR-0008</t>
  </si>
  <si>
    <t>VID-CAR-0009</t>
  </si>
  <si>
    <t>VID-CAR-0010</t>
  </si>
  <si>
    <t>VID-CAR-0011</t>
  </si>
  <si>
    <t>VID-CAR-0012</t>
  </si>
  <si>
    <t>VID-CAR-0013</t>
  </si>
  <si>
    <t>VID-CAR-0014</t>
  </si>
  <si>
    <t>VID-CAR-0015</t>
  </si>
  <si>
    <t>VID-CAR-0016</t>
  </si>
  <si>
    <t>VID-CAR-0017</t>
  </si>
  <si>
    <t>VID-CAR-0018</t>
  </si>
  <si>
    <t>VID-CAR-0019</t>
  </si>
  <si>
    <t>VID-CAR-0020</t>
  </si>
  <si>
    <t>VID-CAR-0021</t>
  </si>
  <si>
    <t>VID-CAR-0022</t>
  </si>
  <si>
    <t>VID-CAR-0023</t>
  </si>
  <si>
    <t>VID-CAR-0024</t>
  </si>
  <si>
    <t>VID-CAR-0025</t>
  </si>
  <si>
    <t>VID-CAR-0026</t>
  </si>
  <si>
    <t>VID-CAR-0027</t>
  </si>
  <si>
    <t>VID-CAR-0028</t>
  </si>
  <si>
    <t>VID-CAR-0029</t>
  </si>
  <si>
    <t>VID-CAR-0030</t>
  </si>
  <si>
    <t>VID-CAR-0031</t>
  </si>
  <si>
    <t>VID-CAR-0032</t>
  </si>
  <si>
    <t>VID-CAR-0033</t>
  </si>
  <si>
    <t>VID-CAR-0034</t>
  </si>
  <si>
    <t>VID-CAR-0035</t>
  </si>
  <si>
    <t>VID-CAR-0036</t>
  </si>
  <si>
    <t>VID-CAR-0037</t>
  </si>
  <si>
    <t>VID-CAR-0038</t>
  </si>
  <si>
    <t>VID-CAR-0039</t>
  </si>
  <si>
    <t>VID-CAR-0040</t>
  </si>
  <si>
    <t>VID-CAR-0041</t>
  </si>
  <si>
    <t>VID-CAR-0042</t>
  </si>
  <si>
    <t>VID-CAR-0043</t>
  </si>
  <si>
    <t>VID-CAR-0044</t>
  </si>
  <si>
    <t>VID-CAR-0045</t>
  </si>
  <si>
    <t>VID-CAR-0046</t>
  </si>
  <si>
    <t>VID-CAR-0047</t>
  </si>
  <si>
    <t>VID-CAR-0048</t>
  </si>
  <si>
    <t>VID-CAR-0049</t>
  </si>
  <si>
    <t>VID-CAR-0050</t>
  </si>
  <si>
    <t>VID-CAR-0051</t>
  </si>
  <si>
    <t>VID-CAR-0052</t>
  </si>
  <si>
    <t>VID-CAR-0053</t>
  </si>
  <si>
    <t>VID-CAR-0054</t>
  </si>
  <si>
    <t>VID-CAR-0055</t>
  </si>
  <si>
    <t>VID-CAR-0056</t>
  </si>
  <si>
    <t>VID-CAR-0057</t>
  </si>
  <si>
    <t>VID-CAR-0058</t>
  </si>
  <si>
    <t>VID-CAR-0059</t>
  </si>
  <si>
    <t>VID-CAR-0060</t>
  </si>
  <si>
    <t>VID-CAR-0061</t>
  </si>
  <si>
    <t>VID-CAR-0062</t>
  </si>
  <si>
    <t>VID-CAR-0063</t>
  </si>
  <si>
    <t>VID-CAR-0064</t>
  </si>
  <si>
    <t>VID-CAR-0065</t>
  </si>
  <si>
    <t>VID-CAR-0066</t>
  </si>
  <si>
    <t>VID-CAR-0067</t>
  </si>
  <si>
    <t>VID-CAR-0068</t>
  </si>
  <si>
    <t>VID-CAR-0069</t>
  </si>
  <si>
    <t>VID-CAR-0070</t>
  </si>
  <si>
    <t>VID-CAR-0071</t>
  </si>
  <si>
    <t>VID-CAR-0072</t>
  </si>
  <si>
    <t>VID-CAR-0073</t>
  </si>
  <si>
    <t>VID-CAR-0074</t>
  </si>
  <si>
    <t>VID-CAR-0075</t>
  </si>
  <si>
    <t>VID-CAR-0076</t>
  </si>
  <si>
    <t>VID-CAR-0077</t>
  </si>
  <si>
    <t>VID-CAR-0078</t>
  </si>
  <si>
    <t>VID-CAR-0079</t>
  </si>
  <si>
    <t>VID-CAR-0080</t>
  </si>
  <si>
    <t>VID-CAR-0081</t>
  </si>
  <si>
    <t>VID-CAR-0082</t>
  </si>
  <si>
    <t>VID-CAR-0083</t>
  </si>
  <si>
    <t>VID-CAR-0084</t>
  </si>
  <si>
    <t>VID-CAR-0085</t>
  </si>
  <si>
    <t>VID-CAR-0086</t>
  </si>
  <si>
    <t>VID-CAR-0087</t>
  </si>
  <si>
    <t>VID-CAR-0088</t>
  </si>
  <si>
    <t>VID-CAR-0089</t>
  </si>
  <si>
    <t>VID-CAR-0090</t>
  </si>
  <si>
    <t>VID-CAR-0091</t>
  </si>
  <si>
    <t>VID-CAR-0092</t>
  </si>
  <si>
    <t>VID-CAR-0093</t>
  </si>
  <si>
    <t>VID-CAR-0094</t>
  </si>
  <si>
    <t>VID-CAR-0095</t>
  </si>
  <si>
    <t>VID-CAR-0096</t>
  </si>
  <si>
    <t>VID-CAR-0097</t>
  </si>
  <si>
    <t>VID-CAR-0098</t>
  </si>
  <si>
    <t>VID-CAR-0099</t>
  </si>
  <si>
    <t>VID-CAR-0100</t>
  </si>
  <si>
    <t>VID-CAR-0101</t>
  </si>
  <si>
    <t>VID-CAR-0102</t>
  </si>
  <si>
    <t>VID-CAR-0103</t>
  </si>
  <si>
    <t>VID-CAR-0104</t>
  </si>
  <si>
    <t>VID-CAR-0105</t>
  </si>
  <si>
    <t>VID-CAR-0106</t>
  </si>
  <si>
    <t>VID-CAR-0107</t>
  </si>
  <si>
    <t>VID-CAR-0108</t>
  </si>
  <si>
    <t>VID-CAR-0109</t>
  </si>
  <si>
    <t>VID-CAR-0110</t>
  </si>
  <si>
    <t>VID-CAR-0111</t>
  </si>
  <si>
    <t>VID-CAR-0112</t>
  </si>
  <si>
    <t>VID-CAR-0113</t>
  </si>
  <si>
    <t>VID-CAR-0114</t>
  </si>
  <si>
    <t>VID-CAR-0115</t>
  </si>
  <si>
    <t>VID-CAR-0116</t>
  </si>
  <si>
    <t>VID-CAR-0117</t>
  </si>
  <si>
    <t>VID-CAR-0118</t>
  </si>
  <si>
    <t>VID-CAR-0119</t>
  </si>
  <si>
    <t>VID-CAR-0120</t>
  </si>
  <si>
    <t>VID-CAR-0121</t>
  </si>
  <si>
    <t>VID-CAR-0122</t>
  </si>
  <si>
    <t>VID-CAR-0123</t>
  </si>
  <si>
    <t>VID-CAR-0124</t>
  </si>
  <si>
    <t>VID-CAR-0125</t>
  </si>
  <si>
    <t>VID-CAR-0126</t>
  </si>
  <si>
    <t>VID-CAR-0127</t>
  </si>
  <si>
    <t>VID-CAR-0128</t>
  </si>
  <si>
    <t>VID-CAR-0129</t>
  </si>
  <si>
    <t>VID-CAR-0130</t>
  </si>
  <si>
    <t>VID-CAR-0131</t>
  </si>
  <si>
    <t>VID-CAR-0132</t>
  </si>
  <si>
    <t>VID-CAR-0133</t>
  </si>
  <si>
    <t>VID-CAR-0134</t>
  </si>
  <si>
    <t>VID-CAR-0135</t>
  </si>
  <si>
    <t>VID-CAR-0136</t>
  </si>
  <si>
    <t>VID-CAR-0137</t>
  </si>
  <si>
    <t>VID-CAR-0138</t>
  </si>
  <si>
    <t>VID-CAR-0139</t>
  </si>
  <si>
    <t>VID-CAR-0140</t>
  </si>
  <si>
    <t>VID-CAR-0141</t>
  </si>
  <si>
    <t>VID-CAR-0142</t>
  </si>
  <si>
    <t>VID-CAR-0143</t>
  </si>
  <si>
    <t>VID-CAR-0144</t>
  </si>
  <si>
    <t>VID-CAR-0145</t>
  </si>
  <si>
    <t>VID-CAR-0146</t>
  </si>
  <si>
    <t>VID-CAR-0147</t>
  </si>
  <si>
    <t>VID-CAR-0148</t>
  </si>
  <si>
    <t>VID-CAR-0149</t>
  </si>
  <si>
    <t>VID-CAR-0150</t>
  </si>
  <si>
    <t>VID-CAR-0151</t>
  </si>
  <si>
    <t>VID-CAR-0152</t>
  </si>
  <si>
    <t>VID-CAR-0153</t>
  </si>
  <si>
    <t>VID-CAR-0154</t>
  </si>
  <si>
    <t>VID-CAR-0155</t>
  </si>
  <si>
    <t>VID-CAR-0156</t>
  </si>
  <si>
    <t>VID-CAR-0157</t>
  </si>
  <si>
    <t>VID-CAR-0158</t>
  </si>
  <si>
    <t>VID-CAR-0159</t>
  </si>
  <si>
    <t>VID-CAR-0160</t>
  </si>
  <si>
    <t>VID-CAR-0161</t>
  </si>
  <si>
    <t>VID-CAR-0162</t>
  </si>
  <si>
    <t>VID-CAR-0163</t>
  </si>
  <si>
    <t>VID-CAR-0164</t>
  </si>
  <si>
    <t>VID-CAR-0165</t>
  </si>
  <si>
    <t>VID-CAR-0166</t>
  </si>
  <si>
    <t>VID-CAR-0167</t>
  </si>
  <si>
    <t>VID-CAR-0168</t>
  </si>
  <si>
    <t>VID-CAR-0169</t>
  </si>
  <si>
    <t>VID-CAR-0170</t>
  </si>
  <si>
    <t>VID-CAR-0171</t>
  </si>
  <si>
    <t>VID-CAR-0172</t>
  </si>
  <si>
    <t>VID-CAR-0173</t>
  </si>
  <si>
    <t>VID-CAR-0174</t>
  </si>
  <si>
    <t>VID-CAR-0175</t>
  </si>
  <si>
    <t>VID-CAR-0176</t>
  </si>
  <si>
    <t>VID-CAR-0177</t>
  </si>
  <si>
    <t>VID-CAR-0178</t>
  </si>
  <si>
    <t>VID-CAR-0179</t>
  </si>
  <si>
    <t>VID-CAR-0180</t>
  </si>
  <si>
    <t>VID-CAR-0181</t>
  </si>
  <si>
    <t>VID-CAR-0182</t>
  </si>
  <si>
    <t>VID-CAR-0183</t>
  </si>
  <si>
    <t>VID-CAR-0184</t>
  </si>
  <si>
    <t>VID-CAR-0185</t>
  </si>
  <si>
    <t>VID-CAR-0186</t>
  </si>
  <si>
    <t>VID-CAR-0187</t>
  </si>
  <si>
    <t>VID-CAR-0188</t>
  </si>
  <si>
    <t>VID-CAR-0189</t>
  </si>
  <si>
    <t>VID-CAR-0190</t>
  </si>
  <si>
    <t>VID-CAR-0191</t>
  </si>
  <si>
    <t>VID-CAR-0192</t>
  </si>
  <si>
    <t>VID-CAR-0193</t>
  </si>
  <si>
    <t>VID-CAR-0194</t>
  </si>
  <si>
    <t>VID-CAR-0195</t>
  </si>
  <si>
    <t>VID-CAR-0196</t>
  </si>
  <si>
    <t>VID-CAR-0197</t>
  </si>
  <si>
    <t>VID-CAR-0198</t>
  </si>
  <si>
    <t>VID-CAR-0199</t>
  </si>
  <si>
    <t>VID-CAR-0200</t>
  </si>
  <si>
    <t>VID-CAR-0201</t>
  </si>
  <si>
    <t>VID-CAR-0202</t>
  </si>
  <si>
    <t>VID-CAR-0203</t>
  </si>
  <si>
    <t>VID-CAR-0204</t>
  </si>
  <si>
    <t>VID-CAR-0205</t>
  </si>
  <si>
    <t>VID-CAR-0206</t>
  </si>
  <si>
    <t>VID-CAR-0207</t>
  </si>
  <si>
    <t>VID-CAR-0208</t>
  </si>
  <si>
    <t>VID-CAR-0209</t>
  </si>
  <si>
    <t>VID-CAR-0210</t>
  </si>
  <si>
    <t>VID-CAR-0211</t>
  </si>
  <si>
    <t>VID-CAR-0212</t>
  </si>
  <si>
    <t>VID-CAR-0213</t>
  </si>
  <si>
    <t>VID-CAR-0214</t>
  </si>
  <si>
    <t>VID-CAR-0215</t>
  </si>
  <si>
    <t>VID-CAR-0216</t>
  </si>
  <si>
    <t>VID-CAR-0217</t>
  </si>
  <si>
    <t>VID-CAR-0218</t>
  </si>
  <si>
    <t>VID-CAR-0219</t>
  </si>
  <si>
    <t>VID-CAR-0220</t>
  </si>
  <si>
    <t>VID-CAR-0221</t>
  </si>
  <si>
    <t>VID-CAR-0222</t>
  </si>
  <si>
    <t>VID-CAR-0223</t>
  </si>
  <si>
    <t>VID-CAR-0224</t>
  </si>
  <si>
    <t>VID-CAR-0225</t>
  </si>
  <si>
    <t>VID-CAR-0226</t>
  </si>
  <si>
    <t>VID-CAR-0227</t>
  </si>
  <si>
    <t>VID-CAR-0228</t>
  </si>
  <si>
    <t>VID-CAR-0229</t>
  </si>
  <si>
    <t>VID-CAR-0230</t>
  </si>
  <si>
    <t>VID-CAR-0231</t>
  </si>
  <si>
    <t>VID-CAR-0232</t>
  </si>
  <si>
    <t>VID-CAR-0233</t>
  </si>
  <si>
    <t>VID-CAR-0234</t>
  </si>
  <si>
    <t>VID-CAR-0235</t>
  </si>
  <si>
    <t>VID-CAR-0236</t>
  </si>
  <si>
    <t>VID-CAR-0237</t>
  </si>
  <si>
    <t>VID-CAR-0238</t>
  </si>
  <si>
    <t>VID-CAR-0239</t>
  </si>
  <si>
    <t>VID-CAR-0240</t>
  </si>
  <si>
    <t>VID-CAR-0241</t>
  </si>
  <si>
    <t>VID-CAR-0242</t>
  </si>
  <si>
    <t>VID-CAR-0243</t>
  </si>
  <si>
    <t>VID-CAR-0244</t>
  </si>
  <si>
    <t>VID-CAR-0245</t>
  </si>
  <si>
    <t>VID-CAR-0246</t>
  </si>
  <si>
    <t>VID-CAR-0247</t>
  </si>
  <si>
    <t>VID-CAR-0248</t>
  </si>
  <si>
    <t>VID-CAR-0249</t>
  </si>
  <si>
    <t>VID-CAR-0250</t>
  </si>
  <si>
    <t>VID-CAR-0251</t>
  </si>
  <si>
    <t>VID-CAR-0252</t>
  </si>
  <si>
    <t>VID-CAR-0253</t>
  </si>
  <si>
    <t>VID-CAR-0254</t>
  </si>
  <si>
    <t>VID-CAR-0255</t>
  </si>
  <si>
    <t>VID-CAR-0256</t>
  </si>
  <si>
    <t>VID-CAR-0257</t>
  </si>
  <si>
    <t>VID-CAR-0258</t>
  </si>
  <si>
    <t>VID-CAR-0259</t>
  </si>
  <si>
    <t>VID-CAR-0260</t>
  </si>
  <si>
    <t>VID-CAR-0261</t>
  </si>
  <si>
    <t>VID-CAR-0262</t>
  </si>
  <si>
    <t>VID-CAR-0263</t>
  </si>
  <si>
    <t>VID-CAR-0264</t>
  </si>
  <si>
    <t>VID-CAR-0265</t>
  </si>
  <si>
    <t>VID-CAR-0266</t>
  </si>
  <si>
    <t>VID-CAR-0267</t>
  </si>
  <si>
    <t>VID-CAR-0268</t>
  </si>
  <si>
    <t>VID-CAR-0269</t>
  </si>
  <si>
    <t>VID-CAR-0270</t>
  </si>
  <si>
    <t>VID-CAR-0271</t>
  </si>
  <si>
    <t>VID-CAR-0272</t>
  </si>
  <si>
    <t>VID-CAR-0273</t>
  </si>
  <si>
    <t>VID-CAR-0274</t>
  </si>
  <si>
    <t>VID-CAR-0275</t>
  </si>
  <si>
    <t>VID-CAR-0276</t>
  </si>
  <si>
    <t>VID-CAR-0277</t>
  </si>
  <si>
    <t>VID-CAR-0278</t>
  </si>
  <si>
    <t>VID-CAR-0279</t>
  </si>
  <si>
    <t>VID-CAR-0280</t>
  </si>
  <si>
    <t>VID-CAR-0281</t>
  </si>
  <si>
    <t>VID-CAR-0282</t>
  </si>
  <si>
    <t>VID-CAR-0283</t>
  </si>
  <si>
    <t>VID-CAR-0284</t>
  </si>
  <si>
    <t>VID-CAR-0285</t>
  </si>
  <si>
    <t>VID-CAR-0286</t>
  </si>
  <si>
    <t>VID-CAR-0287</t>
  </si>
  <si>
    <t>VID-CAR-0288</t>
  </si>
  <si>
    <t>VID-CAR-0289</t>
  </si>
  <si>
    <t>VID-CAR-0290</t>
  </si>
  <si>
    <t>VID-CAR-0291</t>
  </si>
  <si>
    <t>VID-CAR-0292</t>
  </si>
  <si>
    <t>VID-CAR-0293</t>
  </si>
  <si>
    <t>VID-CAR-0294</t>
  </si>
  <si>
    <t>VID-CAR-0295</t>
  </si>
  <si>
    <t>VID-CAR-0296</t>
  </si>
  <si>
    <t>VID-CAR-0297</t>
  </si>
  <si>
    <t>VID-CAR-0298</t>
  </si>
  <si>
    <t>VID-CAR-0299</t>
  </si>
  <si>
    <t>VID-CAR-0300</t>
  </si>
  <si>
    <t>ID vidriería</t>
  </si>
  <si>
    <t>Ítem</t>
  </si>
  <si>
    <t>Cantidad rota o dada de baja</t>
  </si>
  <si>
    <t>Registró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</si>
</sst>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###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color rgb="FFFFFFFF"/>
      <name val="Calibri"/>
    </font>
    <font>
      <sz val="10"/>
      <name val="Calibri"/>
    </font>
    <font>
      <b/>
      <sz val="14"/>
      <color rgb="FF1F4E5F"/>
      <name val="Calibri"/>
    </font>
    <font>
      <sz val="11"/>
      <color rgb="FF000000"/>
      <name val="Calibri"/>
    </font>
    <font>
      <b/>
      <sz val="11"/>
      <color rgb="FF1F4E5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F6B70"/>
      </patternFill>
    </fill>
    <fill>
      <patternFill patternType="solid">
        <fgColor rgb="FF1F4E5F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/>
    <xf numFmtId="0" fontId="3" fillId="0" borderId="1" xfId="0" applyFont="1" applyBorder="1"/>
    <xf numFmtId="0" fontId="3" fillId="4" borderId="1" xfId="0" applyFont="1" applyFill="1" applyBorder="1" applyAlignment="1">
      <alignment vertical="top"/>
    </xf>
    <xf numFmtId="165" fontId="3" fillId="0" borderId="1" xfId="0" applyNumberFormat="1" applyFont="1" applyBorder="1"/>
    <xf numFmtId="164" fontId="3" fillId="0" borderId="1" xfId="0" applyNumberFormat="1" applyFont="1" applyBorder="1"/>
    <xf numFmtId="165" fontId="3" fillId="4" borderId="1" xfId="0" applyNumberFormat="1" applyFont="1" applyFill="1" applyBorder="1"/>
    <xf numFmtId="0" fontId="3" fillId="0" borderId="1" xfId="0" applyFont="1" applyBorder="1" applyAlignment="1">
      <alignment vertical="top"/>
    </xf>
  </cellXfs>
  <cellStyles count="1">
    <cellStyle name="Normal" xfId="0" builtinId="0"/>
  </cellStyles>
  <dxfs count="14"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E699"/>
        </patternFill>
      </fill>
    </dxf>
    <dxf>
      <font>
        <b/>
        <color rgb="FF9C0006"/>
      </font>
      <fill>
        <patternFill patternType="solid">
          <fgColor rgb="FFF8CBAD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workbookViewId="0"/>
  </sheetViews>
  <sheetFormatPr baseColWidth="10" defaultColWidth="8.88671875" defaultRowHeight="14.4" x14ac:dyDescent="0.3"/>
  <cols>
    <col min="1" max="1" width="130" customWidth="1"/>
  </cols>
  <sheetData>
    <row r="1" spans="1:1" ht="18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/>
    </row>
    <row r="4" spans="1:1" x14ac:dyDescent="0.3">
      <c r="A4" s="3" t="s">
        <v>2</v>
      </c>
    </row>
    <row r="5" spans="1:1" ht="28.8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/>
    </row>
    <row r="9" spans="1:1" x14ac:dyDescent="0.3">
      <c r="A9" s="3" t="s">
        <v>6</v>
      </c>
    </row>
    <row r="10" spans="1:1" ht="28.8" x14ac:dyDescent="0.3">
      <c r="A10" s="2" t="s">
        <v>7</v>
      </c>
    </row>
    <row r="11" spans="1:1" x14ac:dyDescent="0.3">
      <c r="A11" s="2"/>
    </row>
    <row r="12" spans="1:1" x14ac:dyDescent="0.3">
      <c r="A12" s="3" t="s">
        <v>8</v>
      </c>
    </row>
    <row r="13" spans="1:1" x14ac:dyDescent="0.3">
      <c r="A13" s="2" t="s">
        <v>9</v>
      </c>
    </row>
    <row r="14" spans="1:1" x14ac:dyDescent="0.3">
      <c r="A14" s="2" t="s">
        <v>10</v>
      </c>
    </row>
    <row r="15" spans="1:1" ht="28.8" x14ac:dyDescent="0.3">
      <c r="A15" s="2" t="s">
        <v>11</v>
      </c>
    </row>
    <row r="16" spans="1:1" ht="28.8" x14ac:dyDescent="0.3">
      <c r="A16" s="2" t="s">
        <v>12</v>
      </c>
    </row>
    <row r="17" spans="1:1" ht="28.8" x14ac:dyDescent="0.3">
      <c r="A17" s="2" t="s">
        <v>13</v>
      </c>
    </row>
    <row r="18" spans="1:1" x14ac:dyDescent="0.3">
      <c r="A18" s="2"/>
    </row>
    <row r="19" spans="1:1" x14ac:dyDescent="0.3">
      <c r="A19" s="3" t="s">
        <v>14</v>
      </c>
    </row>
    <row r="20" spans="1:1" x14ac:dyDescent="0.3">
      <c r="A20" s="2" t="s">
        <v>15</v>
      </c>
    </row>
    <row r="21" spans="1:1" x14ac:dyDescent="0.3">
      <c r="A21" s="2" t="s">
        <v>16</v>
      </c>
    </row>
    <row r="22" spans="1:1" x14ac:dyDescent="0.3">
      <c r="A22" s="2" t="s">
        <v>17</v>
      </c>
    </row>
    <row r="23" spans="1:1" x14ac:dyDescent="0.3">
      <c r="A23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workbookViewId="0"/>
  </sheetViews>
  <sheetFormatPr baseColWidth="10" defaultColWidth="8.88671875" defaultRowHeight="14.4" x14ac:dyDescent="0.3"/>
  <cols>
    <col min="1" max="11" width="26" customWidth="1"/>
  </cols>
  <sheetData>
    <row r="1" spans="1:11" x14ac:dyDescent="0.3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</row>
    <row r="2" spans="1:11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</row>
    <row r="3" spans="1:11" x14ac:dyDescent="0.3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</row>
    <row r="4" spans="1:11" x14ac:dyDescent="0.3">
      <c r="A4" t="s">
        <v>52</v>
      </c>
      <c r="B4" t="s">
        <v>53</v>
      </c>
      <c r="D4" t="s">
        <v>54</v>
      </c>
      <c r="E4" t="s">
        <v>55</v>
      </c>
      <c r="F4" t="s">
        <v>56</v>
      </c>
      <c r="H4" t="s">
        <v>57</v>
      </c>
      <c r="I4" t="s">
        <v>58</v>
      </c>
      <c r="J4" t="s">
        <v>59</v>
      </c>
      <c r="K4" t="s">
        <v>60</v>
      </c>
    </row>
    <row r="5" spans="1:11" x14ac:dyDescent="0.3">
      <c r="D5" t="s">
        <v>61</v>
      </c>
      <c r="F5" t="s">
        <v>62</v>
      </c>
      <c r="H5" t="s">
        <v>63</v>
      </c>
      <c r="I5" t="s">
        <v>64</v>
      </c>
      <c r="K5" t="s">
        <v>65</v>
      </c>
    </row>
    <row r="6" spans="1:11" x14ac:dyDescent="0.3">
      <c r="F6" t="s">
        <v>66</v>
      </c>
      <c r="H6" t="s">
        <v>67</v>
      </c>
      <c r="K6" t="s">
        <v>68</v>
      </c>
    </row>
    <row r="7" spans="1:11" x14ac:dyDescent="0.3">
      <c r="K7" t="s">
        <v>69</v>
      </c>
    </row>
    <row r="8" spans="1:11" x14ac:dyDescent="0.3">
      <c r="K8" t="s">
        <v>70</v>
      </c>
    </row>
    <row r="9" spans="1:11" x14ac:dyDescent="0.3">
      <c r="K9" t="s">
        <v>71</v>
      </c>
    </row>
    <row r="10" spans="1:11" x14ac:dyDescent="0.3">
      <c r="K10" t="s">
        <v>72</v>
      </c>
    </row>
    <row r="11" spans="1:11" x14ac:dyDescent="0.3">
      <c r="K11" t="s">
        <v>73</v>
      </c>
    </row>
    <row r="12" spans="1:11" x14ac:dyDescent="0.3">
      <c r="K12" t="s">
        <v>74</v>
      </c>
    </row>
    <row r="13" spans="1:11" x14ac:dyDescent="0.3">
      <c r="K13" t="s">
        <v>75</v>
      </c>
    </row>
    <row r="14" spans="1:11" x14ac:dyDescent="0.3">
      <c r="K14" t="s">
        <v>76</v>
      </c>
    </row>
    <row r="15" spans="1:11" x14ac:dyDescent="0.3">
      <c r="K15" t="s">
        <v>77</v>
      </c>
    </row>
    <row r="16" spans="1:11" x14ac:dyDescent="0.3">
      <c r="K16" t="s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35"/>
  <sheetViews>
    <sheetView tabSelected="1" workbookViewId="0">
      <pane xSplit="4" ySplit="1" topLeftCell="E180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14" customWidth="1"/>
    <col min="2" max="2" width="9" customWidth="1"/>
    <col min="3" max="4" width="38" customWidth="1"/>
    <col min="5" max="5" width="14" customWidth="1"/>
    <col min="6" max="6" width="13" customWidth="1"/>
    <col min="7" max="7" width="11" customWidth="1"/>
    <col min="8" max="8" width="9" customWidth="1"/>
    <col min="9" max="9" width="11" customWidth="1"/>
    <col min="10" max="10" width="13" customWidth="1"/>
    <col min="11" max="11" width="12" customWidth="1"/>
    <col min="12" max="12" width="13" customWidth="1"/>
    <col min="13" max="14" width="12" customWidth="1"/>
    <col min="15" max="15" width="13" customWidth="1"/>
    <col min="16" max="16" width="12" customWidth="1"/>
    <col min="17" max="17" width="16" customWidth="1"/>
    <col min="18" max="19" width="13" customWidth="1"/>
    <col min="20" max="20" width="18" customWidth="1"/>
    <col min="21" max="21" width="11" customWidth="1"/>
    <col min="22" max="22" width="14" customWidth="1"/>
    <col min="23" max="23" width="16" customWidth="1"/>
    <col min="24" max="24" width="26" customWidth="1"/>
    <col min="25" max="25" width="30" customWidth="1"/>
    <col min="26" max="26" width="48" customWidth="1"/>
  </cols>
  <sheetData>
    <row r="1" spans="1:26" ht="42" customHeight="1" x14ac:dyDescent="0.3">
      <c r="A1" s="5" t="s">
        <v>79</v>
      </c>
      <c r="B1" s="6" t="s">
        <v>80</v>
      </c>
      <c r="C1" s="5" t="s">
        <v>81</v>
      </c>
      <c r="D1" s="6" t="s">
        <v>32</v>
      </c>
      <c r="E1" s="6" t="s">
        <v>82</v>
      </c>
      <c r="F1" s="6" t="s">
        <v>83</v>
      </c>
      <c r="G1" s="6" t="s">
        <v>20</v>
      </c>
      <c r="H1" s="6" t="s">
        <v>19</v>
      </c>
      <c r="I1" s="6" t="s">
        <v>84</v>
      </c>
      <c r="J1" s="6" t="s">
        <v>85</v>
      </c>
      <c r="K1" s="6" t="s">
        <v>86</v>
      </c>
      <c r="L1" s="5" t="s">
        <v>87</v>
      </c>
      <c r="M1" s="5" t="s">
        <v>88</v>
      </c>
      <c r="N1" s="6" t="s">
        <v>89</v>
      </c>
      <c r="O1" s="5" t="s">
        <v>90</v>
      </c>
      <c r="P1" s="6" t="s">
        <v>91</v>
      </c>
      <c r="Q1" s="6" t="s">
        <v>92</v>
      </c>
      <c r="R1" s="6" t="s">
        <v>93</v>
      </c>
      <c r="S1" s="6" t="s">
        <v>29</v>
      </c>
      <c r="T1" s="6" t="s">
        <v>94</v>
      </c>
      <c r="U1" s="6" t="s">
        <v>95</v>
      </c>
      <c r="V1" s="6" t="s">
        <v>96</v>
      </c>
      <c r="W1" s="6" t="s">
        <v>21</v>
      </c>
      <c r="X1" s="5" t="s">
        <v>97</v>
      </c>
      <c r="Y1" s="6" t="s">
        <v>98</v>
      </c>
      <c r="Z1" s="5" t="s">
        <v>99</v>
      </c>
    </row>
    <row r="2" spans="1:26" x14ac:dyDescent="0.3">
      <c r="A2" s="7" t="s">
        <v>100</v>
      </c>
      <c r="B2" s="8" t="s">
        <v>47</v>
      </c>
      <c r="C2" s="9"/>
      <c r="D2" s="8" t="s">
        <v>101</v>
      </c>
      <c r="E2" s="8" t="s">
        <v>102</v>
      </c>
      <c r="F2" s="8" t="s">
        <v>103</v>
      </c>
      <c r="G2" s="8" t="s">
        <v>31</v>
      </c>
      <c r="H2" s="8" t="s">
        <v>30</v>
      </c>
      <c r="I2" s="10">
        <v>25</v>
      </c>
      <c r="J2" s="10">
        <v>4</v>
      </c>
      <c r="K2" s="11"/>
      <c r="L2" s="12">
        <f>IF(D2="","",SUMIFS(Movimientos!$D$2:$D$2000,Movimientos!$B$2:$B$2000,A2))</f>
        <v>0</v>
      </c>
      <c r="M2" s="12">
        <f t="shared" ref="M2:M65" si="0">IF(J2="","",J2-L2)</f>
        <v>4</v>
      </c>
      <c r="N2" s="11"/>
      <c r="O2" s="7" t="str">
        <f t="shared" ref="O2:O65" ca="1" si="1">IF(D2="","",IF(N2="","Sin fecha",IF(N2&lt;TODAY(),"VENCIDO",IF(N2&lt;TODAY()+90,"Por vencer","Vigente"))))</f>
        <v>Sin fecha</v>
      </c>
      <c r="P2" s="8" t="s">
        <v>104</v>
      </c>
      <c r="Q2" s="8" t="s">
        <v>105</v>
      </c>
      <c r="R2" s="8" t="s">
        <v>106</v>
      </c>
      <c r="S2" s="8" t="s">
        <v>72</v>
      </c>
      <c r="T2" s="8"/>
      <c r="U2" s="8"/>
      <c r="V2" s="8" t="s">
        <v>107</v>
      </c>
      <c r="W2" s="8" t="s">
        <v>32</v>
      </c>
      <c r="X2" s="9" t="s">
        <v>108</v>
      </c>
      <c r="Y2" s="13"/>
      <c r="Z2" s="9" t="s">
        <v>109</v>
      </c>
    </row>
    <row r="3" spans="1:26" x14ac:dyDescent="0.3">
      <c r="A3" s="7" t="s">
        <v>110</v>
      </c>
      <c r="B3" s="8" t="s">
        <v>47</v>
      </c>
      <c r="C3" s="9"/>
      <c r="D3" s="8" t="s">
        <v>111</v>
      </c>
      <c r="E3" s="8" t="s">
        <v>112</v>
      </c>
      <c r="F3" s="8" t="s">
        <v>113</v>
      </c>
      <c r="G3" s="8" t="s">
        <v>31</v>
      </c>
      <c r="H3" s="8" t="s">
        <v>30</v>
      </c>
      <c r="I3" s="10">
        <v>250</v>
      </c>
      <c r="J3" s="10">
        <v>240</v>
      </c>
      <c r="K3" s="11"/>
      <c r="L3" s="12">
        <f>IF(D3="","",SUMIFS(Movimientos!$D$2:$D$2000,Movimientos!$B$2:$B$2000,A3))</f>
        <v>0</v>
      </c>
      <c r="M3" s="12">
        <f t="shared" si="0"/>
        <v>240</v>
      </c>
      <c r="N3" s="11">
        <v>45231</v>
      </c>
      <c r="O3" s="7" t="str">
        <f t="shared" ca="1" si="1"/>
        <v>VENCIDO</v>
      </c>
      <c r="P3" s="8" t="s">
        <v>114</v>
      </c>
      <c r="Q3" s="8" t="s">
        <v>115</v>
      </c>
      <c r="R3" s="8" t="s">
        <v>116</v>
      </c>
      <c r="S3" s="8" t="s">
        <v>72</v>
      </c>
      <c r="T3" s="8"/>
      <c r="U3" s="8" t="s">
        <v>117</v>
      </c>
      <c r="V3" s="8" t="s">
        <v>107</v>
      </c>
      <c r="W3" s="8" t="s">
        <v>32</v>
      </c>
      <c r="X3" s="9" t="s">
        <v>108</v>
      </c>
      <c r="Y3" s="13"/>
      <c r="Z3" s="9" t="s">
        <v>118</v>
      </c>
    </row>
    <row r="4" spans="1:26" x14ac:dyDescent="0.3">
      <c r="A4" s="7" t="s">
        <v>119</v>
      </c>
      <c r="B4" s="8" t="s">
        <v>47</v>
      </c>
      <c r="C4" s="9"/>
      <c r="D4" s="8" t="s">
        <v>120</v>
      </c>
      <c r="E4" s="8" t="s">
        <v>121</v>
      </c>
      <c r="F4" s="8" t="s">
        <v>122</v>
      </c>
      <c r="G4" s="8" t="s">
        <v>42</v>
      </c>
      <c r="H4" s="8" t="s">
        <v>41</v>
      </c>
      <c r="I4" s="10">
        <v>0</v>
      </c>
      <c r="J4" s="10">
        <v>0</v>
      </c>
      <c r="K4" s="11"/>
      <c r="L4" s="12">
        <f>IF(D4="","",SUMIFS(Movimientos!$D$2:$D$2000,Movimientos!$B$2:$B$2000,A4))</f>
        <v>0</v>
      </c>
      <c r="M4" s="12">
        <f t="shared" si="0"/>
        <v>0</v>
      </c>
      <c r="N4" s="11">
        <v>46234</v>
      </c>
      <c r="O4" s="7" t="str">
        <f t="shared" ca="1" si="1"/>
        <v>VENCIDO</v>
      </c>
      <c r="P4" s="8" t="s">
        <v>123</v>
      </c>
      <c r="Q4" s="8" t="s">
        <v>105</v>
      </c>
      <c r="R4" s="8" t="s">
        <v>106</v>
      </c>
      <c r="S4" s="8" t="s">
        <v>69</v>
      </c>
      <c r="T4" s="8"/>
      <c r="U4" s="8"/>
      <c r="V4" s="8" t="s">
        <v>107</v>
      </c>
      <c r="W4" s="8" t="s">
        <v>32</v>
      </c>
      <c r="X4" s="9" t="s">
        <v>108</v>
      </c>
      <c r="Y4" s="13"/>
      <c r="Z4" s="9" t="s">
        <v>124</v>
      </c>
    </row>
    <row r="5" spans="1:26" x14ac:dyDescent="0.3">
      <c r="A5" s="7" t="s">
        <v>125</v>
      </c>
      <c r="B5" s="8" t="s">
        <v>47</v>
      </c>
      <c r="C5" s="9"/>
      <c r="D5" s="8" t="s">
        <v>126</v>
      </c>
      <c r="E5" s="8" t="s">
        <v>127</v>
      </c>
      <c r="F5" s="8" t="s">
        <v>122</v>
      </c>
      <c r="G5" s="8" t="s">
        <v>42</v>
      </c>
      <c r="H5" s="8" t="s">
        <v>41</v>
      </c>
      <c r="I5" s="10">
        <v>5000</v>
      </c>
      <c r="J5" s="10">
        <v>5000</v>
      </c>
      <c r="K5" s="11"/>
      <c r="L5" s="12">
        <f>IF(D5="","",SUMIFS(Movimientos!$D$2:$D$2000,Movimientos!$B$2:$B$2000,A5))</f>
        <v>0</v>
      </c>
      <c r="M5" s="12">
        <f t="shared" si="0"/>
        <v>5000</v>
      </c>
      <c r="N5" s="11">
        <v>46234</v>
      </c>
      <c r="O5" s="7" t="str">
        <f t="shared" ca="1" si="1"/>
        <v>VENCIDO</v>
      </c>
      <c r="P5" s="8" t="s">
        <v>128</v>
      </c>
      <c r="Q5" s="8" t="s">
        <v>105</v>
      </c>
      <c r="R5" s="8" t="s">
        <v>106</v>
      </c>
      <c r="S5" s="8" t="s">
        <v>69</v>
      </c>
      <c r="T5" s="8"/>
      <c r="U5" s="8"/>
      <c r="V5" s="8" t="s">
        <v>107</v>
      </c>
      <c r="W5" s="8" t="s">
        <v>32</v>
      </c>
      <c r="X5" s="9" t="s">
        <v>108</v>
      </c>
      <c r="Y5" s="13"/>
      <c r="Z5" s="9" t="s">
        <v>129</v>
      </c>
    </row>
    <row r="6" spans="1:26" x14ac:dyDescent="0.3">
      <c r="A6" s="7" t="s">
        <v>130</v>
      </c>
      <c r="B6" s="8" t="s">
        <v>47</v>
      </c>
      <c r="C6" s="9"/>
      <c r="D6" s="8" t="s">
        <v>126</v>
      </c>
      <c r="E6" s="8" t="s">
        <v>127</v>
      </c>
      <c r="F6" s="8" t="s">
        <v>122</v>
      </c>
      <c r="G6" s="8" t="s">
        <v>42</v>
      </c>
      <c r="H6" s="8" t="s">
        <v>41</v>
      </c>
      <c r="I6" s="10">
        <v>5000</v>
      </c>
      <c r="J6" s="10">
        <v>4560</v>
      </c>
      <c r="K6" s="11"/>
      <c r="L6" s="12">
        <f>IF(D6="","",SUMIFS(Movimientos!$D$2:$D$2000,Movimientos!$B$2:$B$2000,A6))</f>
        <v>0</v>
      </c>
      <c r="M6" s="12">
        <f t="shared" si="0"/>
        <v>4560</v>
      </c>
      <c r="N6" s="11">
        <v>44561</v>
      </c>
      <c r="O6" s="7" t="str">
        <f t="shared" ca="1" si="1"/>
        <v>VENCIDO</v>
      </c>
      <c r="P6" s="8" t="s">
        <v>131</v>
      </c>
      <c r="Q6" s="8" t="s">
        <v>105</v>
      </c>
      <c r="R6" s="8" t="s">
        <v>106</v>
      </c>
      <c r="S6" s="8" t="s">
        <v>69</v>
      </c>
      <c r="T6" s="8"/>
      <c r="U6" s="8"/>
      <c r="V6" s="8" t="s">
        <v>107</v>
      </c>
      <c r="W6" s="8" t="s">
        <v>32</v>
      </c>
      <c r="X6" s="9" t="s">
        <v>108</v>
      </c>
      <c r="Y6" s="13"/>
      <c r="Z6" s="9" t="s">
        <v>132</v>
      </c>
    </row>
    <row r="7" spans="1:26" x14ac:dyDescent="0.3">
      <c r="A7" s="7" t="s">
        <v>133</v>
      </c>
      <c r="B7" s="8" t="s">
        <v>47</v>
      </c>
      <c r="C7" s="9"/>
      <c r="D7" s="8" t="s">
        <v>134</v>
      </c>
      <c r="E7" s="8" t="s">
        <v>135</v>
      </c>
      <c r="F7" s="8" t="s">
        <v>136</v>
      </c>
      <c r="G7" s="8" t="s">
        <v>31</v>
      </c>
      <c r="H7" s="8" t="s">
        <v>30</v>
      </c>
      <c r="I7" s="10">
        <v>250</v>
      </c>
      <c r="J7" s="10">
        <v>230</v>
      </c>
      <c r="K7" s="11"/>
      <c r="L7" s="12">
        <f>IF(D7="","",SUMIFS(Movimientos!$D$2:$D$2000,Movimientos!$B$2:$B$2000,A7))</f>
        <v>0</v>
      </c>
      <c r="M7" s="12">
        <f t="shared" si="0"/>
        <v>230</v>
      </c>
      <c r="N7" s="11"/>
      <c r="O7" s="7" t="str">
        <f t="shared" ca="1" si="1"/>
        <v>Sin fecha</v>
      </c>
      <c r="P7" s="8" t="s">
        <v>137</v>
      </c>
      <c r="Q7" s="8" t="s">
        <v>105</v>
      </c>
      <c r="R7" s="8" t="s">
        <v>106</v>
      </c>
      <c r="S7" s="8" t="s">
        <v>60</v>
      </c>
      <c r="T7" s="8"/>
      <c r="U7" s="8"/>
      <c r="V7" s="8" t="s">
        <v>107</v>
      </c>
      <c r="W7" s="8" t="s">
        <v>32</v>
      </c>
      <c r="X7" s="9" t="s">
        <v>108</v>
      </c>
      <c r="Y7" s="13"/>
      <c r="Z7" s="9" t="s">
        <v>138</v>
      </c>
    </row>
    <row r="8" spans="1:26" x14ac:dyDescent="0.3">
      <c r="A8" s="7" t="s">
        <v>139</v>
      </c>
      <c r="B8" s="8" t="s">
        <v>47</v>
      </c>
      <c r="C8" s="9"/>
      <c r="D8" s="8" t="s">
        <v>140</v>
      </c>
      <c r="E8" s="8" t="s">
        <v>141</v>
      </c>
      <c r="F8" s="8"/>
      <c r="G8" s="8" t="s">
        <v>42</v>
      </c>
      <c r="H8" s="8" t="s">
        <v>41</v>
      </c>
      <c r="I8" s="10">
        <v>100</v>
      </c>
      <c r="J8" s="10">
        <v>50</v>
      </c>
      <c r="K8" s="11"/>
      <c r="L8" s="12">
        <f>IF(D8="","",SUMIFS(Movimientos!$D$2:$D$2000,Movimientos!$B$2:$B$2000,A8))</f>
        <v>0</v>
      </c>
      <c r="M8" s="12">
        <f t="shared" si="0"/>
        <v>50</v>
      </c>
      <c r="N8" s="11">
        <v>43705</v>
      </c>
      <c r="O8" s="7" t="str">
        <f t="shared" ca="1" si="1"/>
        <v>VENCIDO</v>
      </c>
      <c r="P8" s="8" t="s">
        <v>142</v>
      </c>
      <c r="Q8" s="8" t="s">
        <v>143</v>
      </c>
      <c r="R8" s="8"/>
      <c r="S8" s="8" t="s">
        <v>60</v>
      </c>
      <c r="T8" s="8"/>
      <c r="U8" s="8" t="s">
        <v>144</v>
      </c>
      <c r="V8" s="8" t="s">
        <v>107</v>
      </c>
      <c r="W8" s="8" t="s">
        <v>32</v>
      </c>
      <c r="X8" s="9" t="s">
        <v>108</v>
      </c>
      <c r="Y8" s="13"/>
      <c r="Z8" s="9" t="s">
        <v>145</v>
      </c>
    </row>
    <row r="9" spans="1:26" x14ac:dyDescent="0.3">
      <c r="A9" s="7" t="s">
        <v>146</v>
      </c>
      <c r="B9" s="8" t="s">
        <v>47</v>
      </c>
      <c r="C9" s="9"/>
      <c r="D9" s="8" t="s">
        <v>147</v>
      </c>
      <c r="E9" s="8"/>
      <c r="F9" s="8"/>
      <c r="G9" s="8" t="s">
        <v>42</v>
      </c>
      <c r="H9" s="8" t="s">
        <v>41</v>
      </c>
      <c r="I9" s="10">
        <v>125</v>
      </c>
      <c r="J9" s="10">
        <v>120</v>
      </c>
      <c r="K9" s="11"/>
      <c r="L9" s="12">
        <f>IF(D9="","",SUMIFS(Movimientos!$D$2:$D$2000,Movimientos!$B$2:$B$2000,A9))</f>
        <v>0</v>
      </c>
      <c r="M9" s="12">
        <f t="shared" si="0"/>
        <v>120</v>
      </c>
      <c r="N9" s="11">
        <v>44865</v>
      </c>
      <c r="O9" s="7" t="str">
        <f t="shared" ca="1" si="1"/>
        <v>VENCIDO</v>
      </c>
      <c r="P9" s="8" t="s">
        <v>148</v>
      </c>
      <c r="Q9" s="8" t="s">
        <v>149</v>
      </c>
      <c r="R9" s="8"/>
      <c r="S9" s="8" t="s">
        <v>60</v>
      </c>
      <c r="T9" s="8"/>
      <c r="U9" s="8"/>
      <c r="V9" s="8" t="s">
        <v>107</v>
      </c>
      <c r="W9" s="8" t="s">
        <v>32</v>
      </c>
      <c r="X9" s="9" t="s">
        <v>108</v>
      </c>
      <c r="Y9" s="13"/>
      <c r="Z9" s="9" t="s">
        <v>150</v>
      </c>
    </row>
    <row r="10" spans="1:26" x14ac:dyDescent="0.3">
      <c r="A10" s="7" t="s">
        <v>151</v>
      </c>
      <c r="B10" s="8" t="s">
        <v>47</v>
      </c>
      <c r="C10" s="9"/>
      <c r="D10" s="8" t="s">
        <v>152</v>
      </c>
      <c r="E10" s="8" t="s">
        <v>153</v>
      </c>
      <c r="F10" s="8" t="s">
        <v>154</v>
      </c>
      <c r="G10" s="8" t="s">
        <v>31</v>
      </c>
      <c r="H10" s="8" t="s">
        <v>30</v>
      </c>
      <c r="I10" s="10">
        <v>100</v>
      </c>
      <c r="J10" s="10">
        <v>5</v>
      </c>
      <c r="K10" s="11"/>
      <c r="L10" s="12">
        <f>IF(D10="","",SUMIFS(Movimientos!$D$2:$D$2000,Movimientos!$B$2:$B$2000,A10))</f>
        <v>0</v>
      </c>
      <c r="M10" s="12">
        <f t="shared" si="0"/>
        <v>5</v>
      </c>
      <c r="N10" s="11"/>
      <c r="O10" s="7" t="str">
        <f t="shared" ca="1" si="1"/>
        <v>Sin fecha</v>
      </c>
      <c r="P10" s="8" t="s">
        <v>155</v>
      </c>
      <c r="Q10" s="8" t="s">
        <v>105</v>
      </c>
      <c r="R10" s="8" t="s">
        <v>106</v>
      </c>
      <c r="S10" s="8" t="s">
        <v>72</v>
      </c>
      <c r="T10" s="8"/>
      <c r="U10" s="8"/>
      <c r="V10" s="8" t="s">
        <v>107</v>
      </c>
      <c r="W10" s="8" t="s">
        <v>32</v>
      </c>
      <c r="X10" s="9" t="s">
        <v>108</v>
      </c>
      <c r="Y10" s="13"/>
      <c r="Z10" s="9" t="s">
        <v>156</v>
      </c>
    </row>
    <row r="11" spans="1:26" x14ac:dyDescent="0.3">
      <c r="A11" s="7" t="s">
        <v>157</v>
      </c>
      <c r="B11" s="8" t="s">
        <v>47</v>
      </c>
      <c r="C11" s="9"/>
      <c r="D11" s="8" t="s">
        <v>158</v>
      </c>
      <c r="E11" s="8" t="s">
        <v>159</v>
      </c>
      <c r="F11" s="8" t="s">
        <v>160</v>
      </c>
      <c r="G11" s="8" t="s">
        <v>31</v>
      </c>
      <c r="H11" s="8" t="s">
        <v>30</v>
      </c>
      <c r="I11" s="10">
        <v>500</v>
      </c>
      <c r="J11" s="10">
        <v>490</v>
      </c>
      <c r="K11" s="11"/>
      <c r="L11" s="12">
        <f>IF(D11="","",SUMIFS(Movimientos!$D$2:$D$2000,Movimientos!$B$2:$B$2000,A11))</f>
        <v>0</v>
      </c>
      <c r="M11" s="12">
        <f t="shared" si="0"/>
        <v>490</v>
      </c>
      <c r="N11" s="11"/>
      <c r="O11" s="7" t="str">
        <f t="shared" ca="1" si="1"/>
        <v>Sin fecha</v>
      </c>
      <c r="P11" s="8" t="s">
        <v>161</v>
      </c>
      <c r="Q11" s="8" t="s">
        <v>105</v>
      </c>
      <c r="R11" s="8" t="s">
        <v>162</v>
      </c>
      <c r="S11" s="8" t="s">
        <v>72</v>
      </c>
      <c r="T11" s="8"/>
      <c r="U11" s="8"/>
      <c r="V11" s="8" t="s">
        <v>107</v>
      </c>
      <c r="W11" s="8" t="s">
        <v>32</v>
      </c>
      <c r="X11" s="9" t="s">
        <v>108</v>
      </c>
      <c r="Y11" s="13"/>
      <c r="Z11" s="9" t="s">
        <v>163</v>
      </c>
    </row>
    <row r="12" spans="1:26" x14ac:dyDescent="0.3">
      <c r="A12" s="7" t="s">
        <v>164</v>
      </c>
      <c r="B12" s="8" t="s">
        <v>47</v>
      </c>
      <c r="C12" s="9"/>
      <c r="D12" s="8" t="s">
        <v>165</v>
      </c>
      <c r="E12" s="8" t="s">
        <v>166</v>
      </c>
      <c r="F12" s="8" t="s">
        <v>167</v>
      </c>
      <c r="G12" s="8" t="s">
        <v>42</v>
      </c>
      <c r="H12" s="8" t="s">
        <v>41</v>
      </c>
      <c r="I12" s="10">
        <v>1000</v>
      </c>
      <c r="J12" s="10">
        <v>50</v>
      </c>
      <c r="K12" s="11"/>
      <c r="L12" s="12">
        <f>IF(D12="","",SUMIFS(Movimientos!$D$2:$D$2000,Movimientos!$B$2:$B$2000,A12))</f>
        <v>0</v>
      </c>
      <c r="M12" s="12">
        <f t="shared" si="0"/>
        <v>50</v>
      </c>
      <c r="N12" s="11">
        <v>44530</v>
      </c>
      <c r="O12" s="7" t="str">
        <f t="shared" ca="1" si="1"/>
        <v>VENCIDO</v>
      </c>
      <c r="P12" s="8" t="s">
        <v>168</v>
      </c>
      <c r="Q12" s="8" t="s">
        <v>105</v>
      </c>
      <c r="R12" s="8" t="s">
        <v>106</v>
      </c>
      <c r="S12" s="8" t="s">
        <v>69</v>
      </c>
      <c r="T12" s="8"/>
      <c r="U12" s="8" t="s">
        <v>169</v>
      </c>
      <c r="V12" s="8" t="s">
        <v>107</v>
      </c>
      <c r="W12" s="8" t="s">
        <v>32</v>
      </c>
      <c r="X12" s="9" t="s">
        <v>108</v>
      </c>
      <c r="Y12" s="13"/>
      <c r="Z12" s="9" t="s">
        <v>170</v>
      </c>
    </row>
    <row r="13" spans="1:26" x14ac:dyDescent="0.3">
      <c r="A13" s="7" t="s">
        <v>171</v>
      </c>
      <c r="B13" s="8" t="s">
        <v>47</v>
      </c>
      <c r="C13" s="9"/>
      <c r="D13" s="8" t="s">
        <v>172</v>
      </c>
      <c r="E13" s="8" t="s">
        <v>173</v>
      </c>
      <c r="F13" s="8" t="s">
        <v>174</v>
      </c>
      <c r="G13" s="8" t="s">
        <v>31</v>
      </c>
      <c r="H13" s="8" t="s">
        <v>30</v>
      </c>
      <c r="I13" s="10">
        <v>250</v>
      </c>
      <c r="J13" s="10">
        <v>250</v>
      </c>
      <c r="K13" s="11"/>
      <c r="L13" s="12">
        <f>IF(D13="","",SUMIFS(Movimientos!$D$2:$D$2000,Movimientos!$B$2:$B$2000,A13))</f>
        <v>0</v>
      </c>
      <c r="M13" s="12">
        <f t="shared" si="0"/>
        <v>250</v>
      </c>
      <c r="N13" s="11"/>
      <c r="O13" s="7" t="str">
        <f t="shared" ca="1" si="1"/>
        <v>Sin fecha</v>
      </c>
      <c r="P13" s="8" t="s">
        <v>175</v>
      </c>
      <c r="Q13" s="8" t="s">
        <v>105</v>
      </c>
      <c r="R13" s="8" t="s">
        <v>106</v>
      </c>
      <c r="S13" s="8" t="s">
        <v>72</v>
      </c>
      <c r="T13" s="8"/>
      <c r="U13" s="8" t="s">
        <v>176</v>
      </c>
      <c r="V13" s="8" t="s">
        <v>107</v>
      </c>
      <c r="W13" s="8" t="s">
        <v>32</v>
      </c>
      <c r="X13" s="9" t="s">
        <v>108</v>
      </c>
      <c r="Y13" s="13"/>
      <c r="Z13" s="9" t="s">
        <v>177</v>
      </c>
    </row>
    <row r="14" spans="1:26" x14ac:dyDescent="0.3">
      <c r="A14" s="7" t="s">
        <v>178</v>
      </c>
      <c r="B14" s="8" t="s">
        <v>47</v>
      </c>
      <c r="C14" s="9"/>
      <c r="D14" s="8" t="s">
        <v>179</v>
      </c>
      <c r="E14" s="8" t="s">
        <v>180</v>
      </c>
      <c r="F14" s="8" t="s">
        <v>181</v>
      </c>
      <c r="G14" s="8" t="s">
        <v>31</v>
      </c>
      <c r="H14" s="8" t="s">
        <v>30</v>
      </c>
      <c r="I14" s="10">
        <v>1000</v>
      </c>
      <c r="J14" s="10">
        <v>400</v>
      </c>
      <c r="K14" s="11"/>
      <c r="L14" s="12">
        <f>IF(D14="","",SUMIFS(Movimientos!$D$2:$D$2000,Movimientos!$B$2:$B$2000,A14))</f>
        <v>0</v>
      </c>
      <c r="M14" s="12">
        <f t="shared" si="0"/>
        <v>400</v>
      </c>
      <c r="N14" s="11"/>
      <c r="O14" s="7" t="str">
        <f t="shared" ca="1" si="1"/>
        <v>Sin fecha</v>
      </c>
      <c r="P14" s="8" t="s">
        <v>182</v>
      </c>
      <c r="Q14" s="8" t="s">
        <v>105</v>
      </c>
      <c r="R14" s="8" t="s">
        <v>116</v>
      </c>
      <c r="S14" s="8" t="s">
        <v>60</v>
      </c>
      <c r="T14" s="8"/>
      <c r="U14" s="8"/>
      <c r="V14" s="8" t="s">
        <v>107</v>
      </c>
      <c r="W14" s="8" t="s">
        <v>32</v>
      </c>
      <c r="X14" s="9" t="s">
        <v>108</v>
      </c>
      <c r="Y14" s="13"/>
      <c r="Z14" s="9" t="s">
        <v>183</v>
      </c>
    </row>
    <row r="15" spans="1:26" x14ac:dyDescent="0.3">
      <c r="A15" s="7" t="s">
        <v>184</v>
      </c>
      <c r="B15" s="8" t="s">
        <v>47</v>
      </c>
      <c r="C15" s="9"/>
      <c r="D15" s="8" t="s">
        <v>185</v>
      </c>
      <c r="E15" s="8" t="s">
        <v>186</v>
      </c>
      <c r="F15" s="8" t="s">
        <v>187</v>
      </c>
      <c r="G15" s="8" t="s">
        <v>42</v>
      </c>
      <c r="H15" s="8" t="s">
        <v>41</v>
      </c>
      <c r="I15" s="10">
        <v>2500</v>
      </c>
      <c r="J15" s="10">
        <v>2000</v>
      </c>
      <c r="K15" s="11"/>
      <c r="L15" s="12">
        <f>IF(D15="","",SUMIFS(Movimientos!$D$2:$D$2000,Movimientos!$B$2:$B$2000,A15))</f>
        <v>0</v>
      </c>
      <c r="M15" s="12">
        <f t="shared" si="0"/>
        <v>2000</v>
      </c>
      <c r="N15" s="11">
        <v>45473</v>
      </c>
      <c r="O15" s="7" t="str">
        <f t="shared" ca="1" si="1"/>
        <v>VENCIDO</v>
      </c>
      <c r="P15" s="8" t="s">
        <v>188</v>
      </c>
      <c r="Q15" s="8" t="s">
        <v>105</v>
      </c>
      <c r="R15" s="8" t="s">
        <v>106</v>
      </c>
      <c r="S15" s="8" t="s">
        <v>69</v>
      </c>
      <c r="T15" s="8"/>
      <c r="U15" s="8" t="s">
        <v>189</v>
      </c>
      <c r="V15" s="8" t="s">
        <v>107</v>
      </c>
      <c r="W15" s="8" t="s">
        <v>32</v>
      </c>
      <c r="X15" s="9" t="s">
        <v>108</v>
      </c>
      <c r="Y15" s="13"/>
      <c r="Z15" s="9" t="s">
        <v>190</v>
      </c>
    </row>
    <row r="16" spans="1:26" x14ac:dyDescent="0.3">
      <c r="A16" s="7" t="s">
        <v>191</v>
      </c>
      <c r="B16" s="8" t="s">
        <v>36</v>
      </c>
      <c r="C16" s="9" t="s">
        <v>192</v>
      </c>
      <c r="D16" s="8" t="s">
        <v>193</v>
      </c>
      <c r="E16" s="8" t="s">
        <v>194</v>
      </c>
      <c r="F16" s="8"/>
      <c r="G16" s="8" t="s">
        <v>31</v>
      </c>
      <c r="H16" s="8" t="s">
        <v>30</v>
      </c>
      <c r="I16" s="10">
        <v>100</v>
      </c>
      <c r="J16" s="10">
        <v>18</v>
      </c>
      <c r="K16" s="11"/>
      <c r="L16" s="12">
        <f>IF(D16="","",SUMIFS(Movimientos!$D$2:$D$2000,Movimientos!$B$2:$B$2000,A16))</f>
        <v>0</v>
      </c>
      <c r="M16" s="12">
        <f t="shared" si="0"/>
        <v>18</v>
      </c>
      <c r="N16" s="11">
        <v>44866</v>
      </c>
      <c r="O16" s="7" t="str">
        <f t="shared" ca="1" si="1"/>
        <v>VENCIDO</v>
      </c>
      <c r="P16" s="8" t="s">
        <v>195</v>
      </c>
      <c r="Q16" s="8" t="s">
        <v>115</v>
      </c>
      <c r="R16" s="8" t="s">
        <v>162</v>
      </c>
      <c r="S16" s="8" t="s">
        <v>74</v>
      </c>
      <c r="T16" s="8"/>
      <c r="U16" s="8"/>
      <c r="V16" s="8" t="s">
        <v>107</v>
      </c>
      <c r="W16" s="8" t="s">
        <v>32</v>
      </c>
      <c r="X16" s="9" t="s">
        <v>108</v>
      </c>
      <c r="Y16" s="13" t="s">
        <v>196</v>
      </c>
      <c r="Z16" s="9" t="s">
        <v>197</v>
      </c>
    </row>
    <row r="17" spans="1:26" x14ac:dyDescent="0.3">
      <c r="A17" s="7" t="s">
        <v>198</v>
      </c>
      <c r="B17" s="8" t="s">
        <v>47</v>
      </c>
      <c r="C17" s="9"/>
      <c r="D17" s="8" t="s">
        <v>199</v>
      </c>
      <c r="E17" s="8" t="s">
        <v>200</v>
      </c>
      <c r="F17" s="8" t="s">
        <v>201</v>
      </c>
      <c r="G17" s="8" t="s">
        <v>42</v>
      </c>
      <c r="H17" s="8" t="s">
        <v>41</v>
      </c>
      <c r="I17" s="10">
        <v>1000</v>
      </c>
      <c r="J17" s="10">
        <v>1000</v>
      </c>
      <c r="K17" s="11"/>
      <c r="L17" s="12">
        <f>IF(D17="","",SUMIFS(Movimientos!$D$2:$D$2000,Movimientos!$B$2:$B$2000,A17))</f>
        <v>0</v>
      </c>
      <c r="M17" s="12">
        <f t="shared" si="0"/>
        <v>1000</v>
      </c>
      <c r="N17" s="11">
        <v>44986</v>
      </c>
      <c r="O17" s="7" t="str">
        <f t="shared" ca="1" si="1"/>
        <v>VENCIDO</v>
      </c>
      <c r="P17" s="8" t="s">
        <v>202</v>
      </c>
      <c r="Q17" s="8" t="s">
        <v>115</v>
      </c>
      <c r="R17" s="8" t="s">
        <v>203</v>
      </c>
      <c r="S17" s="8" t="s">
        <v>75</v>
      </c>
      <c r="T17" s="8"/>
      <c r="U17" s="8"/>
      <c r="V17" s="8" t="s">
        <v>107</v>
      </c>
      <c r="W17" s="8" t="s">
        <v>32</v>
      </c>
      <c r="X17" s="9" t="s">
        <v>108</v>
      </c>
      <c r="Y17" s="13"/>
      <c r="Z17" s="9" t="s">
        <v>204</v>
      </c>
    </row>
    <row r="18" spans="1:26" x14ac:dyDescent="0.3">
      <c r="A18" s="7" t="s">
        <v>205</v>
      </c>
      <c r="B18" s="8" t="s">
        <v>47</v>
      </c>
      <c r="C18" s="9"/>
      <c r="D18" s="8" t="s">
        <v>206</v>
      </c>
      <c r="E18" s="8" t="s">
        <v>207</v>
      </c>
      <c r="F18" s="8" t="s">
        <v>208</v>
      </c>
      <c r="G18" s="8" t="s">
        <v>31</v>
      </c>
      <c r="H18" s="8" t="s">
        <v>30</v>
      </c>
      <c r="I18" s="10">
        <v>500</v>
      </c>
      <c r="J18" s="10">
        <v>80</v>
      </c>
      <c r="K18" s="11"/>
      <c r="L18" s="12">
        <f>IF(D18="","",SUMIFS(Movimientos!$D$2:$D$2000,Movimientos!$B$2:$B$2000,A18))</f>
        <v>0</v>
      </c>
      <c r="M18" s="12">
        <f t="shared" si="0"/>
        <v>80</v>
      </c>
      <c r="N18" s="11"/>
      <c r="O18" s="7" t="str">
        <f t="shared" ca="1" si="1"/>
        <v>Sin fecha</v>
      </c>
      <c r="P18" s="8" t="s">
        <v>209</v>
      </c>
      <c r="Q18" s="8" t="s">
        <v>105</v>
      </c>
      <c r="R18" s="8" t="s">
        <v>106</v>
      </c>
      <c r="S18" s="8" t="s">
        <v>60</v>
      </c>
      <c r="T18" s="8"/>
      <c r="U18" s="8"/>
      <c r="V18" s="8" t="s">
        <v>107</v>
      </c>
      <c r="W18" s="8" t="s">
        <v>32</v>
      </c>
      <c r="X18" s="9" t="s">
        <v>108</v>
      </c>
      <c r="Y18" s="13"/>
      <c r="Z18" s="9" t="s">
        <v>210</v>
      </c>
    </row>
    <row r="19" spans="1:26" x14ac:dyDescent="0.3">
      <c r="A19" s="7" t="s">
        <v>211</v>
      </c>
      <c r="B19" s="8" t="s">
        <v>47</v>
      </c>
      <c r="C19" s="9"/>
      <c r="D19" s="8" t="s">
        <v>212</v>
      </c>
      <c r="E19" s="8" t="s">
        <v>213</v>
      </c>
      <c r="F19" s="8" t="s">
        <v>214</v>
      </c>
      <c r="G19" s="8" t="s">
        <v>31</v>
      </c>
      <c r="H19" s="8" t="s">
        <v>30</v>
      </c>
      <c r="I19" s="10">
        <v>250</v>
      </c>
      <c r="J19" s="10">
        <v>220</v>
      </c>
      <c r="K19" s="11"/>
      <c r="L19" s="12">
        <f>IF(D19="","",SUMIFS(Movimientos!$D$2:$D$2000,Movimientos!$B$2:$B$2000,A19))</f>
        <v>0</v>
      </c>
      <c r="M19" s="12">
        <f t="shared" si="0"/>
        <v>220</v>
      </c>
      <c r="N19" s="11"/>
      <c r="O19" s="7" t="str">
        <f t="shared" ca="1" si="1"/>
        <v>Sin fecha</v>
      </c>
      <c r="P19" s="8" t="s">
        <v>215</v>
      </c>
      <c r="Q19" s="8" t="s">
        <v>115</v>
      </c>
      <c r="R19" s="8" t="s">
        <v>116</v>
      </c>
      <c r="S19" s="8" t="s">
        <v>60</v>
      </c>
      <c r="T19" s="8"/>
      <c r="U19" s="8"/>
      <c r="V19" s="8" t="s">
        <v>107</v>
      </c>
      <c r="W19" s="8" t="s">
        <v>32</v>
      </c>
      <c r="X19" s="9" t="s">
        <v>108</v>
      </c>
      <c r="Y19" s="13"/>
      <c r="Z19" s="9" t="s">
        <v>216</v>
      </c>
    </row>
    <row r="20" spans="1:26" x14ac:dyDescent="0.3">
      <c r="A20" s="7" t="s">
        <v>217</v>
      </c>
      <c r="B20" s="8" t="s">
        <v>47</v>
      </c>
      <c r="C20" s="9"/>
      <c r="D20" s="8" t="s">
        <v>218</v>
      </c>
      <c r="E20" s="8" t="s">
        <v>219</v>
      </c>
      <c r="F20" s="8" t="s">
        <v>220</v>
      </c>
      <c r="G20" s="8" t="s">
        <v>42</v>
      </c>
      <c r="H20" s="8" t="s">
        <v>41</v>
      </c>
      <c r="I20" s="10">
        <v>2500</v>
      </c>
      <c r="J20" s="10">
        <v>200</v>
      </c>
      <c r="K20" s="11"/>
      <c r="L20" s="12">
        <f>IF(D20="","",SUMIFS(Movimientos!$D$2:$D$2000,Movimientos!$B$2:$B$2000,A20))</f>
        <v>0</v>
      </c>
      <c r="M20" s="12">
        <f t="shared" si="0"/>
        <v>200</v>
      </c>
      <c r="N20" s="11">
        <v>43898</v>
      </c>
      <c r="O20" s="7" t="str">
        <f t="shared" ca="1" si="1"/>
        <v>VENCIDO</v>
      </c>
      <c r="P20" s="8" t="s">
        <v>221</v>
      </c>
      <c r="Q20" s="8" t="s">
        <v>222</v>
      </c>
      <c r="R20" s="8" t="s">
        <v>223</v>
      </c>
      <c r="S20" s="8" t="s">
        <v>74</v>
      </c>
      <c r="T20" s="8"/>
      <c r="U20" s="8" t="s">
        <v>224</v>
      </c>
      <c r="V20" s="8" t="s">
        <v>107</v>
      </c>
      <c r="W20" s="8" t="s">
        <v>32</v>
      </c>
      <c r="X20" s="9" t="s">
        <v>108</v>
      </c>
      <c r="Y20" s="13"/>
      <c r="Z20" s="9" t="s">
        <v>225</v>
      </c>
    </row>
    <row r="21" spans="1:26" x14ac:dyDescent="0.3">
      <c r="A21" s="7" t="s">
        <v>226</v>
      </c>
      <c r="B21" s="8" t="s">
        <v>47</v>
      </c>
      <c r="C21" s="9"/>
      <c r="D21" s="8" t="s">
        <v>227</v>
      </c>
      <c r="E21" s="8" t="s">
        <v>228</v>
      </c>
      <c r="F21" s="8" t="s">
        <v>229</v>
      </c>
      <c r="G21" s="8" t="s">
        <v>31</v>
      </c>
      <c r="H21" s="8" t="s">
        <v>30</v>
      </c>
      <c r="I21" s="10">
        <v>25</v>
      </c>
      <c r="J21" s="10">
        <v>10</v>
      </c>
      <c r="K21" s="11"/>
      <c r="L21" s="12">
        <f>IF(D21="","",SUMIFS(Movimientos!$D$2:$D$2000,Movimientos!$B$2:$B$2000,A21))</f>
        <v>0</v>
      </c>
      <c r="M21" s="12">
        <f t="shared" si="0"/>
        <v>10</v>
      </c>
      <c r="N21" s="11"/>
      <c r="O21" s="7" t="str">
        <f t="shared" ca="1" si="1"/>
        <v>Sin fecha</v>
      </c>
      <c r="P21" s="8" t="s">
        <v>230</v>
      </c>
      <c r="Q21" s="8" t="s">
        <v>105</v>
      </c>
      <c r="R21" s="8" t="s">
        <v>231</v>
      </c>
      <c r="S21" s="8" t="s">
        <v>60</v>
      </c>
      <c r="T21" s="8"/>
      <c r="U21" s="8"/>
      <c r="V21" s="8" t="s">
        <v>107</v>
      </c>
      <c r="W21" s="8" t="s">
        <v>32</v>
      </c>
      <c r="X21" s="9" t="s">
        <v>108</v>
      </c>
      <c r="Y21" s="13"/>
      <c r="Z21" s="9" t="s">
        <v>232</v>
      </c>
    </row>
    <row r="22" spans="1:26" x14ac:dyDescent="0.3">
      <c r="A22" s="7" t="s">
        <v>233</v>
      </c>
      <c r="B22" s="8" t="s">
        <v>47</v>
      </c>
      <c r="C22" s="9"/>
      <c r="D22" s="8" t="s">
        <v>227</v>
      </c>
      <c r="E22" s="8" t="s">
        <v>228</v>
      </c>
      <c r="F22" s="8" t="s">
        <v>229</v>
      </c>
      <c r="G22" s="8" t="s">
        <v>31</v>
      </c>
      <c r="H22" s="8" t="s">
        <v>30</v>
      </c>
      <c r="I22" s="10">
        <v>25</v>
      </c>
      <c r="J22" s="10">
        <v>15</v>
      </c>
      <c r="K22" s="11"/>
      <c r="L22" s="12">
        <f>IF(D22="","",SUMIFS(Movimientos!$D$2:$D$2000,Movimientos!$B$2:$B$2000,A22))</f>
        <v>0</v>
      </c>
      <c r="M22" s="12">
        <f t="shared" si="0"/>
        <v>15</v>
      </c>
      <c r="N22" s="11"/>
      <c r="O22" s="7" t="str">
        <f t="shared" ca="1" si="1"/>
        <v>Sin fecha</v>
      </c>
      <c r="P22" s="8" t="s">
        <v>234</v>
      </c>
      <c r="Q22" s="8" t="s">
        <v>105</v>
      </c>
      <c r="R22" s="8" t="s">
        <v>231</v>
      </c>
      <c r="S22" s="8" t="s">
        <v>60</v>
      </c>
      <c r="T22" s="8"/>
      <c r="U22" s="8" t="s">
        <v>235</v>
      </c>
      <c r="V22" s="8" t="s">
        <v>107</v>
      </c>
      <c r="W22" s="8" t="s">
        <v>32</v>
      </c>
      <c r="X22" s="9" t="s">
        <v>108</v>
      </c>
      <c r="Y22" s="13"/>
      <c r="Z22" s="9" t="s">
        <v>236</v>
      </c>
    </row>
    <row r="23" spans="1:26" x14ac:dyDescent="0.3">
      <c r="A23" s="7" t="s">
        <v>237</v>
      </c>
      <c r="B23" s="8" t="s">
        <v>47</v>
      </c>
      <c r="C23" s="9"/>
      <c r="D23" s="8" t="s">
        <v>238</v>
      </c>
      <c r="E23" s="8" t="s">
        <v>239</v>
      </c>
      <c r="F23" s="8" t="s">
        <v>240</v>
      </c>
      <c r="G23" s="8" t="s">
        <v>42</v>
      </c>
      <c r="H23" s="8" t="s">
        <v>41</v>
      </c>
      <c r="I23" s="10">
        <v>250</v>
      </c>
      <c r="J23" s="10">
        <v>120</v>
      </c>
      <c r="K23" s="11"/>
      <c r="L23" s="12">
        <f>IF(D23="","",SUMIFS(Movimientos!$D$2:$D$2000,Movimientos!$B$2:$B$2000,A23))</f>
        <v>0</v>
      </c>
      <c r="M23" s="12">
        <f t="shared" si="0"/>
        <v>120</v>
      </c>
      <c r="N23" s="11"/>
      <c r="O23" s="7" t="str">
        <f t="shared" ca="1" si="1"/>
        <v>Sin fecha</v>
      </c>
      <c r="P23" s="8" t="s">
        <v>241</v>
      </c>
      <c r="Q23" s="8" t="s">
        <v>105</v>
      </c>
      <c r="R23" s="8" t="s">
        <v>242</v>
      </c>
      <c r="S23" s="8" t="s">
        <v>74</v>
      </c>
      <c r="T23" s="8"/>
      <c r="U23" s="8"/>
      <c r="V23" s="8" t="s">
        <v>107</v>
      </c>
      <c r="W23" s="8" t="s">
        <v>32</v>
      </c>
      <c r="X23" s="9" t="s">
        <v>108</v>
      </c>
      <c r="Y23" s="13"/>
      <c r="Z23" s="9" t="s">
        <v>243</v>
      </c>
    </row>
    <row r="24" spans="1:26" x14ac:dyDescent="0.3">
      <c r="A24" s="7" t="s">
        <v>244</v>
      </c>
      <c r="B24" s="8" t="s">
        <v>47</v>
      </c>
      <c r="C24" s="9"/>
      <c r="D24" s="8" t="s">
        <v>245</v>
      </c>
      <c r="E24" s="8" t="s">
        <v>246</v>
      </c>
      <c r="F24" s="8" t="s">
        <v>247</v>
      </c>
      <c r="G24" s="8" t="s">
        <v>42</v>
      </c>
      <c r="H24" s="8" t="s">
        <v>41</v>
      </c>
      <c r="I24" s="10">
        <v>5000</v>
      </c>
      <c r="J24" s="10">
        <v>3000</v>
      </c>
      <c r="K24" s="11"/>
      <c r="L24" s="12">
        <f>IF(D24="","",SUMIFS(Movimientos!$D$2:$D$2000,Movimientos!$B$2:$B$2000,A24))</f>
        <v>0</v>
      </c>
      <c r="M24" s="12">
        <f t="shared" si="0"/>
        <v>3000</v>
      </c>
      <c r="N24" s="11">
        <v>43616</v>
      </c>
      <c r="O24" s="7" t="str">
        <f t="shared" ca="1" si="1"/>
        <v>VENCIDO</v>
      </c>
      <c r="P24" s="8" t="s">
        <v>248</v>
      </c>
      <c r="Q24" s="8" t="s">
        <v>105</v>
      </c>
      <c r="R24" s="8" t="s">
        <v>249</v>
      </c>
      <c r="S24" s="8" t="s">
        <v>71</v>
      </c>
      <c r="T24" s="8"/>
      <c r="U24" s="8" t="s">
        <v>250</v>
      </c>
      <c r="V24" s="8" t="s">
        <v>107</v>
      </c>
      <c r="W24" s="8" t="s">
        <v>32</v>
      </c>
      <c r="X24" s="9" t="s">
        <v>108</v>
      </c>
      <c r="Y24" s="13"/>
      <c r="Z24" s="9" t="s">
        <v>251</v>
      </c>
    </row>
    <row r="25" spans="1:26" x14ac:dyDescent="0.3">
      <c r="A25" s="7" t="s">
        <v>252</v>
      </c>
      <c r="B25" s="8" t="s">
        <v>47</v>
      </c>
      <c r="C25" s="9"/>
      <c r="D25" s="8" t="s">
        <v>253</v>
      </c>
      <c r="E25" s="8" t="s">
        <v>254</v>
      </c>
      <c r="F25" s="8" t="s">
        <v>255</v>
      </c>
      <c r="G25" s="8" t="s">
        <v>42</v>
      </c>
      <c r="H25" s="8" t="s">
        <v>41</v>
      </c>
      <c r="I25" s="10">
        <v>1000</v>
      </c>
      <c r="J25" s="10">
        <v>700</v>
      </c>
      <c r="K25" s="11"/>
      <c r="L25" s="12">
        <f>IF(D25="","",SUMIFS(Movimientos!$D$2:$D$2000,Movimientos!$B$2:$B$2000,A25))</f>
        <v>0</v>
      </c>
      <c r="M25" s="12">
        <f t="shared" si="0"/>
        <v>700</v>
      </c>
      <c r="N25" s="11">
        <v>44012</v>
      </c>
      <c r="O25" s="7" t="str">
        <f t="shared" ca="1" si="1"/>
        <v>VENCIDO</v>
      </c>
      <c r="P25" s="8" t="s">
        <v>256</v>
      </c>
      <c r="Q25" s="8" t="s">
        <v>105</v>
      </c>
      <c r="R25" s="8" t="s">
        <v>257</v>
      </c>
      <c r="S25" s="8" t="s">
        <v>76</v>
      </c>
      <c r="T25" s="8"/>
      <c r="U25" s="8"/>
      <c r="V25" s="8" t="s">
        <v>107</v>
      </c>
      <c r="W25" s="8" t="s">
        <v>32</v>
      </c>
      <c r="X25" s="9" t="s">
        <v>108</v>
      </c>
      <c r="Y25" s="13"/>
      <c r="Z25" s="9" t="s">
        <v>258</v>
      </c>
    </row>
    <row r="26" spans="1:26" x14ac:dyDescent="0.3">
      <c r="A26" s="7" t="s">
        <v>259</v>
      </c>
      <c r="B26" s="8" t="s">
        <v>47</v>
      </c>
      <c r="C26" s="9"/>
      <c r="D26" s="8" t="s">
        <v>260</v>
      </c>
      <c r="E26" s="8" t="s">
        <v>261</v>
      </c>
      <c r="F26" s="8" t="s">
        <v>262</v>
      </c>
      <c r="G26" s="8" t="s">
        <v>31</v>
      </c>
      <c r="H26" s="8" t="s">
        <v>30</v>
      </c>
      <c r="I26" s="10">
        <v>100</v>
      </c>
      <c r="J26" s="10">
        <v>45</v>
      </c>
      <c r="K26" s="11"/>
      <c r="L26" s="12">
        <f>IF(D26="","",SUMIFS(Movimientos!$D$2:$D$2000,Movimientos!$B$2:$B$2000,A26))</f>
        <v>0</v>
      </c>
      <c r="M26" s="12">
        <f t="shared" si="0"/>
        <v>45</v>
      </c>
      <c r="N26" s="11"/>
      <c r="O26" s="7" t="str">
        <f t="shared" ca="1" si="1"/>
        <v>Sin fecha</v>
      </c>
      <c r="P26" s="8" t="s">
        <v>263</v>
      </c>
      <c r="Q26" s="8" t="s">
        <v>105</v>
      </c>
      <c r="R26" s="8" t="s">
        <v>106</v>
      </c>
      <c r="S26" s="8" t="s">
        <v>74</v>
      </c>
      <c r="T26" s="8"/>
      <c r="U26" s="8"/>
      <c r="V26" s="8" t="s">
        <v>107</v>
      </c>
      <c r="W26" s="8" t="s">
        <v>32</v>
      </c>
      <c r="X26" s="9" t="s">
        <v>108</v>
      </c>
      <c r="Y26" s="13"/>
      <c r="Z26" s="9" t="s">
        <v>264</v>
      </c>
    </row>
    <row r="27" spans="1:26" x14ac:dyDescent="0.3">
      <c r="A27" s="7" t="s">
        <v>265</v>
      </c>
      <c r="B27" s="8" t="s">
        <v>47</v>
      </c>
      <c r="C27" s="9"/>
      <c r="D27" s="8" t="s">
        <v>266</v>
      </c>
      <c r="E27" s="8" t="s">
        <v>267</v>
      </c>
      <c r="F27" s="8" t="s">
        <v>268</v>
      </c>
      <c r="G27" s="8" t="s">
        <v>42</v>
      </c>
      <c r="H27" s="8" t="s">
        <v>41</v>
      </c>
      <c r="I27" s="10">
        <v>2500</v>
      </c>
      <c r="J27" s="10">
        <v>2000</v>
      </c>
      <c r="K27" s="11"/>
      <c r="L27" s="12">
        <f>IF(D27="","",SUMIFS(Movimientos!$D$2:$D$2000,Movimientos!$B$2:$B$2000,A27))</f>
        <v>0</v>
      </c>
      <c r="M27" s="12">
        <f t="shared" si="0"/>
        <v>2000</v>
      </c>
      <c r="N27" s="11">
        <v>46112</v>
      </c>
      <c r="O27" s="7" t="str">
        <f t="shared" ca="1" si="1"/>
        <v>VENCIDO</v>
      </c>
      <c r="P27" s="8" t="s">
        <v>269</v>
      </c>
      <c r="Q27" s="8" t="s">
        <v>105</v>
      </c>
      <c r="R27" s="8" t="s">
        <v>270</v>
      </c>
      <c r="S27" s="8" t="s">
        <v>75</v>
      </c>
      <c r="T27" s="8"/>
      <c r="U27" s="8" t="s">
        <v>271</v>
      </c>
      <c r="V27" s="8" t="s">
        <v>107</v>
      </c>
      <c r="W27" s="8" t="s">
        <v>32</v>
      </c>
      <c r="X27" s="9" t="s">
        <v>108</v>
      </c>
      <c r="Y27" s="13"/>
      <c r="Z27" s="9" t="s">
        <v>272</v>
      </c>
    </row>
    <row r="28" spans="1:26" x14ac:dyDescent="0.3">
      <c r="A28" s="7" t="s">
        <v>273</v>
      </c>
      <c r="B28" s="8" t="s">
        <v>47</v>
      </c>
      <c r="C28" s="9"/>
      <c r="D28" s="8" t="s">
        <v>274</v>
      </c>
      <c r="E28" s="8" t="s">
        <v>275</v>
      </c>
      <c r="F28" s="8" t="s">
        <v>276</v>
      </c>
      <c r="G28" s="8" t="s">
        <v>42</v>
      </c>
      <c r="H28" s="8" t="s">
        <v>41</v>
      </c>
      <c r="I28" s="10">
        <v>500</v>
      </c>
      <c r="J28" s="10">
        <v>480</v>
      </c>
      <c r="K28" s="11"/>
      <c r="L28" s="12">
        <f>IF(D28="","",SUMIFS(Movimientos!$D$2:$D$2000,Movimientos!$B$2:$B$2000,A28))</f>
        <v>0</v>
      </c>
      <c r="M28" s="12">
        <f t="shared" si="0"/>
        <v>480</v>
      </c>
      <c r="N28" s="11"/>
      <c r="O28" s="7" t="str">
        <f t="shared" ca="1" si="1"/>
        <v>Sin fecha</v>
      </c>
      <c r="P28" s="8" t="s">
        <v>277</v>
      </c>
      <c r="Q28" s="8" t="s">
        <v>105</v>
      </c>
      <c r="R28" s="8" t="s">
        <v>116</v>
      </c>
      <c r="S28" s="8" t="s">
        <v>77</v>
      </c>
      <c r="T28" s="8"/>
      <c r="U28" s="8"/>
      <c r="V28" s="8" t="s">
        <v>107</v>
      </c>
      <c r="W28" s="8" t="s">
        <v>32</v>
      </c>
      <c r="X28" s="9" t="s">
        <v>108</v>
      </c>
      <c r="Y28" s="13"/>
      <c r="Z28" s="9" t="s">
        <v>278</v>
      </c>
    </row>
    <row r="29" spans="1:26" x14ac:dyDescent="0.3">
      <c r="A29" s="7" t="s">
        <v>279</v>
      </c>
      <c r="B29" s="8" t="s">
        <v>47</v>
      </c>
      <c r="C29" s="9"/>
      <c r="D29" s="8" t="s">
        <v>280</v>
      </c>
      <c r="E29" s="8" t="s">
        <v>281</v>
      </c>
      <c r="F29" s="8" t="s">
        <v>282</v>
      </c>
      <c r="G29" s="8" t="s">
        <v>31</v>
      </c>
      <c r="H29" s="8" t="s">
        <v>30</v>
      </c>
      <c r="I29" s="10">
        <v>100</v>
      </c>
      <c r="J29" s="10">
        <v>1</v>
      </c>
      <c r="K29" s="11"/>
      <c r="L29" s="12">
        <f>IF(D29="","",SUMIFS(Movimientos!$D$2:$D$2000,Movimientos!$B$2:$B$2000,A29))</f>
        <v>0</v>
      </c>
      <c r="M29" s="12">
        <f t="shared" si="0"/>
        <v>1</v>
      </c>
      <c r="N29" s="11"/>
      <c r="O29" s="7" t="str">
        <f t="shared" ca="1" si="1"/>
        <v>Sin fecha</v>
      </c>
      <c r="P29" s="8" t="s">
        <v>283</v>
      </c>
      <c r="Q29" s="8" t="s">
        <v>105</v>
      </c>
      <c r="R29" s="8" t="s">
        <v>106</v>
      </c>
      <c r="S29" s="8" t="s">
        <v>76</v>
      </c>
      <c r="T29" s="8"/>
      <c r="U29" s="8"/>
      <c r="V29" s="8" t="s">
        <v>107</v>
      </c>
      <c r="W29" s="8" t="s">
        <v>32</v>
      </c>
      <c r="X29" s="9" t="s">
        <v>108</v>
      </c>
      <c r="Y29" s="13"/>
      <c r="Z29" s="9" t="s">
        <v>284</v>
      </c>
    </row>
    <row r="30" spans="1:26" x14ac:dyDescent="0.3">
      <c r="A30" s="7" t="s">
        <v>285</v>
      </c>
      <c r="B30" s="8" t="s">
        <v>47</v>
      </c>
      <c r="C30" s="9"/>
      <c r="D30" s="8" t="s">
        <v>286</v>
      </c>
      <c r="E30" s="8"/>
      <c r="F30" s="8" t="s">
        <v>287</v>
      </c>
      <c r="G30" s="8" t="s">
        <v>31</v>
      </c>
      <c r="H30" s="8" t="s">
        <v>30</v>
      </c>
      <c r="I30" s="10">
        <v>1000</v>
      </c>
      <c r="J30" s="10">
        <v>1000</v>
      </c>
      <c r="K30" s="11"/>
      <c r="L30" s="12">
        <f>IF(D30="","",SUMIFS(Movimientos!$D$2:$D$2000,Movimientos!$B$2:$B$2000,A30))</f>
        <v>0</v>
      </c>
      <c r="M30" s="12">
        <f t="shared" si="0"/>
        <v>1000</v>
      </c>
      <c r="N30" s="11">
        <v>46046</v>
      </c>
      <c r="O30" s="7" t="str">
        <f t="shared" ca="1" si="1"/>
        <v>VENCIDO</v>
      </c>
      <c r="P30" s="8" t="s">
        <v>288</v>
      </c>
      <c r="Q30" s="8" t="s">
        <v>105</v>
      </c>
      <c r="R30" s="8" t="s">
        <v>106</v>
      </c>
      <c r="S30" s="8" t="s">
        <v>78</v>
      </c>
      <c r="T30" s="8"/>
      <c r="U30" s="8"/>
      <c r="V30" s="8" t="s">
        <v>107</v>
      </c>
      <c r="W30" s="8" t="s">
        <v>32</v>
      </c>
      <c r="X30" s="9" t="s">
        <v>108</v>
      </c>
      <c r="Y30" s="13"/>
      <c r="Z30" s="9" t="s">
        <v>289</v>
      </c>
    </row>
    <row r="31" spans="1:26" x14ac:dyDescent="0.3">
      <c r="A31" s="7" t="s">
        <v>290</v>
      </c>
      <c r="B31" s="8" t="s">
        <v>47</v>
      </c>
      <c r="C31" s="9"/>
      <c r="D31" s="8" t="s">
        <v>291</v>
      </c>
      <c r="E31" s="8"/>
      <c r="F31" s="8"/>
      <c r="G31" s="8" t="s">
        <v>31</v>
      </c>
      <c r="H31" s="8" t="s">
        <v>30</v>
      </c>
      <c r="I31" s="10">
        <v>500</v>
      </c>
      <c r="J31" s="10">
        <v>450</v>
      </c>
      <c r="K31" s="11"/>
      <c r="L31" s="12">
        <f>IF(D31="","",SUMIFS(Movimientos!$D$2:$D$2000,Movimientos!$B$2:$B$2000,A31))</f>
        <v>0</v>
      </c>
      <c r="M31" s="12">
        <f t="shared" si="0"/>
        <v>450</v>
      </c>
      <c r="N31" s="11">
        <v>44991</v>
      </c>
      <c r="O31" s="7" t="str">
        <f t="shared" ca="1" si="1"/>
        <v>VENCIDO</v>
      </c>
      <c r="P31" s="8" t="s">
        <v>292</v>
      </c>
      <c r="Q31" s="8" t="s">
        <v>105</v>
      </c>
      <c r="R31" s="8" t="s">
        <v>106</v>
      </c>
      <c r="S31" s="8" t="s">
        <v>78</v>
      </c>
      <c r="T31" s="8"/>
      <c r="U31" s="8"/>
      <c r="V31" s="8" t="s">
        <v>107</v>
      </c>
      <c r="W31" s="8" t="s">
        <v>32</v>
      </c>
      <c r="X31" s="9" t="s">
        <v>108</v>
      </c>
      <c r="Y31" s="13"/>
      <c r="Z31" s="9" t="s">
        <v>293</v>
      </c>
    </row>
    <row r="32" spans="1:26" x14ac:dyDescent="0.3">
      <c r="A32" s="7" t="s">
        <v>294</v>
      </c>
      <c r="B32" s="8" t="s">
        <v>47</v>
      </c>
      <c r="C32" s="9"/>
      <c r="D32" s="8" t="s">
        <v>295</v>
      </c>
      <c r="E32" s="8"/>
      <c r="F32" s="8"/>
      <c r="G32" s="8" t="s">
        <v>31</v>
      </c>
      <c r="H32" s="8" t="s">
        <v>30</v>
      </c>
      <c r="I32" s="10">
        <v>500</v>
      </c>
      <c r="J32" s="10">
        <v>250</v>
      </c>
      <c r="K32" s="11"/>
      <c r="L32" s="12">
        <f>IF(D32="","",SUMIFS(Movimientos!$D$2:$D$2000,Movimientos!$B$2:$B$2000,A32))</f>
        <v>0</v>
      </c>
      <c r="M32" s="12">
        <f t="shared" si="0"/>
        <v>250</v>
      </c>
      <c r="N32" s="11">
        <v>45011</v>
      </c>
      <c r="O32" s="7" t="str">
        <f t="shared" ca="1" si="1"/>
        <v>VENCIDO</v>
      </c>
      <c r="P32" s="8" t="s">
        <v>296</v>
      </c>
      <c r="Q32" s="8" t="s">
        <v>105</v>
      </c>
      <c r="R32" s="8" t="s">
        <v>106</v>
      </c>
      <c r="S32" s="8" t="s">
        <v>78</v>
      </c>
      <c r="T32" s="8"/>
      <c r="U32" s="8"/>
      <c r="V32" s="8" t="s">
        <v>107</v>
      </c>
      <c r="W32" s="8" t="s">
        <v>32</v>
      </c>
      <c r="X32" s="9" t="s">
        <v>108</v>
      </c>
      <c r="Y32" s="13"/>
      <c r="Z32" s="9" t="s">
        <v>297</v>
      </c>
    </row>
    <row r="33" spans="1:26" x14ac:dyDescent="0.3">
      <c r="A33" s="7" t="s">
        <v>298</v>
      </c>
      <c r="B33" s="8" t="s">
        <v>47</v>
      </c>
      <c r="C33" s="9"/>
      <c r="D33" s="8" t="s">
        <v>299</v>
      </c>
      <c r="E33" s="8"/>
      <c r="F33" s="8"/>
      <c r="G33" s="8" t="s">
        <v>31</v>
      </c>
      <c r="H33" s="8" t="s">
        <v>30</v>
      </c>
      <c r="I33" s="10">
        <v>1000</v>
      </c>
      <c r="J33" s="10">
        <v>900</v>
      </c>
      <c r="K33" s="11"/>
      <c r="L33" s="12">
        <f>IF(D33="","",SUMIFS(Movimientos!$D$2:$D$2000,Movimientos!$B$2:$B$2000,A33))</f>
        <v>0</v>
      </c>
      <c r="M33" s="12">
        <f t="shared" si="0"/>
        <v>900</v>
      </c>
      <c r="N33" s="11">
        <v>44797</v>
      </c>
      <c r="O33" s="7" t="str">
        <f t="shared" ca="1" si="1"/>
        <v>VENCIDO</v>
      </c>
      <c r="P33" s="8" t="s">
        <v>300</v>
      </c>
      <c r="Q33" s="8" t="s">
        <v>105</v>
      </c>
      <c r="R33" s="8" t="s">
        <v>106</v>
      </c>
      <c r="S33" s="8" t="s">
        <v>78</v>
      </c>
      <c r="T33" s="8"/>
      <c r="U33" s="8"/>
      <c r="V33" s="8" t="s">
        <v>107</v>
      </c>
      <c r="W33" s="8" t="s">
        <v>32</v>
      </c>
      <c r="X33" s="9" t="s">
        <v>108</v>
      </c>
      <c r="Y33" s="13"/>
      <c r="Z33" s="9" t="s">
        <v>301</v>
      </c>
    </row>
    <row r="34" spans="1:26" x14ac:dyDescent="0.3">
      <c r="A34" s="7" t="s">
        <v>302</v>
      </c>
      <c r="B34" s="8" t="s">
        <v>47</v>
      </c>
      <c r="C34" s="9"/>
      <c r="D34" s="8" t="s">
        <v>299</v>
      </c>
      <c r="E34" s="8"/>
      <c r="F34" s="8"/>
      <c r="G34" s="8" t="s">
        <v>31</v>
      </c>
      <c r="H34" s="8" t="s">
        <v>30</v>
      </c>
      <c r="I34" s="10">
        <v>500</v>
      </c>
      <c r="J34" s="10">
        <v>450</v>
      </c>
      <c r="K34" s="11"/>
      <c r="L34" s="12">
        <f>IF(D34="","",SUMIFS(Movimientos!$D$2:$D$2000,Movimientos!$B$2:$B$2000,A34))</f>
        <v>0</v>
      </c>
      <c r="M34" s="12">
        <f t="shared" si="0"/>
        <v>450</v>
      </c>
      <c r="N34" s="11">
        <v>44671</v>
      </c>
      <c r="O34" s="7" t="str">
        <f t="shared" ca="1" si="1"/>
        <v>VENCIDO</v>
      </c>
      <c r="P34" s="8" t="s">
        <v>303</v>
      </c>
      <c r="Q34" s="8" t="s">
        <v>105</v>
      </c>
      <c r="R34" s="8" t="s">
        <v>106</v>
      </c>
      <c r="S34" s="8" t="s">
        <v>78</v>
      </c>
      <c r="T34" s="8"/>
      <c r="U34" s="8"/>
      <c r="V34" s="8" t="s">
        <v>107</v>
      </c>
      <c r="W34" s="8" t="s">
        <v>32</v>
      </c>
      <c r="X34" s="9" t="s">
        <v>108</v>
      </c>
      <c r="Y34" s="13"/>
      <c r="Z34" s="9" t="s">
        <v>304</v>
      </c>
    </row>
    <row r="35" spans="1:26" x14ac:dyDescent="0.3">
      <c r="A35" s="7" t="s">
        <v>305</v>
      </c>
      <c r="B35" s="8" t="s">
        <v>47</v>
      </c>
      <c r="C35" s="9"/>
      <c r="D35" s="8" t="s">
        <v>306</v>
      </c>
      <c r="E35" s="8"/>
      <c r="F35" s="8"/>
      <c r="G35" s="8" t="s">
        <v>31</v>
      </c>
      <c r="H35" s="8" t="s">
        <v>30</v>
      </c>
      <c r="I35" s="10">
        <v>500</v>
      </c>
      <c r="J35" s="10">
        <v>480</v>
      </c>
      <c r="K35" s="11"/>
      <c r="L35" s="12">
        <f>IF(D35="","",SUMIFS(Movimientos!$D$2:$D$2000,Movimientos!$B$2:$B$2000,A35))</f>
        <v>0</v>
      </c>
      <c r="M35" s="12">
        <f t="shared" si="0"/>
        <v>480</v>
      </c>
      <c r="N35" s="11">
        <v>44839</v>
      </c>
      <c r="O35" s="7" t="str">
        <f t="shared" ca="1" si="1"/>
        <v>VENCIDO</v>
      </c>
      <c r="P35" s="8" t="s">
        <v>307</v>
      </c>
      <c r="Q35" s="8" t="s">
        <v>105</v>
      </c>
      <c r="R35" s="8" t="s">
        <v>106</v>
      </c>
      <c r="S35" s="8" t="s">
        <v>78</v>
      </c>
      <c r="T35" s="8"/>
      <c r="U35" s="8"/>
      <c r="V35" s="8" t="s">
        <v>107</v>
      </c>
      <c r="W35" s="8" t="s">
        <v>32</v>
      </c>
      <c r="X35" s="9" t="s">
        <v>108</v>
      </c>
      <c r="Y35" s="13"/>
      <c r="Z35" s="9" t="s">
        <v>308</v>
      </c>
    </row>
    <row r="36" spans="1:26" x14ac:dyDescent="0.3">
      <c r="A36" s="7" t="s">
        <v>309</v>
      </c>
      <c r="B36" s="8" t="s">
        <v>47</v>
      </c>
      <c r="C36" s="9"/>
      <c r="D36" s="8" t="s">
        <v>310</v>
      </c>
      <c r="E36" s="8"/>
      <c r="F36" s="8"/>
      <c r="G36" s="8" t="s">
        <v>31</v>
      </c>
      <c r="H36" s="8" t="s">
        <v>30</v>
      </c>
      <c r="I36" s="10">
        <v>500</v>
      </c>
      <c r="J36" s="10">
        <v>500</v>
      </c>
      <c r="K36" s="11"/>
      <c r="L36" s="12">
        <f>IF(D36="","",SUMIFS(Movimientos!$D$2:$D$2000,Movimientos!$B$2:$B$2000,A36))</f>
        <v>0</v>
      </c>
      <c r="M36" s="12">
        <f t="shared" si="0"/>
        <v>500</v>
      </c>
      <c r="N36" s="11">
        <v>45900</v>
      </c>
      <c r="O36" s="7" t="str">
        <f t="shared" ca="1" si="1"/>
        <v>VENCIDO</v>
      </c>
      <c r="P36" s="8" t="s">
        <v>311</v>
      </c>
      <c r="Q36" s="8" t="s">
        <v>105</v>
      </c>
      <c r="R36" s="8" t="s">
        <v>106</v>
      </c>
      <c r="S36" s="8" t="s">
        <v>78</v>
      </c>
      <c r="T36" s="8"/>
      <c r="U36" s="8"/>
      <c r="V36" s="8" t="s">
        <v>107</v>
      </c>
      <c r="W36" s="8" t="s">
        <v>32</v>
      </c>
      <c r="X36" s="9" t="s">
        <v>108</v>
      </c>
      <c r="Y36" s="13"/>
      <c r="Z36" s="9" t="s">
        <v>312</v>
      </c>
    </row>
    <row r="37" spans="1:26" x14ac:dyDescent="0.3">
      <c r="A37" s="7" t="s">
        <v>313</v>
      </c>
      <c r="B37" s="8" t="s">
        <v>47</v>
      </c>
      <c r="C37" s="9"/>
      <c r="D37" s="8" t="s">
        <v>314</v>
      </c>
      <c r="E37" s="8"/>
      <c r="F37" s="8"/>
      <c r="G37" s="8" t="s">
        <v>31</v>
      </c>
      <c r="H37" s="8" t="s">
        <v>30</v>
      </c>
      <c r="I37" s="10">
        <v>500</v>
      </c>
      <c r="J37" s="10">
        <v>480</v>
      </c>
      <c r="K37" s="11"/>
      <c r="L37" s="12">
        <f>IF(D37="","",SUMIFS(Movimientos!$D$2:$D$2000,Movimientos!$B$2:$B$2000,A37))</f>
        <v>0</v>
      </c>
      <c r="M37" s="12">
        <f t="shared" si="0"/>
        <v>480</v>
      </c>
      <c r="N37" s="11">
        <v>44671</v>
      </c>
      <c r="O37" s="7" t="str">
        <f t="shared" ca="1" si="1"/>
        <v>VENCIDO</v>
      </c>
      <c r="P37" s="8" t="s">
        <v>315</v>
      </c>
      <c r="Q37" s="8" t="s">
        <v>105</v>
      </c>
      <c r="R37" s="8" t="s">
        <v>106</v>
      </c>
      <c r="S37" s="8" t="s">
        <v>78</v>
      </c>
      <c r="T37" s="8"/>
      <c r="U37" s="8"/>
      <c r="V37" s="8" t="s">
        <v>107</v>
      </c>
      <c r="W37" s="8" t="s">
        <v>32</v>
      </c>
      <c r="X37" s="9" t="s">
        <v>108</v>
      </c>
      <c r="Y37" s="13"/>
      <c r="Z37" s="9" t="s">
        <v>316</v>
      </c>
    </row>
    <row r="38" spans="1:26" x14ac:dyDescent="0.3">
      <c r="A38" s="7" t="s">
        <v>317</v>
      </c>
      <c r="B38" s="8" t="s">
        <v>47</v>
      </c>
      <c r="C38" s="9"/>
      <c r="D38" s="8" t="s">
        <v>318</v>
      </c>
      <c r="E38" s="8"/>
      <c r="F38" s="8"/>
      <c r="G38" s="8" t="s">
        <v>31</v>
      </c>
      <c r="H38" s="8" t="s">
        <v>30</v>
      </c>
      <c r="I38" s="10">
        <v>500</v>
      </c>
      <c r="J38" s="10">
        <v>450</v>
      </c>
      <c r="K38" s="11"/>
      <c r="L38" s="12">
        <f>IF(D38="","",SUMIFS(Movimientos!$D$2:$D$2000,Movimientos!$B$2:$B$2000,A38))</f>
        <v>0</v>
      </c>
      <c r="M38" s="12">
        <f t="shared" si="0"/>
        <v>450</v>
      </c>
      <c r="N38" s="11"/>
      <c r="O38" s="7" t="str">
        <f t="shared" ca="1" si="1"/>
        <v>Sin fecha</v>
      </c>
      <c r="P38" s="8" t="s">
        <v>319</v>
      </c>
      <c r="Q38" s="8" t="s">
        <v>105</v>
      </c>
      <c r="R38" s="8" t="s">
        <v>106</v>
      </c>
      <c r="S38" s="8" t="s">
        <v>78</v>
      </c>
      <c r="T38" s="8"/>
      <c r="U38" s="8"/>
      <c r="V38" s="8" t="s">
        <v>107</v>
      </c>
      <c r="W38" s="8" t="s">
        <v>32</v>
      </c>
      <c r="X38" s="9" t="s">
        <v>108</v>
      </c>
      <c r="Y38" s="13"/>
      <c r="Z38" s="9" t="s">
        <v>320</v>
      </c>
    </row>
    <row r="39" spans="1:26" x14ac:dyDescent="0.3">
      <c r="A39" s="7" t="s">
        <v>321</v>
      </c>
      <c r="B39" s="8" t="s">
        <v>47</v>
      </c>
      <c r="C39" s="9"/>
      <c r="D39" s="8" t="s">
        <v>318</v>
      </c>
      <c r="E39" s="8"/>
      <c r="F39" s="8"/>
      <c r="G39" s="8" t="s">
        <v>31</v>
      </c>
      <c r="H39" s="8" t="s">
        <v>30</v>
      </c>
      <c r="I39" s="10">
        <v>500</v>
      </c>
      <c r="J39" s="10">
        <v>480</v>
      </c>
      <c r="K39" s="11"/>
      <c r="L39" s="12">
        <f>IF(D39="","",SUMIFS(Movimientos!$D$2:$D$2000,Movimientos!$B$2:$B$2000,A39))</f>
        <v>0</v>
      </c>
      <c r="M39" s="12">
        <f t="shared" si="0"/>
        <v>480</v>
      </c>
      <c r="N39" s="11">
        <v>44613</v>
      </c>
      <c r="O39" s="7" t="str">
        <f t="shared" ca="1" si="1"/>
        <v>VENCIDO</v>
      </c>
      <c r="P39" s="8" t="s">
        <v>322</v>
      </c>
      <c r="Q39" s="8" t="s">
        <v>105</v>
      </c>
      <c r="R39" s="8" t="s">
        <v>106</v>
      </c>
      <c r="S39" s="8" t="s">
        <v>78</v>
      </c>
      <c r="T39" s="8"/>
      <c r="U39" s="8"/>
      <c r="V39" s="8" t="s">
        <v>107</v>
      </c>
      <c r="W39" s="8" t="s">
        <v>32</v>
      </c>
      <c r="X39" s="9" t="s">
        <v>108</v>
      </c>
      <c r="Y39" s="13"/>
      <c r="Z39" s="9" t="s">
        <v>323</v>
      </c>
    </row>
    <row r="40" spans="1:26" x14ac:dyDescent="0.3">
      <c r="A40" s="7" t="s">
        <v>324</v>
      </c>
      <c r="B40" s="8" t="s">
        <v>47</v>
      </c>
      <c r="C40" s="9"/>
      <c r="D40" s="8" t="s">
        <v>325</v>
      </c>
      <c r="E40" s="8"/>
      <c r="F40" s="8"/>
      <c r="G40" s="8" t="s">
        <v>31</v>
      </c>
      <c r="H40" s="8" t="s">
        <v>30</v>
      </c>
      <c r="I40" s="10">
        <v>500</v>
      </c>
      <c r="J40" s="10">
        <v>250</v>
      </c>
      <c r="K40" s="11"/>
      <c r="L40" s="12">
        <f>IF(D40="","",SUMIFS(Movimientos!$D$2:$D$2000,Movimientos!$B$2:$B$2000,A40))</f>
        <v>0</v>
      </c>
      <c r="M40" s="12">
        <f t="shared" si="0"/>
        <v>250</v>
      </c>
      <c r="N40" s="11">
        <v>44535</v>
      </c>
      <c r="O40" s="7" t="str">
        <f t="shared" ca="1" si="1"/>
        <v>VENCIDO</v>
      </c>
      <c r="P40" s="8" t="s">
        <v>326</v>
      </c>
      <c r="Q40" s="8" t="s">
        <v>105</v>
      </c>
      <c r="R40" s="8" t="s">
        <v>106</v>
      </c>
      <c r="S40" s="8" t="s">
        <v>78</v>
      </c>
      <c r="T40" s="8"/>
      <c r="U40" s="8"/>
      <c r="V40" s="8" t="s">
        <v>107</v>
      </c>
      <c r="W40" s="8" t="s">
        <v>32</v>
      </c>
      <c r="X40" s="9" t="s">
        <v>108</v>
      </c>
      <c r="Y40" s="13"/>
      <c r="Z40" s="9" t="s">
        <v>327</v>
      </c>
    </row>
    <row r="41" spans="1:26" x14ac:dyDescent="0.3">
      <c r="A41" s="7" t="s">
        <v>328</v>
      </c>
      <c r="B41" s="8" t="s">
        <v>47</v>
      </c>
      <c r="C41" s="9"/>
      <c r="D41" s="8" t="s">
        <v>325</v>
      </c>
      <c r="E41" s="8"/>
      <c r="F41" s="8"/>
      <c r="G41" s="8" t="s">
        <v>31</v>
      </c>
      <c r="H41" s="8" t="s">
        <v>30</v>
      </c>
      <c r="I41" s="10">
        <v>500</v>
      </c>
      <c r="J41" s="10">
        <v>490</v>
      </c>
      <c r="K41" s="11"/>
      <c r="L41" s="12">
        <f>IF(D41="","",SUMIFS(Movimientos!$D$2:$D$2000,Movimientos!$B$2:$B$2000,A41))</f>
        <v>0</v>
      </c>
      <c r="M41" s="12">
        <f t="shared" si="0"/>
        <v>490</v>
      </c>
      <c r="N41" s="11">
        <v>45146</v>
      </c>
      <c r="O41" s="7" t="str">
        <f t="shared" ca="1" si="1"/>
        <v>VENCIDO</v>
      </c>
      <c r="P41" s="8" t="s">
        <v>329</v>
      </c>
      <c r="Q41" s="8" t="s">
        <v>105</v>
      </c>
      <c r="R41" s="8" t="s">
        <v>106</v>
      </c>
      <c r="S41" s="8" t="s">
        <v>78</v>
      </c>
      <c r="T41" s="8"/>
      <c r="U41" s="8"/>
      <c r="V41" s="8" t="s">
        <v>107</v>
      </c>
      <c r="W41" s="8" t="s">
        <v>32</v>
      </c>
      <c r="X41" s="9" t="s">
        <v>108</v>
      </c>
      <c r="Y41" s="13"/>
      <c r="Z41" s="9" t="s">
        <v>330</v>
      </c>
    </row>
    <row r="42" spans="1:26" x14ac:dyDescent="0.3">
      <c r="A42" s="7" t="s">
        <v>331</v>
      </c>
      <c r="B42" s="8" t="s">
        <v>47</v>
      </c>
      <c r="C42" s="9"/>
      <c r="D42" s="8" t="s">
        <v>325</v>
      </c>
      <c r="E42" s="8"/>
      <c r="F42" s="8"/>
      <c r="G42" s="8" t="s">
        <v>31</v>
      </c>
      <c r="H42" s="8" t="s">
        <v>30</v>
      </c>
      <c r="I42" s="10">
        <v>500</v>
      </c>
      <c r="J42" s="10">
        <v>500</v>
      </c>
      <c r="K42" s="11"/>
      <c r="L42" s="12">
        <f>IF(D42="","",SUMIFS(Movimientos!$D$2:$D$2000,Movimientos!$B$2:$B$2000,A42))</f>
        <v>0</v>
      </c>
      <c r="M42" s="12">
        <f t="shared" si="0"/>
        <v>500</v>
      </c>
      <c r="N42" s="11">
        <v>46507</v>
      </c>
      <c r="O42" s="7" t="str">
        <f t="shared" ca="1" si="1"/>
        <v>Vigente</v>
      </c>
      <c r="P42" s="8" t="s">
        <v>332</v>
      </c>
      <c r="Q42" s="8" t="s">
        <v>105</v>
      </c>
      <c r="R42" s="8" t="s">
        <v>106</v>
      </c>
      <c r="S42" s="8" t="s">
        <v>78</v>
      </c>
      <c r="T42" s="8"/>
      <c r="U42" s="8"/>
      <c r="V42" s="8" t="s">
        <v>107</v>
      </c>
      <c r="W42" s="8" t="s">
        <v>32</v>
      </c>
      <c r="X42" s="9" t="s">
        <v>108</v>
      </c>
      <c r="Y42" s="13"/>
      <c r="Z42" s="9" t="s">
        <v>333</v>
      </c>
    </row>
    <row r="43" spans="1:26" x14ac:dyDescent="0.3">
      <c r="A43" s="7" t="s">
        <v>334</v>
      </c>
      <c r="B43" s="8" t="s">
        <v>47</v>
      </c>
      <c r="C43" s="9"/>
      <c r="D43" s="8" t="s">
        <v>325</v>
      </c>
      <c r="E43" s="8"/>
      <c r="F43" s="8"/>
      <c r="G43" s="8" t="s">
        <v>31</v>
      </c>
      <c r="H43" s="8" t="s">
        <v>30</v>
      </c>
      <c r="I43" s="10">
        <v>500</v>
      </c>
      <c r="J43" s="10">
        <v>490</v>
      </c>
      <c r="K43" s="11"/>
      <c r="L43" s="12">
        <f>IF(D43="","",SUMIFS(Movimientos!$D$2:$D$2000,Movimientos!$B$2:$B$2000,A43))</f>
        <v>0</v>
      </c>
      <c r="M43" s="12">
        <f t="shared" si="0"/>
        <v>490</v>
      </c>
      <c r="N43" s="11">
        <v>44969</v>
      </c>
      <c r="O43" s="7" t="str">
        <f t="shared" ca="1" si="1"/>
        <v>VENCIDO</v>
      </c>
      <c r="P43" s="8" t="s">
        <v>335</v>
      </c>
      <c r="Q43" s="8" t="s">
        <v>105</v>
      </c>
      <c r="R43" s="8" t="s">
        <v>106</v>
      </c>
      <c r="S43" s="8" t="s">
        <v>78</v>
      </c>
      <c r="T43" s="8"/>
      <c r="U43" s="8"/>
      <c r="V43" s="8" t="s">
        <v>107</v>
      </c>
      <c r="W43" s="8" t="s">
        <v>32</v>
      </c>
      <c r="X43" s="9" t="s">
        <v>108</v>
      </c>
      <c r="Y43" s="13"/>
      <c r="Z43" s="9" t="s">
        <v>336</v>
      </c>
    </row>
    <row r="44" spans="1:26" x14ac:dyDescent="0.3">
      <c r="A44" s="7" t="s">
        <v>337</v>
      </c>
      <c r="B44" s="8" t="s">
        <v>47</v>
      </c>
      <c r="C44" s="9"/>
      <c r="D44" s="8" t="s">
        <v>325</v>
      </c>
      <c r="E44" s="8"/>
      <c r="F44" s="8"/>
      <c r="G44" s="8" t="s">
        <v>31</v>
      </c>
      <c r="H44" s="8" t="s">
        <v>30</v>
      </c>
      <c r="I44" s="10">
        <v>500</v>
      </c>
      <c r="J44" s="10">
        <v>150</v>
      </c>
      <c r="K44" s="11"/>
      <c r="L44" s="12">
        <f>IF(D44="","",SUMIFS(Movimientos!$D$2:$D$2000,Movimientos!$B$2:$B$2000,A44))</f>
        <v>0</v>
      </c>
      <c r="M44" s="12">
        <f t="shared" si="0"/>
        <v>150</v>
      </c>
      <c r="N44" s="11">
        <v>44480</v>
      </c>
      <c r="O44" s="7" t="str">
        <f t="shared" ca="1" si="1"/>
        <v>VENCIDO</v>
      </c>
      <c r="P44" s="8" t="s">
        <v>338</v>
      </c>
      <c r="Q44" s="8" t="s">
        <v>105</v>
      </c>
      <c r="R44" s="8" t="s">
        <v>106</v>
      </c>
      <c r="S44" s="8" t="s">
        <v>78</v>
      </c>
      <c r="T44" s="8"/>
      <c r="U44" s="8"/>
      <c r="V44" s="8" t="s">
        <v>107</v>
      </c>
      <c r="W44" s="8" t="s">
        <v>32</v>
      </c>
      <c r="X44" s="9" t="s">
        <v>108</v>
      </c>
      <c r="Y44" s="13"/>
      <c r="Z44" s="9" t="s">
        <v>339</v>
      </c>
    </row>
    <row r="45" spans="1:26" x14ac:dyDescent="0.3">
      <c r="A45" s="7" t="s">
        <v>340</v>
      </c>
      <c r="B45" s="8" t="s">
        <v>47</v>
      </c>
      <c r="C45" s="9"/>
      <c r="D45" s="8" t="s">
        <v>341</v>
      </c>
      <c r="E45" s="8"/>
      <c r="F45" s="8"/>
      <c r="G45" s="8" t="s">
        <v>31</v>
      </c>
      <c r="H45" s="8" t="s">
        <v>30</v>
      </c>
      <c r="I45" s="10">
        <v>500</v>
      </c>
      <c r="J45" s="10">
        <v>500</v>
      </c>
      <c r="K45" s="11"/>
      <c r="L45" s="12">
        <f>IF(D45="","",SUMIFS(Movimientos!$D$2:$D$2000,Movimientos!$B$2:$B$2000,A45))</f>
        <v>0</v>
      </c>
      <c r="M45" s="12">
        <f t="shared" si="0"/>
        <v>500</v>
      </c>
      <c r="N45" s="11">
        <v>45039</v>
      </c>
      <c r="O45" s="7" t="str">
        <f t="shared" ca="1" si="1"/>
        <v>VENCIDO</v>
      </c>
      <c r="P45" s="8" t="s">
        <v>342</v>
      </c>
      <c r="Q45" s="8" t="s">
        <v>105</v>
      </c>
      <c r="R45" s="8" t="s">
        <v>106</v>
      </c>
      <c r="S45" s="8" t="s">
        <v>78</v>
      </c>
      <c r="T45" s="8"/>
      <c r="U45" s="8"/>
      <c r="V45" s="8" t="s">
        <v>107</v>
      </c>
      <c r="W45" s="8" t="s">
        <v>32</v>
      </c>
      <c r="X45" s="9" t="s">
        <v>108</v>
      </c>
      <c r="Y45" s="13"/>
      <c r="Z45" s="9" t="s">
        <v>343</v>
      </c>
    </row>
    <row r="46" spans="1:26" x14ac:dyDescent="0.3">
      <c r="A46" s="7" t="s">
        <v>344</v>
      </c>
      <c r="B46" s="8" t="s">
        <v>47</v>
      </c>
      <c r="C46" s="9"/>
      <c r="D46" s="8" t="s">
        <v>345</v>
      </c>
      <c r="E46" s="8"/>
      <c r="F46" s="8"/>
      <c r="G46" s="8" t="s">
        <v>31</v>
      </c>
      <c r="H46" s="8" t="s">
        <v>30</v>
      </c>
      <c r="I46" s="10">
        <v>500</v>
      </c>
      <c r="J46" s="10">
        <v>500</v>
      </c>
      <c r="K46" s="11"/>
      <c r="L46" s="12">
        <f>IF(D46="","",SUMIFS(Movimientos!$D$2:$D$2000,Movimientos!$B$2:$B$2000,A46))</f>
        <v>0</v>
      </c>
      <c r="M46" s="12">
        <f t="shared" si="0"/>
        <v>500</v>
      </c>
      <c r="N46" s="11">
        <v>46477</v>
      </c>
      <c r="O46" s="7" t="str">
        <f t="shared" ca="1" si="1"/>
        <v>Vigente</v>
      </c>
      <c r="P46" s="8" t="s">
        <v>346</v>
      </c>
      <c r="Q46" s="8" t="s">
        <v>105</v>
      </c>
      <c r="R46" s="8" t="s">
        <v>106</v>
      </c>
      <c r="S46" s="8" t="s">
        <v>78</v>
      </c>
      <c r="T46" s="8"/>
      <c r="U46" s="8"/>
      <c r="V46" s="8" t="s">
        <v>107</v>
      </c>
      <c r="W46" s="8" t="s">
        <v>32</v>
      </c>
      <c r="X46" s="9" t="s">
        <v>108</v>
      </c>
      <c r="Y46" s="13"/>
      <c r="Z46" s="9" t="s">
        <v>347</v>
      </c>
    </row>
    <row r="47" spans="1:26" x14ac:dyDescent="0.3">
      <c r="A47" s="7" t="s">
        <v>348</v>
      </c>
      <c r="B47" s="8" t="s">
        <v>47</v>
      </c>
      <c r="C47" s="9"/>
      <c r="D47" s="8" t="s">
        <v>345</v>
      </c>
      <c r="E47" s="8"/>
      <c r="F47" s="8"/>
      <c r="G47" s="8" t="s">
        <v>31</v>
      </c>
      <c r="H47" s="8" t="s">
        <v>30</v>
      </c>
      <c r="I47" s="10">
        <v>500</v>
      </c>
      <c r="J47" s="10">
        <v>100</v>
      </c>
      <c r="K47" s="11"/>
      <c r="L47" s="12">
        <f>IF(D47="","",SUMIFS(Movimientos!$D$2:$D$2000,Movimientos!$B$2:$B$2000,A47))</f>
        <v>0</v>
      </c>
      <c r="M47" s="12">
        <f t="shared" si="0"/>
        <v>100</v>
      </c>
      <c r="N47" s="11">
        <v>45312</v>
      </c>
      <c r="O47" s="7" t="str">
        <f t="shared" ca="1" si="1"/>
        <v>VENCIDO</v>
      </c>
      <c r="P47" s="8" t="s">
        <v>349</v>
      </c>
      <c r="Q47" s="8" t="s">
        <v>105</v>
      </c>
      <c r="R47" s="8" t="s">
        <v>106</v>
      </c>
      <c r="S47" s="8" t="s">
        <v>78</v>
      </c>
      <c r="T47" s="8"/>
      <c r="U47" s="8"/>
      <c r="V47" s="8" t="s">
        <v>107</v>
      </c>
      <c r="W47" s="8" t="s">
        <v>32</v>
      </c>
      <c r="X47" s="9" t="s">
        <v>108</v>
      </c>
      <c r="Y47" s="13"/>
      <c r="Z47" s="9" t="s">
        <v>350</v>
      </c>
    </row>
    <row r="48" spans="1:26" x14ac:dyDescent="0.3">
      <c r="A48" s="7" t="s">
        <v>351</v>
      </c>
      <c r="B48" s="8" t="s">
        <v>47</v>
      </c>
      <c r="C48" s="9"/>
      <c r="D48" s="8" t="s">
        <v>352</v>
      </c>
      <c r="E48" s="8"/>
      <c r="F48" s="8"/>
      <c r="G48" s="8" t="s">
        <v>31</v>
      </c>
      <c r="H48" s="8" t="s">
        <v>30</v>
      </c>
      <c r="I48" s="10">
        <v>500</v>
      </c>
      <c r="J48" s="10">
        <v>500</v>
      </c>
      <c r="K48" s="11"/>
      <c r="L48" s="12">
        <f>IF(D48="","",SUMIFS(Movimientos!$D$2:$D$2000,Movimientos!$B$2:$B$2000,A48))</f>
        <v>0</v>
      </c>
      <c r="M48" s="12">
        <f t="shared" si="0"/>
        <v>500</v>
      </c>
      <c r="N48" s="11">
        <v>44816</v>
      </c>
      <c r="O48" s="7" t="str">
        <f t="shared" ca="1" si="1"/>
        <v>VENCIDO</v>
      </c>
      <c r="P48" s="8" t="s">
        <v>353</v>
      </c>
      <c r="Q48" s="8" t="s">
        <v>105</v>
      </c>
      <c r="R48" s="8" t="s">
        <v>106</v>
      </c>
      <c r="S48" s="8" t="s">
        <v>78</v>
      </c>
      <c r="T48" s="8"/>
      <c r="U48" s="8"/>
      <c r="V48" s="8" t="s">
        <v>107</v>
      </c>
      <c r="W48" s="8" t="s">
        <v>32</v>
      </c>
      <c r="X48" s="9" t="s">
        <v>108</v>
      </c>
      <c r="Y48" s="13"/>
      <c r="Z48" s="9" t="s">
        <v>354</v>
      </c>
    </row>
    <row r="49" spans="1:26" x14ac:dyDescent="0.3">
      <c r="A49" s="7" t="s">
        <v>355</v>
      </c>
      <c r="B49" s="8" t="s">
        <v>47</v>
      </c>
      <c r="C49" s="9"/>
      <c r="D49" s="8" t="s">
        <v>352</v>
      </c>
      <c r="E49" s="8"/>
      <c r="F49" s="8"/>
      <c r="G49" s="8" t="s">
        <v>31</v>
      </c>
      <c r="H49" s="8" t="s">
        <v>30</v>
      </c>
      <c r="I49" s="10">
        <v>500</v>
      </c>
      <c r="J49" s="10">
        <v>450</v>
      </c>
      <c r="K49" s="11"/>
      <c r="L49" s="12">
        <f>IF(D49="","",SUMIFS(Movimientos!$D$2:$D$2000,Movimientos!$B$2:$B$2000,A49))</f>
        <v>0</v>
      </c>
      <c r="M49" s="12">
        <f t="shared" si="0"/>
        <v>450</v>
      </c>
      <c r="N49" s="11">
        <v>45333</v>
      </c>
      <c r="O49" s="7" t="str">
        <f t="shared" ca="1" si="1"/>
        <v>VENCIDO</v>
      </c>
      <c r="P49" s="8" t="s">
        <v>356</v>
      </c>
      <c r="Q49" s="8" t="s">
        <v>105</v>
      </c>
      <c r="R49" s="8" t="s">
        <v>106</v>
      </c>
      <c r="S49" s="8" t="s">
        <v>78</v>
      </c>
      <c r="T49" s="8"/>
      <c r="U49" s="8"/>
      <c r="V49" s="8" t="s">
        <v>107</v>
      </c>
      <c r="W49" s="8" t="s">
        <v>32</v>
      </c>
      <c r="X49" s="9" t="s">
        <v>108</v>
      </c>
      <c r="Y49" s="13"/>
      <c r="Z49" s="9" t="s">
        <v>357</v>
      </c>
    </row>
    <row r="50" spans="1:26" x14ac:dyDescent="0.3">
      <c r="A50" s="7" t="s">
        <v>358</v>
      </c>
      <c r="B50" s="8" t="s">
        <v>47</v>
      </c>
      <c r="C50" s="9"/>
      <c r="D50" s="8" t="s">
        <v>359</v>
      </c>
      <c r="E50" s="8"/>
      <c r="F50" s="8"/>
      <c r="G50" s="8" t="s">
        <v>31</v>
      </c>
      <c r="H50" s="8" t="s">
        <v>30</v>
      </c>
      <c r="I50" s="10">
        <v>500</v>
      </c>
      <c r="J50" s="10">
        <v>500</v>
      </c>
      <c r="K50" s="11"/>
      <c r="L50" s="12">
        <f>IF(D50="","",SUMIFS(Movimientos!$D$2:$D$2000,Movimientos!$B$2:$B$2000,A50))</f>
        <v>0</v>
      </c>
      <c r="M50" s="12">
        <f t="shared" si="0"/>
        <v>500</v>
      </c>
      <c r="N50" s="11"/>
      <c r="O50" s="7" t="str">
        <f t="shared" ca="1" si="1"/>
        <v>Sin fecha</v>
      </c>
      <c r="P50" s="8" t="s">
        <v>360</v>
      </c>
      <c r="Q50" s="8" t="s">
        <v>105</v>
      </c>
      <c r="R50" s="8"/>
      <c r="S50" s="8" t="s">
        <v>78</v>
      </c>
      <c r="T50" s="8"/>
      <c r="U50" s="8"/>
      <c r="V50" s="8" t="s">
        <v>107</v>
      </c>
      <c r="W50" s="8" t="s">
        <v>32</v>
      </c>
      <c r="X50" s="9" t="s">
        <v>108</v>
      </c>
      <c r="Y50" s="13"/>
      <c r="Z50" s="9" t="s">
        <v>361</v>
      </c>
    </row>
    <row r="51" spans="1:26" x14ac:dyDescent="0.3">
      <c r="A51" s="7" t="s">
        <v>362</v>
      </c>
      <c r="B51" s="8" t="s">
        <v>47</v>
      </c>
      <c r="C51" s="9"/>
      <c r="D51" s="8" t="s">
        <v>363</v>
      </c>
      <c r="E51" s="8"/>
      <c r="F51" s="8"/>
      <c r="G51" s="8" t="s">
        <v>31</v>
      </c>
      <c r="H51" s="8" t="s">
        <v>30</v>
      </c>
      <c r="I51" s="10">
        <v>1000</v>
      </c>
      <c r="J51" s="10">
        <v>850</v>
      </c>
      <c r="K51" s="11"/>
      <c r="L51" s="12">
        <f>IF(D51="","",SUMIFS(Movimientos!$D$2:$D$2000,Movimientos!$B$2:$B$2000,A51))</f>
        <v>0</v>
      </c>
      <c r="M51" s="12">
        <f t="shared" si="0"/>
        <v>850</v>
      </c>
      <c r="N51" s="11">
        <v>46568</v>
      </c>
      <c r="O51" s="7" t="str">
        <f t="shared" ca="1" si="1"/>
        <v>Vigente</v>
      </c>
      <c r="P51" s="8" t="s">
        <v>364</v>
      </c>
      <c r="Q51" s="8" t="s">
        <v>105</v>
      </c>
      <c r="R51" s="8" t="s">
        <v>106</v>
      </c>
      <c r="S51" s="8" t="s">
        <v>78</v>
      </c>
      <c r="T51" s="8"/>
      <c r="U51" s="8"/>
      <c r="V51" s="8" t="s">
        <v>107</v>
      </c>
      <c r="W51" s="8" t="s">
        <v>32</v>
      </c>
      <c r="X51" s="9" t="s">
        <v>108</v>
      </c>
      <c r="Y51" s="13"/>
      <c r="Z51" s="9" t="s">
        <v>365</v>
      </c>
    </row>
    <row r="52" spans="1:26" x14ac:dyDescent="0.3">
      <c r="A52" s="7" t="s">
        <v>366</v>
      </c>
      <c r="B52" s="8" t="s">
        <v>47</v>
      </c>
      <c r="C52" s="9"/>
      <c r="D52" s="8" t="s">
        <v>363</v>
      </c>
      <c r="E52" s="8"/>
      <c r="F52" s="8"/>
      <c r="G52" s="8" t="s">
        <v>31</v>
      </c>
      <c r="H52" s="8" t="s">
        <v>30</v>
      </c>
      <c r="I52" s="10">
        <v>500</v>
      </c>
      <c r="J52" s="10">
        <v>480</v>
      </c>
      <c r="K52" s="11"/>
      <c r="L52" s="12">
        <f>IF(D52="","",SUMIFS(Movimientos!$D$2:$D$2000,Movimientos!$B$2:$B$2000,A52))</f>
        <v>0</v>
      </c>
      <c r="M52" s="12">
        <f t="shared" si="0"/>
        <v>480</v>
      </c>
      <c r="N52" s="11">
        <v>44774</v>
      </c>
      <c r="O52" s="7" t="str">
        <f t="shared" ca="1" si="1"/>
        <v>VENCIDO</v>
      </c>
      <c r="P52" s="8" t="s">
        <v>367</v>
      </c>
      <c r="Q52" s="8" t="s">
        <v>105</v>
      </c>
      <c r="R52" s="8" t="s">
        <v>106</v>
      </c>
      <c r="S52" s="8" t="s">
        <v>78</v>
      </c>
      <c r="T52" s="8"/>
      <c r="U52" s="8"/>
      <c r="V52" s="8" t="s">
        <v>107</v>
      </c>
      <c r="W52" s="8" t="s">
        <v>32</v>
      </c>
      <c r="X52" s="9" t="s">
        <v>108</v>
      </c>
      <c r="Y52" s="13"/>
      <c r="Z52" s="9" t="s">
        <v>368</v>
      </c>
    </row>
    <row r="53" spans="1:26" x14ac:dyDescent="0.3">
      <c r="A53" s="7" t="s">
        <v>369</v>
      </c>
      <c r="B53" s="8" t="s">
        <v>47</v>
      </c>
      <c r="C53" s="9"/>
      <c r="D53" s="8" t="s">
        <v>370</v>
      </c>
      <c r="E53" s="8"/>
      <c r="F53" s="8"/>
      <c r="G53" s="8" t="s">
        <v>31</v>
      </c>
      <c r="H53" s="8" t="s">
        <v>30</v>
      </c>
      <c r="I53" s="10">
        <v>500</v>
      </c>
      <c r="J53" s="10">
        <v>440</v>
      </c>
      <c r="K53" s="11"/>
      <c r="L53" s="12">
        <f>IF(D53="","",SUMIFS(Movimientos!$D$2:$D$2000,Movimientos!$B$2:$B$2000,A53))</f>
        <v>0</v>
      </c>
      <c r="M53" s="12">
        <f t="shared" si="0"/>
        <v>440</v>
      </c>
      <c r="N53" s="11">
        <v>45369</v>
      </c>
      <c r="O53" s="7" t="str">
        <f t="shared" ca="1" si="1"/>
        <v>VENCIDO</v>
      </c>
      <c r="P53" s="8" t="s">
        <v>371</v>
      </c>
      <c r="Q53" s="8" t="s">
        <v>105</v>
      </c>
      <c r="R53" s="8" t="s">
        <v>106</v>
      </c>
      <c r="S53" s="8" t="s">
        <v>78</v>
      </c>
      <c r="T53" s="8"/>
      <c r="U53" s="8"/>
      <c r="V53" s="8" t="s">
        <v>107</v>
      </c>
      <c r="W53" s="8" t="s">
        <v>32</v>
      </c>
      <c r="X53" s="9" t="s">
        <v>108</v>
      </c>
      <c r="Y53" s="13"/>
      <c r="Z53" s="9" t="s">
        <v>372</v>
      </c>
    </row>
    <row r="54" spans="1:26" x14ac:dyDescent="0.3">
      <c r="A54" s="7" t="s">
        <v>373</v>
      </c>
      <c r="B54" s="8" t="s">
        <v>47</v>
      </c>
      <c r="C54" s="9"/>
      <c r="D54" s="8" t="s">
        <v>374</v>
      </c>
      <c r="E54" s="8"/>
      <c r="F54" s="8"/>
      <c r="G54" s="8" t="s">
        <v>31</v>
      </c>
      <c r="H54" s="8" t="s">
        <v>30</v>
      </c>
      <c r="I54" s="10">
        <v>500</v>
      </c>
      <c r="J54" s="10">
        <v>200</v>
      </c>
      <c r="K54" s="11"/>
      <c r="L54" s="12">
        <f>IF(D54="","",SUMIFS(Movimientos!$D$2:$D$2000,Movimientos!$B$2:$B$2000,A54))</f>
        <v>0</v>
      </c>
      <c r="M54" s="12">
        <f t="shared" si="0"/>
        <v>200</v>
      </c>
      <c r="N54" s="11">
        <v>44817</v>
      </c>
      <c r="O54" s="7" t="str">
        <f t="shared" ca="1" si="1"/>
        <v>VENCIDO</v>
      </c>
      <c r="P54" s="8" t="s">
        <v>375</v>
      </c>
      <c r="Q54" s="8" t="s">
        <v>105</v>
      </c>
      <c r="R54" s="8" t="s">
        <v>106</v>
      </c>
      <c r="S54" s="8" t="s">
        <v>78</v>
      </c>
      <c r="T54" s="8"/>
      <c r="U54" s="8"/>
      <c r="V54" s="8" t="s">
        <v>107</v>
      </c>
      <c r="W54" s="8" t="s">
        <v>32</v>
      </c>
      <c r="X54" s="9" t="s">
        <v>108</v>
      </c>
      <c r="Y54" s="13"/>
      <c r="Z54" s="9" t="s">
        <v>376</v>
      </c>
    </row>
    <row r="55" spans="1:26" x14ac:dyDescent="0.3">
      <c r="A55" s="7" t="s">
        <v>377</v>
      </c>
      <c r="B55" s="8" t="s">
        <v>47</v>
      </c>
      <c r="C55" s="9"/>
      <c r="D55" s="8" t="s">
        <v>378</v>
      </c>
      <c r="E55" s="8"/>
      <c r="F55" s="8"/>
      <c r="G55" s="8" t="s">
        <v>31</v>
      </c>
      <c r="H55" s="8" t="s">
        <v>30</v>
      </c>
      <c r="I55" s="10">
        <v>500</v>
      </c>
      <c r="J55" s="10">
        <v>250</v>
      </c>
      <c r="K55" s="11"/>
      <c r="L55" s="12">
        <f>IF(D55="","",SUMIFS(Movimientos!$D$2:$D$2000,Movimientos!$B$2:$B$2000,A55))</f>
        <v>0</v>
      </c>
      <c r="M55" s="12">
        <f t="shared" si="0"/>
        <v>250</v>
      </c>
      <c r="N55" s="11">
        <v>44965</v>
      </c>
      <c r="O55" s="7" t="str">
        <f t="shared" ca="1" si="1"/>
        <v>VENCIDO</v>
      </c>
      <c r="P55" s="8" t="s">
        <v>379</v>
      </c>
      <c r="Q55" s="8" t="s">
        <v>105</v>
      </c>
      <c r="R55" s="8" t="s">
        <v>106</v>
      </c>
      <c r="S55" s="8" t="s">
        <v>78</v>
      </c>
      <c r="T55" s="8"/>
      <c r="U55" s="8"/>
      <c r="V55" s="8" t="s">
        <v>107</v>
      </c>
      <c r="W55" s="8" t="s">
        <v>32</v>
      </c>
      <c r="X55" s="9" t="s">
        <v>108</v>
      </c>
      <c r="Y55" s="13"/>
      <c r="Z55" s="9" t="s">
        <v>380</v>
      </c>
    </row>
    <row r="56" spans="1:26" x14ac:dyDescent="0.3">
      <c r="A56" s="7" t="s">
        <v>381</v>
      </c>
      <c r="B56" s="8" t="s">
        <v>47</v>
      </c>
      <c r="C56" s="9"/>
      <c r="D56" s="8" t="s">
        <v>378</v>
      </c>
      <c r="E56" s="8"/>
      <c r="F56" s="8"/>
      <c r="G56" s="8" t="s">
        <v>31</v>
      </c>
      <c r="H56" s="8" t="s">
        <v>30</v>
      </c>
      <c r="I56" s="10">
        <v>500</v>
      </c>
      <c r="J56" s="10">
        <v>500</v>
      </c>
      <c r="K56" s="11"/>
      <c r="L56" s="12">
        <f>IF(D56="","",SUMIFS(Movimientos!$D$2:$D$2000,Movimientos!$B$2:$B$2000,A56))</f>
        <v>0</v>
      </c>
      <c r="M56" s="12">
        <f t="shared" si="0"/>
        <v>500</v>
      </c>
      <c r="N56" s="11">
        <v>45218</v>
      </c>
      <c r="O56" s="7" t="str">
        <f t="shared" ca="1" si="1"/>
        <v>VENCIDO</v>
      </c>
      <c r="P56" s="8" t="s">
        <v>382</v>
      </c>
      <c r="Q56" s="8" t="s">
        <v>105</v>
      </c>
      <c r="R56" s="8" t="s">
        <v>106</v>
      </c>
      <c r="S56" s="8" t="s">
        <v>78</v>
      </c>
      <c r="T56" s="8"/>
      <c r="U56" s="8"/>
      <c r="V56" s="8" t="s">
        <v>107</v>
      </c>
      <c r="W56" s="8" t="s">
        <v>32</v>
      </c>
      <c r="X56" s="9" t="s">
        <v>108</v>
      </c>
      <c r="Y56" s="13"/>
      <c r="Z56" s="9" t="s">
        <v>383</v>
      </c>
    </row>
    <row r="57" spans="1:26" x14ac:dyDescent="0.3">
      <c r="A57" s="7" t="s">
        <v>384</v>
      </c>
      <c r="B57" s="8" t="s">
        <v>47</v>
      </c>
      <c r="C57" s="9"/>
      <c r="D57" s="8" t="s">
        <v>378</v>
      </c>
      <c r="E57" s="8"/>
      <c r="F57" s="8"/>
      <c r="G57" s="8" t="s">
        <v>31</v>
      </c>
      <c r="H57" s="8" t="s">
        <v>30</v>
      </c>
      <c r="I57" s="10">
        <v>500</v>
      </c>
      <c r="J57" s="10">
        <v>500</v>
      </c>
      <c r="K57" s="11"/>
      <c r="L57" s="12">
        <f>IF(D57="","",SUMIFS(Movimientos!$D$2:$D$2000,Movimientos!$B$2:$B$2000,A57))</f>
        <v>0</v>
      </c>
      <c r="M57" s="12">
        <f t="shared" si="0"/>
        <v>500</v>
      </c>
      <c r="N57" s="11">
        <v>45243</v>
      </c>
      <c r="O57" s="7" t="str">
        <f t="shared" ca="1" si="1"/>
        <v>VENCIDO</v>
      </c>
      <c r="P57" s="8" t="s">
        <v>385</v>
      </c>
      <c r="Q57" s="8" t="s">
        <v>105</v>
      </c>
      <c r="R57" s="8" t="s">
        <v>106</v>
      </c>
      <c r="S57" s="8" t="s">
        <v>78</v>
      </c>
      <c r="T57" s="8"/>
      <c r="U57" s="8"/>
      <c r="V57" s="8" t="s">
        <v>107</v>
      </c>
      <c r="W57" s="8" t="s">
        <v>32</v>
      </c>
      <c r="X57" s="9" t="s">
        <v>108</v>
      </c>
      <c r="Y57" s="13"/>
      <c r="Z57" s="9" t="s">
        <v>386</v>
      </c>
    </row>
    <row r="58" spans="1:26" x14ac:dyDescent="0.3">
      <c r="A58" s="7" t="s">
        <v>387</v>
      </c>
      <c r="B58" s="8" t="s">
        <v>47</v>
      </c>
      <c r="C58" s="9"/>
      <c r="D58" s="8" t="s">
        <v>388</v>
      </c>
      <c r="E58" s="8"/>
      <c r="F58" s="8"/>
      <c r="G58" s="8" t="s">
        <v>42</v>
      </c>
      <c r="H58" s="8" t="s">
        <v>41</v>
      </c>
      <c r="I58" s="10">
        <v>500</v>
      </c>
      <c r="J58" s="10">
        <v>350</v>
      </c>
      <c r="K58" s="11"/>
      <c r="L58" s="12">
        <f>IF(D58="","",SUMIFS(Movimientos!$D$2:$D$2000,Movimientos!$B$2:$B$2000,A58))</f>
        <v>0</v>
      </c>
      <c r="M58" s="12">
        <f t="shared" si="0"/>
        <v>350</v>
      </c>
      <c r="N58" s="11"/>
      <c r="O58" s="7" t="str">
        <f t="shared" ca="1" si="1"/>
        <v>Sin fecha</v>
      </c>
      <c r="P58" s="8" t="s">
        <v>389</v>
      </c>
      <c r="Q58" s="8" t="s">
        <v>390</v>
      </c>
      <c r="R58" s="8"/>
      <c r="S58" s="8" t="s">
        <v>69</v>
      </c>
      <c r="T58" s="8"/>
      <c r="U58" s="8"/>
      <c r="V58" s="8" t="s">
        <v>107</v>
      </c>
      <c r="W58" s="8" t="s">
        <v>32</v>
      </c>
      <c r="X58" s="9" t="s">
        <v>108</v>
      </c>
      <c r="Y58" s="13"/>
      <c r="Z58" s="9" t="s">
        <v>391</v>
      </c>
    </row>
    <row r="59" spans="1:26" x14ac:dyDescent="0.3">
      <c r="A59" s="7" t="s">
        <v>392</v>
      </c>
      <c r="B59" s="8" t="s">
        <v>47</v>
      </c>
      <c r="C59" s="9"/>
      <c r="D59" s="8" t="s">
        <v>393</v>
      </c>
      <c r="E59" s="8"/>
      <c r="F59" s="8" t="s">
        <v>394</v>
      </c>
      <c r="G59" s="8" t="s">
        <v>42</v>
      </c>
      <c r="H59" s="8" t="s">
        <v>41</v>
      </c>
      <c r="I59" s="10">
        <v>3700</v>
      </c>
      <c r="J59" s="10">
        <v>1500</v>
      </c>
      <c r="K59" s="11"/>
      <c r="L59" s="12">
        <f>IF(D59="","",SUMIFS(Movimientos!$D$2:$D$2000,Movimientos!$B$2:$B$2000,A59))</f>
        <v>0</v>
      </c>
      <c r="M59" s="12">
        <f t="shared" si="0"/>
        <v>1500</v>
      </c>
      <c r="N59" s="11"/>
      <c r="O59" s="7" t="str">
        <f t="shared" ca="1" si="1"/>
        <v>Sin fecha</v>
      </c>
      <c r="P59" s="8" t="s">
        <v>395</v>
      </c>
      <c r="Q59" s="8" t="s">
        <v>396</v>
      </c>
      <c r="R59" s="8" t="s">
        <v>397</v>
      </c>
      <c r="S59" s="8" t="s">
        <v>69</v>
      </c>
      <c r="T59" s="8"/>
      <c r="U59" s="8"/>
      <c r="V59" s="8" t="s">
        <v>107</v>
      </c>
      <c r="W59" s="8" t="s">
        <v>32</v>
      </c>
      <c r="X59" s="9" t="s">
        <v>108</v>
      </c>
      <c r="Y59" s="13"/>
      <c r="Z59" s="9" t="s">
        <v>398</v>
      </c>
    </row>
    <row r="60" spans="1:26" x14ac:dyDescent="0.3">
      <c r="A60" s="7" t="s">
        <v>399</v>
      </c>
      <c r="B60" s="8" t="s">
        <v>47</v>
      </c>
      <c r="C60" s="9"/>
      <c r="D60" s="8" t="s">
        <v>400</v>
      </c>
      <c r="E60" s="8" t="s">
        <v>401</v>
      </c>
      <c r="F60" s="8" t="s">
        <v>402</v>
      </c>
      <c r="G60" s="8" t="s">
        <v>31</v>
      </c>
      <c r="H60" s="8" t="s">
        <v>30</v>
      </c>
      <c r="I60" s="10">
        <v>500</v>
      </c>
      <c r="J60" s="10">
        <v>350</v>
      </c>
      <c r="K60" s="11"/>
      <c r="L60" s="12">
        <f>IF(D60="","",SUMIFS(Movimientos!$D$2:$D$2000,Movimientos!$B$2:$B$2000,A60))</f>
        <v>0</v>
      </c>
      <c r="M60" s="12">
        <f t="shared" si="0"/>
        <v>350</v>
      </c>
      <c r="N60" s="11">
        <v>44896</v>
      </c>
      <c r="O60" s="7" t="str">
        <f t="shared" ca="1" si="1"/>
        <v>VENCIDO</v>
      </c>
      <c r="P60" s="8" t="s">
        <v>403</v>
      </c>
      <c r="Q60" s="8" t="s">
        <v>115</v>
      </c>
      <c r="R60" s="8" t="s">
        <v>404</v>
      </c>
      <c r="S60" s="8" t="s">
        <v>60</v>
      </c>
      <c r="T60" s="8"/>
      <c r="U60" s="8"/>
      <c r="V60" s="8" t="s">
        <v>107</v>
      </c>
      <c r="W60" s="8" t="s">
        <v>32</v>
      </c>
      <c r="X60" s="9" t="s">
        <v>108</v>
      </c>
      <c r="Y60" s="13"/>
      <c r="Z60" s="9" t="s">
        <v>405</v>
      </c>
    </row>
    <row r="61" spans="1:26" x14ac:dyDescent="0.3">
      <c r="A61" s="7" t="s">
        <v>406</v>
      </c>
      <c r="B61" s="8" t="s">
        <v>36</v>
      </c>
      <c r="C61" s="9" t="s">
        <v>407</v>
      </c>
      <c r="D61" s="8" t="s">
        <v>408</v>
      </c>
      <c r="E61" s="8" t="s">
        <v>409</v>
      </c>
      <c r="F61" s="8"/>
      <c r="G61" s="8" t="s">
        <v>42</v>
      </c>
      <c r="H61" s="8" t="s">
        <v>41</v>
      </c>
      <c r="I61" s="10">
        <v>1000</v>
      </c>
      <c r="J61" s="10">
        <v>800</v>
      </c>
      <c r="K61" s="11"/>
      <c r="L61" s="12">
        <f>IF(D61="","",SUMIFS(Movimientos!$D$2:$D$2000,Movimientos!$B$2:$B$2000,A61))</f>
        <v>0</v>
      </c>
      <c r="M61" s="12">
        <f t="shared" si="0"/>
        <v>800</v>
      </c>
      <c r="N61" s="11">
        <v>43861</v>
      </c>
      <c r="O61" s="7" t="str">
        <f t="shared" ca="1" si="1"/>
        <v>VENCIDO</v>
      </c>
      <c r="P61" s="8" t="s">
        <v>410</v>
      </c>
      <c r="Q61" s="8" t="s">
        <v>105</v>
      </c>
      <c r="R61" s="8" t="s">
        <v>411</v>
      </c>
      <c r="S61" s="8" t="s">
        <v>72</v>
      </c>
      <c r="T61" s="8"/>
      <c r="U61" s="8" t="s">
        <v>412</v>
      </c>
      <c r="V61" s="8" t="s">
        <v>107</v>
      </c>
      <c r="W61" s="8" t="s">
        <v>32</v>
      </c>
      <c r="X61" s="9" t="s">
        <v>108</v>
      </c>
      <c r="Y61" s="13" t="s">
        <v>413</v>
      </c>
      <c r="Z61" s="9" t="s">
        <v>414</v>
      </c>
    </row>
    <row r="62" spans="1:26" x14ac:dyDescent="0.3">
      <c r="A62" s="7" t="s">
        <v>415</v>
      </c>
      <c r="B62" s="8" t="s">
        <v>36</v>
      </c>
      <c r="C62" s="9" t="s">
        <v>407</v>
      </c>
      <c r="D62" s="8" t="s">
        <v>408</v>
      </c>
      <c r="E62" s="8" t="s">
        <v>409</v>
      </c>
      <c r="F62" s="8"/>
      <c r="G62" s="8" t="s">
        <v>42</v>
      </c>
      <c r="H62" s="8" t="s">
        <v>41</v>
      </c>
      <c r="I62" s="10">
        <v>1000</v>
      </c>
      <c r="J62" s="10">
        <v>850</v>
      </c>
      <c r="K62" s="11"/>
      <c r="L62" s="12">
        <f>IF(D62="","",SUMIFS(Movimientos!$D$2:$D$2000,Movimientos!$B$2:$B$2000,A62))</f>
        <v>0</v>
      </c>
      <c r="M62" s="12">
        <f t="shared" si="0"/>
        <v>850</v>
      </c>
      <c r="N62" s="11">
        <v>44681</v>
      </c>
      <c r="O62" s="7" t="str">
        <f t="shared" ca="1" si="1"/>
        <v>VENCIDO</v>
      </c>
      <c r="P62" s="8" t="s">
        <v>416</v>
      </c>
      <c r="Q62" s="8" t="s">
        <v>105</v>
      </c>
      <c r="R62" s="8" t="s">
        <v>411</v>
      </c>
      <c r="S62" s="8" t="s">
        <v>72</v>
      </c>
      <c r="T62" s="8"/>
      <c r="U62" s="8" t="s">
        <v>412</v>
      </c>
      <c r="V62" s="8" t="s">
        <v>107</v>
      </c>
      <c r="W62" s="8" t="s">
        <v>32</v>
      </c>
      <c r="X62" s="9" t="s">
        <v>108</v>
      </c>
      <c r="Y62" s="13" t="s">
        <v>413</v>
      </c>
      <c r="Z62" s="9" t="s">
        <v>417</v>
      </c>
    </row>
    <row r="63" spans="1:26" x14ac:dyDescent="0.3">
      <c r="A63" s="7" t="s">
        <v>418</v>
      </c>
      <c r="B63" s="8" t="s">
        <v>47</v>
      </c>
      <c r="C63" s="9"/>
      <c r="D63" s="8" t="s">
        <v>419</v>
      </c>
      <c r="E63" s="8" t="s">
        <v>420</v>
      </c>
      <c r="F63" s="8" t="s">
        <v>421</v>
      </c>
      <c r="G63" s="8" t="s">
        <v>42</v>
      </c>
      <c r="H63" s="8" t="s">
        <v>41</v>
      </c>
      <c r="I63" s="10">
        <v>1000</v>
      </c>
      <c r="J63" s="10">
        <v>400</v>
      </c>
      <c r="K63" s="11"/>
      <c r="L63" s="12">
        <f>IF(D63="","",SUMIFS(Movimientos!$D$2:$D$2000,Movimientos!$B$2:$B$2000,A63))</f>
        <v>0</v>
      </c>
      <c r="M63" s="12">
        <f t="shared" si="0"/>
        <v>400</v>
      </c>
      <c r="N63" s="11">
        <v>43008</v>
      </c>
      <c r="O63" s="7" t="str">
        <f t="shared" ca="1" si="1"/>
        <v>VENCIDO</v>
      </c>
      <c r="P63" s="8" t="s">
        <v>422</v>
      </c>
      <c r="Q63" s="8" t="s">
        <v>105</v>
      </c>
      <c r="R63" s="8" t="s">
        <v>423</v>
      </c>
      <c r="S63" s="8" t="s">
        <v>69</v>
      </c>
      <c r="T63" s="8"/>
      <c r="U63" s="8"/>
      <c r="V63" s="8" t="s">
        <v>107</v>
      </c>
      <c r="W63" s="8" t="s">
        <v>32</v>
      </c>
      <c r="X63" s="9" t="s">
        <v>108</v>
      </c>
      <c r="Y63" s="13"/>
      <c r="Z63" s="9" t="s">
        <v>424</v>
      </c>
    </row>
    <row r="64" spans="1:26" x14ac:dyDescent="0.3">
      <c r="A64" s="7" t="s">
        <v>425</v>
      </c>
      <c r="B64" s="8" t="s">
        <v>47</v>
      </c>
      <c r="C64" s="9"/>
      <c r="D64" s="8" t="s">
        <v>426</v>
      </c>
      <c r="E64" s="8" t="s">
        <v>427</v>
      </c>
      <c r="F64" s="8" t="s">
        <v>428</v>
      </c>
      <c r="G64" s="8" t="s">
        <v>42</v>
      </c>
      <c r="H64" s="8" t="s">
        <v>41</v>
      </c>
      <c r="I64" s="10">
        <v>1000</v>
      </c>
      <c r="J64" s="10">
        <v>800</v>
      </c>
      <c r="K64" s="11"/>
      <c r="L64" s="12">
        <f>IF(D64="","",SUMIFS(Movimientos!$D$2:$D$2000,Movimientos!$B$2:$B$2000,A64))</f>
        <v>0</v>
      </c>
      <c r="M64" s="12">
        <f t="shared" si="0"/>
        <v>800</v>
      </c>
      <c r="N64" s="11">
        <v>45382</v>
      </c>
      <c r="O64" s="7" t="str">
        <f t="shared" ca="1" si="1"/>
        <v>VENCIDO</v>
      </c>
      <c r="P64" s="8" t="s">
        <v>429</v>
      </c>
      <c r="Q64" s="8" t="s">
        <v>105</v>
      </c>
      <c r="R64" s="8" t="s">
        <v>106</v>
      </c>
      <c r="S64" s="8" t="s">
        <v>72</v>
      </c>
      <c r="T64" s="8"/>
      <c r="U64" s="8"/>
      <c r="V64" s="8" t="s">
        <v>107</v>
      </c>
      <c r="W64" s="8" t="s">
        <v>32</v>
      </c>
      <c r="X64" s="9" t="s">
        <v>108</v>
      </c>
      <c r="Y64" s="13"/>
      <c r="Z64" s="9" t="s">
        <v>430</v>
      </c>
    </row>
    <row r="65" spans="1:26" x14ac:dyDescent="0.3">
      <c r="A65" s="7" t="s">
        <v>431</v>
      </c>
      <c r="B65" s="8" t="s">
        <v>47</v>
      </c>
      <c r="C65" s="9"/>
      <c r="D65" s="8" t="s">
        <v>432</v>
      </c>
      <c r="E65" s="8" t="s">
        <v>433</v>
      </c>
      <c r="F65" s="8"/>
      <c r="G65" s="8" t="s">
        <v>42</v>
      </c>
      <c r="H65" s="8" t="s">
        <v>41</v>
      </c>
      <c r="I65" s="10">
        <v>200</v>
      </c>
      <c r="J65" s="10">
        <v>110</v>
      </c>
      <c r="K65" s="11"/>
      <c r="L65" s="12">
        <f>IF(D65="","",SUMIFS(Movimientos!$D$2:$D$2000,Movimientos!$B$2:$B$2000,A65))</f>
        <v>0</v>
      </c>
      <c r="M65" s="12">
        <f t="shared" si="0"/>
        <v>110</v>
      </c>
      <c r="N65" s="11">
        <v>43373</v>
      </c>
      <c r="O65" s="7" t="str">
        <f t="shared" ca="1" si="1"/>
        <v>VENCIDO</v>
      </c>
      <c r="P65" s="8" t="s">
        <v>434</v>
      </c>
      <c r="Q65" s="8" t="s">
        <v>105</v>
      </c>
      <c r="R65" s="8" t="s">
        <v>106</v>
      </c>
      <c r="S65" s="8" t="s">
        <v>73</v>
      </c>
      <c r="T65" s="8"/>
      <c r="U65" s="8"/>
      <c r="V65" s="8" t="s">
        <v>107</v>
      </c>
      <c r="W65" s="8" t="s">
        <v>32</v>
      </c>
      <c r="X65" s="9" t="s">
        <v>108</v>
      </c>
      <c r="Y65" s="13"/>
      <c r="Z65" s="9" t="s">
        <v>435</v>
      </c>
    </row>
    <row r="66" spans="1:26" x14ac:dyDescent="0.3">
      <c r="A66" s="7" t="s">
        <v>436</v>
      </c>
      <c r="B66" s="8" t="s">
        <v>47</v>
      </c>
      <c r="C66" s="9"/>
      <c r="D66" s="8" t="s">
        <v>437</v>
      </c>
      <c r="E66" s="8" t="s">
        <v>438</v>
      </c>
      <c r="F66" s="8" t="s">
        <v>439</v>
      </c>
      <c r="G66" s="8" t="s">
        <v>42</v>
      </c>
      <c r="H66" s="8" t="s">
        <v>41</v>
      </c>
      <c r="I66" s="10">
        <v>500</v>
      </c>
      <c r="J66" s="10">
        <v>500</v>
      </c>
      <c r="K66" s="11"/>
      <c r="L66" s="12">
        <f>IF(D66="","",SUMIFS(Movimientos!$D$2:$D$2000,Movimientos!$B$2:$B$2000,A66))</f>
        <v>0</v>
      </c>
      <c r="M66" s="12">
        <f t="shared" ref="M66:M129" si="2">IF(J66="","",J66-L66)</f>
        <v>500</v>
      </c>
      <c r="N66" s="11">
        <v>43889</v>
      </c>
      <c r="O66" s="7" t="str">
        <f t="shared" ref="O66:O129" ca="1" si="3">IF(D66="","",IF(N66="","Sin fecha",IF(N66&lt;TODAY(),"VENCIDO",IF(N66&lt;TODAY()+90,"Por vencer","Vigente"))))</f>
        <v>VENCIDO</v>
      </c>
      <c r="P66" s="8" t="s">
        <v>440</v>
      </c>
      <c r="Q66" s="8" t="s">
        <v>105</v>
      </c>
      <c r="R66" s="8" t="s">
        <v>106</v>
      </c>
      <c r="S66" s="8" t="s">
        <v>60</v>
      </c>
      <c r="T66" s="8"/>
      <c r="U66" s="8" t="s">
        <v>441</v>
      </c>
      <c r="V66" s="8" t="s">
        <v>107</v>
      </c>
      <c r="W66" s="8" t="s">
        <v>32</v>
      </c>
      <c r="X66" s="9" t="s">
        <v>108</v>
      </c>
      <c r="Y66" s="13"/>
      <c r="Z66" s="9" t="s">
        <v>442</v>
      </c>
    </row>
    <row r="67" spans="1:26" x14ac:dyDescent="0.3">
      <c r="A67" s="7" t="s">
        <v>443</v>
      </c>
      <c r="B67" s="8" t="s">
        <v>47</v>
      </c>
      <c r="C67" s="9"/>
      <c r="D67" s="8" t="s">
        <v>444</v>
      </c>
      <c r="E67" s="8"/>
      <c r="F67" s="8"/>
      <c r="G67" s="8" t="s">
        <v>31</v>
      </c>
      <c r="H67" s="8" t="s">
        <v>30</v>
      </c>
      <c r="I67" s="10">
        <v>25</v>
      </c>
      <c r="J67" s="10">
        <v>25</v>
      </c>
      <c r="K67" s="11"/>
      <c r="L67" s="12">
        <f>IF(D67="","",SUMIFS(Movimientos!$D$2:$D$2000,Movimientos!$B$2:$B$2000,A67))</f>
        <v>0</v>
      </c>
      <c r="M67" s="12">
        <f t="shared" si="2"/>
        <v>25</v>
      </c>
      <c r="N67" s="11"/>
      <c r="O67" s="7" t="str">
        <f t="shared" ca="1" si="3"/>
        <v>Sin fecha</v>
      </c>
      <c r="P67" s="8"/>
      <c r="Q67" s="8" t="s">
        <v>105</v>
      </c>
      <c r="R67" s="8" t="s">
        <v>106</v>
      </c>
      <c r="S67" s="8" t="s">
        <v>60</v>
      </c>
      <c r="T67" s="8"/>
      <c r="U67" s="8"/>
      <c r="V67" s="8" t="s">
        <v>107</v>
      </c>
      <c r="W67" s="8" t="s">
        <v>32</v>
      </c>
      <c r="X67" s="9" t="s">
        <v>108</v>
      </c>
      <c r="Y67" s="13"/>
      <c r="Z67" s="9" t="s">
        <v>445</v>
      </c>
    </row>
    <row r="68" spans="1:26" x14ac:dyDescent="0.3">
      <c r="A68" s="7" t="s">
        <v>446</v>
      </c>
      <c r="B68" s="8" t="s">
        <v>47</v>
      </c>
      <c r="C68" s="9"/>
      <c r="D68" s="8" t="s">
        <v>447</v>
      </c>
      <c r="E68" s="8" t="s">
        <v>448</v>
      </c>
      <c r="F68" s="8" t="s">
        <v>449</v>
      </c>
      <c r="G68" s="8" t="s">
        <v>31</v>
      </c>
      <c r="H68" s="8" t="s">
        <v>30</v>
      </c>
      <c r="I68" s="10">
        <v>5</v>
      </c>
      <c r="J68" s="10">
        <v>1</v>
      </c>
      <c r="K68" s="11"/>
      <c r="L68" s="12">
        <f>IF(D68="","",SUMIFS(Movimientos!$D$2:$D$2000,Movimientos!$B$2:$B$2000,A68))</f>
        <v>0</v>
      </c>
      <c r="M68" s="12">
        <f t="shared" si="2"/>
        <v>1</v>
      </c>
      <c r="N68" s="11"/>
      <c r="O68" s="7" t="str">
        <f t="shared" ca="1" si="3"/>
        <v>Sin fecha</v>
      </c>
      <c r="P68" s="8" t="s">
        <v>450</v>
      </c>
      <c r="Q68" s="8" t="s">
        <v>105</v>
      </c>
      <c r="R68" s="8" t="s">
        <v>106</v>
      </c>
      <c r="S68" s="8" t="s">
        <v>60</v>
      </c>
      <c r="T68" s="8"/>
      <c r="U68" s="8"/>
      <c r="V68" s="8" t="s">
        <v>107</v>
      </c>
      <c r="W68" s="8" t="s">
        <v>32</v>
      </c>
      <c r="X68" s="9" t="s">
        <v>108</v>
      </c>
      <c r="Y68" s="13"/>
      <c r="Z68" s="9" t="s">
        <v>451</v>
      </c>
    </row>
    <row r="69" spans="1:26" x14ac:dyDescent="0.3">
      <c r="A69" s="7" t="s">
        <v>452</v>
      </c>
      <c r="B69" s="8" t="s">
        <v>47</v>
      </c>
      <c r="C69" s="9"/>
      <c r="D69" s="8" t="s">
        <v>453</v>
      </c>
      <c r="E69" s="8" t="s">
        <v>261</v>
      </c>
      <c r="F69" s="8" t="s">
        <v>454</v>
      </c>
      <c r="G69" s="8" t="s">
        <v>42</v>
      </c>
      <c r="H69" s="8" t="s">
        <v>41</v>
      </c>
      <c r="I69" s="10">
        <v>1000</v>
      </c>
      <c r="J69" s="10">
        <v>750</v>
      </c>
      <c r="K69" s="11"/>
      <c r="L69" s="12">
        <f>IF(D69="","",SUMIFS(Movimientos!$D$2:$D$2000,Movimientos!$B$2:$B$2000,A69))</f>
        <v>0</v>
      </c>
      <c r="M69" s="12">
        <f t="shared" si="2"/>
        <v>750</v>
      </c>
      <c r="N69" s="11"/>
      <c r="O69" s="7" t="str">
        <f t="shared" ca="1" si="3"/>
        <v>Sin fecha</v>
      </c>
      <c r="P69" s="8" t="s">
        <v>455</v>
      </c>
      <c r="Q69" s="8" t="s">
        <v>105</v>
      </c>
      <c r="R69" s="8" t="s">
        <v>116</v>
      </c>
      <c r="S69" s="8" t="s">
        <v>60</v>
      </c>
      <c r="T69" s="8"/>
      <c r="U69" s="8"/>
      <c r="V69" s="8" t="s">
        <v>107</v>
      </c>
      <c r="W69" s="8" t="s">
        <v>32</v>
      </c>
      <c r="X69" s="9" t="s">
        <v>108</v>
      </c>
      <c r="Y69" s="13"/>
      <c r="Z69" s="9" t="s">
        <v>456</v>
      </c>
    </row>
    <row r="70" spans="1:26" x14ac:dyDescent="0.3">
      <c r="A70" s="7" t="s">
        <v>457</v>
      </c>
      <c r="B70" s="8" t="s">
        <v>47</v>
      </c>
      <c r="C70" s="9"/>
      <c r="D70" s="8" t="s">
        <v>458</v>
      </c>
      <c r="E70" s="8"/>
      <c r="F70" s="8"/>
      <c r="G70" s="8" t="s">
        <v>31</v>
      </c>
      <c r="H70" s="8" t="s">
        <v>30</v>
      </c>
      <c r="I70" s="10">
        <v>500</v>
      </c>
      <c r="J70" s="10">
        <v>250</v>
      </c>
      <c r="K70" s="11"/>
      <c r="L70" s="12">
        <f>IF(D70="","",SUMIFS(Movimientos!$D$2:$D$2000,Movimientos!$B$2:$B$2000,A70))</f>
        <v>0</v>
      </c>
      <c r="M70" s="12">
        <f t="shared" si="2"/>
        <v>250</v>
      </c>
      <c r="N70" s="11"/>
      <c r="O70" s="7" t="str">
        <f t="shared" ca="1" si="3"/>
        <v>Sin fecha</v>
      </c>
      <c r="P70" s="8" t="s">
        <v>459</v>
      </c>
      <c r="Q70" s="8" t="s">
        <v>105</v>
      </c>
      <c r="R70" s="8" t="s">
        <v>106</v>
      </c>
      <c r="S70" s="8" t="s">
        <v>78</v>
      </c>
      <c r="T70" s="8"/>
      <c r="U70" s="8"/>
      <c r="V70" s="8" t="s">
        <v>107</v>
      </c>
      <c r="W70" s="8" t="s">
        <v>32</v>
      </c>
      <c r="X70" s="9" t="s">
        <v>108</v>
      </c>
      <c r="Y70" s="13"/>
      <c r="Z70" s="9" t="s">
        <v>460</v>
      </c>
    </row>
    <row r="71" spans="1:26" x14ac:dyDescent="0.3">
      <c r="A71" s="7" t="s">
        <v>461</v>
      </c>
      <c r="B71" s="8" t="s">
        <v>47</v>
      </c>
      <c r="C71" s="9"/>
      <c r="D71" s="8" t="s">
        <v>458</v>
      </c>
      <c r="E71" s="8"/>
      <c r="F71" s="8"/>
      <c r="G71" s="8" t="s">
        <v>31</v>
      </c>
      <c r="H71" s="8" t="s">
        <v>30</v>
      </c>
      <c r="I71" s="10">
        <v>1000</v>
      </c>
      <c r="J71" s="10">
        <v>900</v>
      </c>
      <c r="K71" s="11"/>
      <c r="L71" s="12">
        <f>IF(D71="","",SUMIFS(Movimientos!$D$2:$D$2000,Movimientos!$B$2:$B$2000,A71))</f>
        <v>0</v>
      </c>
      <c r="M71" s="12">
        <f t="shared" si="2"/>
        <v>900</v>
      </c>
      <c r="N71" s="11">
        <v>44797</v>
      </c>
      <c r="O71" s="7" t="str">
        <f t="shared" ca="1" si="3"/>
        <v>VENCIDO</v>
      </c>
      <c r="P71" s="8" t="s">
        <v>462</v>
      </c>
      <c r="Q71" s="8" t="s">
        <v>105</v>
      </c>
      <c r="R71" s="8" t="s">
        <v>106</v>
      </c>
      <c r="S71" s="8" t="s">
        <v>78</v>
      </c>
      <c r="T71" s="8"/>
      <c r="U71" s="8"/>
      <c r="V71" s="8" t="s">
        <v>107</v>
      </c>
      <c r="W71" s="8" t="s">
        <v>32</v>
      </c>
      <c r="X71" s="9" t="s">
        <v>108</v>
      </c>
      <c r="Y71" s="13"/>
      <c r="Z71" s="9" t="s">
        <v>463</v>
      </c>
    </row>
    <row r="72" spans="1:26" x14ac:dyDescent="0.3">
      <c r="A72" s="7" t="s">
        <v>464</v>
      </c>
      <c r="B72" s="8" t="s">
        <v>47</v>
      </c>
      <c r="C72" s="9"/>
      <c r="D72" s="8" t="s">
        <v>465</v>
      </c>
      <c r="E72" s="8"/>
      <c r="F72" s="8" t="s">
        <v>466</v>
      </c>
      <c r="G72" s="8" t="s">
        <v>31</v>
      </c>
      <c r="H72" s="8" t="s">
        <v>30</v>
      </c>
      <c r="I72" s="10">
        <v>500</v>
      </c>
      <c r="J72" s="10">
        <v>300</v>
      </c>
      <c r="K72" s="11"/>
      <c r="L72" s="12">
        <f>IF(D72="","",SUMIFS(Movimientos!$D$2:$D$2000,Movimientos!$B$2:$B$2000,A72))</f>
        <v>0</v>
      </c>
      <c r="M72" s="12">
        <f t="shared" si="2"/>
        <v>300</v>
      </c>
      <c r="N72" s="11">
        <v>44857</v>
      </c>
      <c r="O72" s="7" t="str">
        <f t="shared" ca="1" si="3"/>
        <v>VENCIDO</v>
      </c>
      <c r="P72" s="8" t="s">
        <v>467</v>
      </c>
      <c r="Q72" s="8" t="s">
        <v>105</v>
      </c>
      <c r="R72" s="8" t="s">
        <v>106</v>
      </c>
      <c r="S72" s="8" t="s">
        <v>78</v>
      </c>
      <c r="T72" s="8"/>
      <c r="U72" s="8"/>
      <c r="V72" s="8" t="s">
        <v>107</v>
      </c>
      <c r="W72" s="8" t="s">
        <v>32</v>
      </c>
      <c r="X72" s="9" t="s">
        <v>108</v>
      </c>
      <c r="Y72" s="13"/>
      <c r="Z72" s="9" t="s">
        <v>468</v>
      </c>
    </row>
    <row r="73" spans="1:26" x14ac:dyDescent="0.3">
      <c r="A73" s="7" t="s">
        <v>469</v>
      </c>
      <c r="B73" s="8" t="s">
        <v>47</v>
      </c>
      <c r="C73" s="9"/>
      <c r="D73" s="8" t="s">
        <v>470</v>
      </c>
      <c r="E73" s="8"/>
      <c r="F73" s="8"/>
      <c r="G73" s="8" t="s">
        <v>31</v>
      </c>
      <c r="H73" s="8" t="s">
        <v>30</v>
      </c>
      <c r="I73" s="10">
        <v>500</v>
      </c>
      <c r="J73" s="10">
        <v>500</v>
      </c>
      <c r="K73" s="11"/>
      <c r="L73" s="12">
        <f>IF(D73="","",SUMIFS(Movimientos!$D$2:$D$2000,Movimientos!$B$2:$B$2000,A73))</f>
        <v>0</v>
      </c>
      <c r="M73" s="12">
        <f t="shared" si="2"/>
        <v>500</v>
      </c>
      <c r="N73" s="11">
        <v>46265</v>
      </c>
      <c r="O73" s="7" t="str">
        <f t="shared" ca="1" si="3"/>
        <v>VENCIDO</v>
      </c>
      <c r="P73" s="8" t="s">
        <v>471</v>
      </c>
      <c r="Q73" s="8" t="s">
        <v>105</v>
      </c>
      <c r="R73" s="8" t="s">
        <v>106</v>
      </c>
      <c r="S73" s="8" t="s">
        <v>78</v>
      </c>
      <c r="T73" s="8"/>
      <c r="U73" s="8"/>
      <c r="V73" s="8" t="s">
        <v>107</v>
      </c>
      <c r="W73" s="8" t="s">
        <v>32</v>
      </c>
      <c r="X73" s="9" t="s">
        <v>108</v>
      </c>
      <c r="Y73" s="13"/>
      <c r="Z73" s="9" t="s">
        <v>472</v>
      </c>
    </row>
    <row r="74" spans="1:26" x14ac:dyDescent="0.3">
      <c r="A74" s="7" t="s">
        <v>473</v>
      </c>
      <c r="B74" s="8" t="s">
        <v>47</v>
      </c>
      <c r="C74" s="9"/>
      <c r="D74" s="8" t="s">
        <v>474</v>
      </c>
      <c r="E74" s="8"/>
      <c r="F74" s="8"/>
      <c r="G74" s="8" t="s">
        <v>31</v>
      </c>
      <c r="H74" s="8" t="s">
        <v>30</v>
      </c>
      <c r="I74" s="10">
        <v>500</v>
      </c>
      <c r="J74" s="10">
        <v>480</v>
      </c>
      <c r="K74" s="11"/>
      <c r="L74" s="12">
        <f>IF(D74="","",SUMIFS(Movimientos!$D$2:$D$2000,Movimientos!$B$2:$B$2000,A74))</f>
        <v>0</v>
      </c>
      <c r="M74" s="12">
        <f t="shared" si="2"/>
        <v>480</v>
      </c>
      <c r="N74" s="11">
        <v>44973</v>
      </c>
      <c r="O74" s="7" t="str">
        <f t="shared" ca="1" si="3"/>
        <v>VENCIDO</v>
      </c>
      <c r="P74" s="8" t="s">
        <v>475</v>
      </c>
      <c r="Q74" s="8" t="s">
        <v>105</v>
      </c>
      <c r="R74" s="8" t="s">
        <v>106</v>
      </c>
      <c r="S74" s="8" t="s">
        <v>78</v>
      </c>
      <c r="T74" s="8"/>
      <c r="U74" s="8"/>
      <c r="V74" s="8" t="s">
        <v>107</v>
      </c>
      <c r="W74" s="8" t="s">
        <v>32</v>
      </c>
      <c r="X74" s="9" t="s">
        <v>108</v>
      </c>
      <c r="Y74" s="13"/>
      <c r="Z74" s="9" t="s">
        <v>476</v>
      </c>
    </row>
    <row r="75" spans="1:26" x14ac:dyDescent="0.3">
      <c r="A75" s="7" t="s">
        <v>477</v>
      </c>
      <c r="B75" s="8" t="s">
        <v>47</v>
      </c>
      <c r="C75" s="9"/>
      <c r="D75" s="8" t="s">
        <v>478</v>
      </c>
      <c r="E75" s="8"/>
      <c r="F75" s="8"/>
      <c r="G75" s="8" t="s">
        <v>31</v>
      </c>
      <c r="H75" s="8" t="s">
        <v>30</v>
      </c>
      <c r="I75" s="10">
        <v>500</v>
      </c>
      <c r="J75" s="10">
        <v>500</v>
      </c>
      <c r="K75" s="11"/>
      <c r="L75" s="12">
        <f>IF(D75="","",SUMIFS(Movimientos!$D$2:$D$2000,Movimientos!$B$2:$B$2000,A75))</f>
        <v>0</v>
      </c>
      <c r="M75" s="12">
        <f t="shared" si="2"/>
        <v>500</v>
      </c>
      <c r="N75" s="11">
        <v>45215</v>
      </c>
      <c r="O75" s="7" t="str">
        <f t="shared" ca="1" si="3"/>
        <v>VENCIDO</v>
      </c>
      <c r="P75" s="8" t="s">
        <v>479</v>
      </c>
      <c r="Q75" s="8" t="s">
        <v>105</v>
      </c>
      <c r="R75" s="8" t="s">
        <v>106</v>
      </c>
      <c r="S75" s="8" t="s">
        <v>78</v>
      </c>
      <c r="T75" s="8"/>
      <c r="U75" s="8"/>
      <c r="V75" s="8" t="s">
        <v>107</v>
      </c>
      <c r="W75" s="8" t="s">
        <v>32</v>
      </c>
      <c r="X75" s="9" t="s">
        <v>108</v>
      </c>
      <c r="Y75" s="13"/>
      <c r="Z75" s="9" t="s">
        <v>480</v>
      </c>
    </row>
    <row r="76" spans="1:26" x14ac:dyDescent="0.3">
      <c r="A76" s="7" t="s">
        <v>481</v>
      </c>
      <c r="B76" s="8" t="s">
        <v>47</v>
      </c>
      <c r="C76" s="9"/>
      <c r="D76" s="8" t="s">
        <v>478</v>
      </c>
      <c r="E76" s="8"/>
      <c r="F76" s="8"/>
      <c r="G76" s="8" t="s">
        <v>31</v>
      </c>
      <c r="H76" s="8" t="s">
        <v>30</v>
      </c>
      <c r="I76" s="10">
        <v>500</v>
      </c>
      <c r="J76" s="10">
        <v>500</v>
      </c>
      <c r="K76" s="11"/>
      <c r="L76" s="12">
        <f>IF(D76="","",SUMIFS(Movimientos!$D$2:$D$2000,Movimientos!$B$2:$B$2000,A76))</f>
        <v>0</v>
      </c>
      <c r="M76" s="12">
        <f t="shared" si="2"/>
        <v>500</v>
      </c>
      <c r="N76" s="11">
        <v>46265</v>
      </c>
      <c r="O76" s="7" t="str">
        <f t="shared" ca="1" si="3"/>
        <v>VENCIDO</v>
      </c>
      <c r="P76" s="8" t="s">
        <v>482</v>
      </c>
      <c r="Q76" s="8" t="s">
        <v>105</v>
      </c>
      <c r="R76" s="8" t="s">
        <v>106</v>
      </c>
      <c r="S76" s="8" t="s">
        <v>78</v>
      </c>
      <c r="T76" s="8"/>
      <c r="U76" s="8"/>
      <c r="V76" s="8" t="s">
        <v>107</v>
      </c>
      <c r="W76" s="8" t="s">
        <v>32</v>
      </c>
      <c r="X76" s="9" t="s">
        <v>108</v>
      </c>
      <c r="Y76" s="13"/>
      <c r="Z76" s="9" t="s">
        <v>483</v>
      </c>
    </row>
    <row r="77" spans="1:26" x14ac:dyDescent="0.3">
      <c r="A77" s="7" t="s">
        <v>484</v>
      </c>
      <c r="B77" s="8" t="s">
        <v>47</v>
      </c>
      <c r="C77" s="9"/>
      <c r="D77" s="8" t="s">
        <v>485</v>
      </c>
      <c r="E77" s="8" t="s">
        <v>486</v>
      </c>
      <c r="F77" s="8" t="s">
        <v>487</v>
      </c>
      <c r="G77" s="8" t="s">
        <v>31</v>
      </c>
      <c r="H77" s="8" t="s">
        <v>30</v>
      </c>
      <c r="I77" s="10">
        <v>500</v>
      </c>
      <c r="J77" s="10">
        <v>300</v>
      </c>
      <c r="K77" s="11"/>
      <c r="L77" s="12">
        <f>IF(D77="","",SUMIFS(Movimientos!$D$2:$D$2000,Movimientos!$B$2:$B$2000,A77))</f>
        <v>0</v>
      </c>
      <c r="M77" s="12">
        <f t="shared" si="2"/>
        <v>300</v>
      </c>
      <c r="N77" s="11">
        <v>44742</v>
      </c>
      <c r="O77" s="7" t="str">
        <f t="shared" ca="1" si="3"/>
        <v>VENCIDO</v>
      </c>
      <c r="P77" s="8" t="s">
        <v>488</v>
      </c>
      <c r="Q77" s="8" t="s">
        <v>105</v>
      </c>
      <c r="R77" s="8" t="s">
        <v>106</v>
      </c>
      <c r="S77" s="8" t="s">
        <v>74</v>
      </c>
      <c r="T77" s="8"/>
      <c r="U77" s="8"/>
      <c r="V77" s="8" t="s">
        <v>107</v>
      </c>
      <c r="W77" s="8" t="s">
        <v>32</v>
      </c>
      <c r="X77" s="9" t="s">
        <v>108</v>
      </c>
      <c r="Y77" s="13"/>
      <c r="Z77" s="9" t="s">
        <v>489</v>
      </c>
    </row>
    <row r="78" spans="1:26" x14ac:dyDescent="0.3">
      <c r="A78" s="7" t="s">
        <v>490</v>
      </c>
      <c r="B78" s="8" t="s">
        <v>47</v>
      </c>
      <c r="C78" s="9"/>
      <c r="D78" s="8" t="s">
        <v>491</v>
      </c>
      <c r="E78" s="8" t="s">
        <v>492</v>
      </c>
      <c r="F78" s="8" t="s">
        <v>493</v>
      </c>
      <c r="G78" s="8" t="s">
        <v>31</v>
      </c>
      <c r="H78" s="8" t="s">
        <v>30</v>
      </c>
      <c r="I78" s="10">
        <v>1000</v>
      </c>
      <c r="J78" s="10">
        <v>600</v>
      </c>
      <c r="K78" s="11"/>
      <c r="L78" s="12">
        <f>IF(D78="","",SUMIFS(Movimientos!$D$2:$D$2000,Movimientos!$B$2:$B$2000,A78))</f>
        <v>0</v>
      </c>
      <c r="M78" s="12">
        <f t="shared" si="2"/>
        <v>600</v>
      </c>
      <c r="N78" s="11">
        <v>44612</v>
      </c>
      <c r="O78" s="7" t="str">
        <f t="shared" ca="1" si="3"/>
        <v>VENCIDO</v>
      </c>
      <c r="P78" s="8" t="s">
        <v>494</v>
      </c>
      <c r="Q78" s="8" t="s">
        <v>105</v>
      </c>
      <c r="R78" s="8" t="s">
        <v>106</v>
      </c>
      <c r="S78" s="8" t="s">
        <v>74</v>
      </c>
      <c r="T78" s="8"/>
      <c r="U78" s="8"/>
      <c r="V78" s="8" t="s">
        <v>107</v>
      </c>
      <c r="W78" s="8" t="s">
        <v>32</v>
      </c>
      <c r="X78" s="9" t="s">
        <v>108</v>
      </c>
      <c r="Y78" s="13"/>
      <c r="Z78" s="9" t="s">
        <v>495</v>
      </c>
    </row>
    <row r="79" spans="1:26" x14ac:dyDescent="0.3">
      <c r="A79" s="7" t="s">
        <v>496</v>
      </c>
      <c r="B79" s="8" t="s">
        <v>47</v>
      </c>
      <c r="C79" s="9"/>
      <c r="D79" s="8" t="s">
        <v>497</v>
      </c>
      <c r="E79" s="8" t="s">
        <v>498</v>
      </c>
      <c r="F79" s="8"/>
      <c r="G79" s="8" t="s">
        <v>42</v>
      </c>
      <c r="H79" s="8" t="s">
        <v>41</v>
      </c>
      <c r="I79" s="10">
        <v>1000</v>
      </c>
      <c r="J79" s="10">
        <v>500</v>
      </c>
      <c r="K79" s="11"/>
      <c r="L79" s="12">
        <f>IF(D79="","",SUMIFS(Movimientos!$D$2:$D$2000,Movimientos!$B$2:$B$2000,A79))</f>
        <v>0</v>
      </c>
      <c r="M79" s="12">
        <f t="shared" si="2"/>
        <v>500</v>
      </c>
      <c r="N79" s="11"/>
      <c r="O79" s="7" t="str">
        <f t="shared" ca="1" si="3"/>
        <v>Sin fecha</v>
      </c>
      <c r="P79" s="8"/>
      <c r="Q79" s="8" t="s">
        <v>105</v>
      </c>
      <c r="R79" s="8" t="s">
        <v>106</v>
      </c>
      <c r="S79" s="8" t="s">
        <v>69</v>
      </c>
      <c r="T79" s="8"/>
      <c r="U79" s="8" t="s">
        <v>499</v>
      </c>
      <c r="V79" s="8" t="s">
        <v>107</v>
      </c>
      <c r="W79" s="8" t="s">
        <v>32</v>
      </c>
      <c r="X79" s="9" t="s">
        <v>108</v>
      </c>
      <c r="Y79" s="13"/>
      <c r="Z79" s="9" t="s">
        <v>500</v>
      </c>
    </row>
    <row r="80" spans="1:26" x14ac:dyDescent="0.3">
      <c r="A80" s="7" t="s">
        <v>501</v>
      </c>
      <c r="B80" s="8" t="s">
        <v>47</v>
      </c>
      <c r="C80" s="9"/>
      <c r="D80" s="8" t="s">
        <v>502</v>
      </c>
      <c r="E80" s="8" t="s">
        <v>503</v>
      </c>
      <c r="F80" s="8" t="s">
        <v>504</v>
      </c>
      <c r="G80" s="8" t="s">
        <v>42</v>
      </c>
      <c r="H80" s="8" t="s">
        <v>41</v>
      </c>
      <c r="I80" s="10">
        <v>1000</v>
      </c>
      <c r="J80" s="10">
        <v>900</v>
      </c>
      <c r="K80" s="11"/>
      <c r="L80" s="12">
        <f>IF(D80="","",SUMIFS(Movimientos!$D$2:$D$2000,Movimientos!$B$2:$B$2000,A80))</f>
        <v>0</v>
      </c>
      <c r="M80" s="12">
        <f t="shared" si="2"/>
        <v>900</v>
      </c>
      <c r="N80" s="11"/>
      <c r="O80" s="7" t="str">
        <f t="shared" ca="1" si="3"/>
        <v>Sin fecha</v>
      </c>
      <c r="P80" s="8" t="s">
        <v>505</v>
      </c>
      <c r="Q80" s="8" t="s">
        <v>105</v>
      </c>
      <c r="R80" s="8" t="s">
        <v>116</v>
      </c>
      <c r="S80" s="8" t="s">
        <v>69</v>
      </c>
      <c r="T80" s="8"/>
      <c r="U80" s="8" t="s">
        <v>499</v>
      </c>
      <c r="V80" s="8" t="s">
        <v>107</v>
      </c>
      <c r="W80" s="8" t="s">
        <v>32</v>
      </c>
      <c r="X80" s="9" t="s">
        <v>108</v>
      </c>
      <c r="Y80" s="13"/>
      <c r="Z80" s="9" t="s">
        <v>506</v>
      </c>
    </row>
    <row r="81" spans="1:26" x14ac:dyDescent="0.3">
      <c r="A81" s="7" t="s">
        <v>507</v>
      </c>
      <c r="B81" s="8" t="s">
        <v>47</v>
      </c>
      <c r="C81" s="9"/>
      <c r="D81" s="8" t="s">
        <v>508</v>
      </c>
      <c r="E81" s="8" t="s">
        <v>509</v>
      </c>
      <c r="F81" s="8" t="s">
        <v>510</v>
      </c>
      <c r="G81" s="8" t="s">
        <v>42</v>
      </c>
      <c r="H81" s="8" t="s">
        <v>41</v>
      </c>
      <c r="I81" s="10">
        <v>1000</v>
      </c>
      <c r="J81" s="10">
        <v>450</v>
      </c>
      <c r="K81" s="11"/>
      <c r="L81" s="12">
        <f>IF(D81="","",SUMIFS(Movimientos!$D$2:$D$2000,Movimientos!$B$2:$B$2000,A81))</f>
        <v>0</v>
      </c>
      <c r="M81" s="12">
        <f t="shared" si="2"/>
        <v>450</v>
      </c>
      <c r="N81" s="11"/>
      <c r="O81" s="7" t="str">
        <f t="shared" ca="1" si="3"/>
        <v>Sin fecha</v>
      </c>
      <c r="P81" s="8" t="s">
        <v>511</v>
      </c>
      <c r="Q81" s="8" t="s">
        <v>105</v>
      </c>
      <c r="R81" s="8" t="s">
        <v>116</v>
      </c>
      <c r="S81" s="8" t="s">
        <v>69</v>
      </c>
      <c r="T81" s="8"/>
      <c r="U81" s="8" t="s">
        <v>499</v>
      </c>
      <c r="V81" s="8" t="s">
        <v>107</v>
      </c>
      <c r="W81" s="8" t="s">
        <v>32</v>
      </c>
      <c r="X81" s="9" t="s">
        <v>108</v>
      </c>
      <c r="Y81" s="13"/>
      <c r="Z81" s="9" t="s">
        <v>512</v>
      </c>
    </row>
    <row r="82" spans="1:26" x14ac:dyDescent="0.3">
      <c r="A82" s="7" t="s">
        <v>513</v>
      </c>
      <c r="B82" s="8" t="s">
        <v>47</v>
      </c>
      <c r="C82" s="9"/>
      <c r="D82" s="8" t="s">
        <v>508</v>
      </c>
      <c r="E82" s="8" t="s">
        <v>509</v>
      </c>
      <c r="F82" s="8" t="s">
        <v>510</v>
      </c>
      <c r="G82" s="8" t="s">
        <v>42</v>
      </c>
      <c r="H82" s="8" t="s">
        <v>41</v>
      </c>
      <c r="I82" s="10">
        <v>1000</v>
      </c>
      <c r="J82" s="10">
        <v>200</v>
      </c>
      <c r="K82" s="11"/>
      <c r="L82" s="12">
        <f>IF(D82="","",SUMIFS(Movimientos!$D$2:$D$2000,Movimientos!$B$2:$B$2000,A82))</f>
        <v>0</v>
      </c>
      <c r="M82" s="12">
        <f t="shared" si="2"/>
        <v>200</v>
      </c>
      <c r="N82" s="11"/>
      <c r="O82" s="7" t="str">
        <f t="shared" ca="1" si="3"/>
        <v>Sin fecha</v>
      </c>
      <c r="P82" s="8" t="s">
        <v>514</v>
      </c>
      <c r="Q82" s="8" t="s">
        <v>105</v>
      </c>
      <c r="R82" s="8" t="s">
        <v>116</v>
      </c>
      <c r="S82" s="8" t="s">
        <v>69</v>
      </c>
      <c r="T82" s="8"/>
      <c r="U82" s="8" t="s">
        <v>499</v>
      </c>
      <c r="V82" s="8" t="s">
        <v>107</v>
      </c>
      <c r="W82" s="8" t="s">
        <v>32</v>
      </c>
      <c r="X82" s="9" t="s">
        <v>108</v>
      </c>
      <c r="Y82" s="13"/>
      <c r="Z82" s="9" t="s">
        <v>515</v>
      </c>
    </row>
    <row r="83" spans="1:26" x14ac:dyDescent="0.3">
      <c r="A83" s="7" t="s">
        <v>516</v>
      </c>
      <c r="B83" s="8" t="s">
        <v>47</v>
      </c>
      <c r="C83" s="9"/>
      <c r="D83" s="8" t="s">
        <v>508</v>
      </c>
      <c r="E83" s="8" t="s">
        <v>509</v>
      </c>
      <c r="F83" s="8" t="s">
        <v>510</v>
      </c>
      <c r="G83" s="8" t="s">
        <v>42</v>
      </c>
      <c r="H83" s="8" t="s">
        <v>41</v>
      </c>
      <c r="I83" s="10">
        <v>1000</v>
      </c>
      <c r="J83" s="10">
        <v>1000</v>
      </c>
      <c r="K83" s="11"/>
      <c r="L83" s="12">
        <f>IF(D83="","",SUMIFS(Movimientos!$D$2:$D$2000,Movimientos!$B$2:$B$2000,A83))</f>
        <v>0</v>
      </c>
      <c r="M83" s="12">
        <f t="shared" si="2"/>
        <v>1000</v>
      </c>
      <c r="N83" s="11"/>
      <c r="O83" s="7" t="str">
        <f t="shared" ca="1" si="3"/>
        <v>Sin fecha</v>
      </c>
      <c r="P83" s="8" t="s">
        <v>517</v>
      </c>
      <c r="Q83" s="8" t="s">
        <v>105</v>
      </c>
      <c r="R83" s="8" t="s">
        <v>116</v>
      </c>
      <c r="S83" s="8" t="s">
        <v>69</v>
      </c>
      <c r="T83" s="8"/>
      <c r="U83" s="8"/>
      <c r="V83" s="8" t="s">
        <v>107</v>
      </c>
      <c r="W83" s="8" t="s">
        <v>32</v>
      </c>
      <c r="X83" s="9" t="s">
        <v>108</v>
      </c>
      <c r="Y83" s="13"/>
      <c r="Z83" s="9" t="s">
        <v>518</v>
      </c>
    </row>
    <row r="84" spans="1:26" x14ac:dyDescent="0.3">
      <c r="A84" s="7" t="s">
        <v>519</v>
      </c>
      <c r="B84" s="8" t="s">
        <v>36</v>
      </c>
      <c r="C84" s="9" t="s">
        <v>520</v>
      </c>
      <c r="D84" s="8" t="s">
        <v>521</v>
      </c>
      <c r="E84" s="8" t="s">
        <v>522</v>
      </c>
      <c r="F84" s="8"/>
      <c r="G84" s="8" t="s">
        <v>31</v>
      </c>
      <c r="H84" s="8" t="s">
        <v>30</v>
      </c>
      <c r="I84" s="10"/>
      <c r="J84" s="10"/>
      <c r="K84" s="11"/>
      <c r="L84" s="12">
        <f>IF(D84="","",SUMIFS(Movimientos!$D$2:$D$2000,Movimientos!$B$2:$B$2000,A84))</f>
        <v>0</v>
      </c>
      <c r="M84" s="12" t="str">
        <f t="shared" si="2"/>
        <v/>
      </c>
      <c r="N84" s="11"/>
      <c r="O84" s="7" t="str">
        <f t="shared" ca="1" si="3"/>
        <v>Sin fecha</v>
      </c>
      <c r="P84" s="8" t="s">
        <v>523</v>
      </c>
      <c r="Q84" s="8" t="s">
        <v>105</v>
      </c>
      <c r="R84" s="8"/>
      <c r="S84" s="8" t="s">
        <v>70</v>
      </c>
      <c r="T84" s="8"/>
      <c r="U84" s="8"/>
      <c r="V84" s="8" t="s">
        <v>107</v>
      </c>
      <c r="W84" s="8" t="s">
        <v>32</v>
      </c>
      <c r="X84" s="9" t="s">
        <v>108</v>
      </c>
      <c r="Y84" s="13"/>
      <c r="Z84" s="9" t="s">
        <v>524</v>
      </c>
    </row>
    <row r="85" spans="1:26" x14ac:dyDescent="0.3">
      <c r="A85" s="7" t="s">
        <v>525</v>
      </c>
      <c r="B85" s="8" t="s">
        <v>47</v>
      </c>
      <c r="C85" s="9"/>
      <c r="D85" s="8" t="s">
        <v>526</v>
      </c>
      <c r="E85" s="8" t="s">
        <v>527</v>
      </c>
      <c r="F85" s="8" t="s">
        <v>528</v>
      </c>
      <c r="G85" s="8" t="s">
        <v>42</v>
      </c>
      <c r="H85" s="8" t="s">
        <v>41</v>
      </c>
      <c r="I85" s="10">
        <v>1000</v>
      </c>
      <c r="J85" s="10">
        <v>550</v>
      </c>
      <c r="K85" s="11"/>
      <c r="L85" s="12">
        <f>IF(D85="","",SUMIFS(Movimientos!$D$2:$D$2000,Movimientos!$B$2:$B$2000,A85))</f>
        <v>0</v>
      </c>
      <c r="M85" s="12">
        <f t="shared" si="2"/>
        <v>550</v>
      </c>
      <c r="N85" s="11">
        <v>44377</v>
      </c>
      <c r="O85" s="7" t="str">
        <f t="shared" ca="1" si="3"/>
        <v>VENCIDO</v>
      </c>
      <c r="P85" s="8"/>
      <c r="Q85" s="8" t="s">
        <v>105</v>
      </c>
      <c r="R85" s="8" t="s">
        <v>106</v>
      </c>
      <c r="S85" s="8" t="s">
        <v>72</v>
      </c>
      <c r="T85" s="8"/>
      <c r="U85" s="8"/>
      <c r="V85" s="8" t="s">
        <v>107</v>
      </c>
      <c r="W85" s="8" t="s">
        <v>32</v>
      </c>
      <c r="X85" s="9" t="s">
        <v>108</v>
      </c>
      <c r="Y85" s="13"/>
      <c r="Z85" s="9" t="s">
        <v>529</v>
      </c>
    </row>
    <row r="86" spans="1:26" x14ac:dyDescent="0.3">
      <c r="A86" s="7" t="s">
        <v>530</v>
      </c>
      <c r="B86" s="8" t="s">
        <v>47</v>
      </c>
      <c r="C86" s="9"/>
      <c r="D86" s="8" t="s">
        <v>531</v>
      </c>
      <c r="E86" s="8" t="s">
        <v>532</v>
      </c>
      <c r="F86" s="8" t="s">
        <v>533</v>
      </c>
      <c r="G86" s="8" t="s">
        <v>31</v>
      </c>
      <c r="H86" s="8" t="s">
        <v>30</v>
      </c>
      <c r="I86" s="10">
        <v>1000</v>
      </c>
      <c r="J86" s="10">
        <v>900</v>
      </c>
      <c r="K86" s="11"/>
      <c r="L86" s="12">
        <f>IF(D86="","",SUMIFS(Movimientos!$D$2:$D$2000,Movimientos!$B$2:$B$2000,A86))</f>
        <v>0</v>
      </c>
      <c r="M86" s="12">
        <f t="shared" si="2"/>
        <v>900</v>
      </c>
      <c r="N86" s="11">
        <v>41091</v>
      </c>
      <c r="O86" s="7" t="str">
        <f t="shared" ca="1" si="3"/>
        <v>VENCIDO</v>
      </c>
      <c r="P86" s="8" t="s">
        <v>534</v>
      </c>
      <c r="Q86" s="8" t="s">
        <v>143</v>
      </c>
      <c r="R86" s="8" t="s">
        <v>116</v>
      </c>
      <c r="S86" s="8" t="s">
        <v>60</v>
      </c>
      <c r="T86" s="8"/>
      <c r="U86" s="8" t="s">
        <v>535</v>
      </c>
      <c r="V86" s="8" t="s">
        <v>107</v>
      </c>
      <c r="W86" s="8" t="s">
        <v>32</v>
      </c>
      <c r="X86" s="9" t="s">
        <v>108</v>
      </c>
      <c r="Y86" s="13"/>
      <c r="Z86" s="9" t="s">
        <v>536</v>
      </c>
    </row>
    <row r="87" spans="1:26" x14ac:dyDescent="0.3">
      <c r="A87" s="7" t="s">
        <v>537</v>
      </c>
      <c r="B87" s="8" t="s">
        <v>47</v>
      </c>
      <c r="C87" s="9"/>
      <c r="D87" s="8" t="s">
        <v>538</v>
      </c>
      <c r="E87" s="8" t="s">
        <v>539</v>
      </c>
      <c r="F87" s="8" t="s">
        <v>540</v>
      </c>
      <c r="G87" s="8" t="s">
        <v>31</v>
      </c>
      <c r="H87" s="8" t="s">
        <v>30</v>
      </c>
      <c r="I87" s="10">
        <v>25</v>
      </c>
      <c r="J87" s="10">
        <v>19</v>
      </c>
      <c r="K87" s="11"/>
      <c r="L87" s="12">
        <f>IF(D87="","",SUMIFS(Movimientos!$D$2:$D$2000,Movimientos!$B$2:$B$2000,A87))</f>
        <v>0</v>
      </c>
      <c r="M87" s="12">
        <f t="shared" si="2"/>
        <v>19</v>
      </c>
      <c r="N87" s="11"/>
      <c r="O87" s="7" t="str">
        <f t="shared" ca="1" si="3"/>
        <v>Sin fecha</v>
      </c>
      <c r="P87" s="8"/>
      <c r="Q87" s="8" t="s">
        <v>105</v>
      </c>
      <c r="R87" s="8" t="s">
        <v>106</v>
      </c>
      <c r="S87" s="8" t="s">
        <v>72</v>
      </c>
      <c r="T87" s="8"/>
      <c r="U87" s="8"/>
      <c r="V87" s="8" t="s">
        <v>107</v>
      </c>
      <c r="W87" s="8" t="s">
        <v>32</v>
      </c>
      <c r="X87" s="9" t="s">
        <v>108</v>
      </c>
      <c r="Y87" s="13"/>
      <c r="Z87" s="9" t="s">
        <v>541</v>
      </c>
    </row>
    <row r="88" spans="1:26" x14ac:dyDescent="0.3">
      <c r="A88" s="7" t="s">
        <v>542</v>
      </c>
      <c r="B88" s="8" t="s">
        <v>47</v>
      </c>
      <c r="C88" s="9"/>
      <c r="D88" s="8" t="s">
        <v>543</v>
      </c>
      <c r="E88" s="8"/>
      <c r="F88" s="8" t="s">
        <v>544</v>
      </c>
      <c r="G88" s="8" t="s">
        <v>31</v>
      </c>
      <c r="H88" s="8" t="s">
        <v>30</v>
      </c>
      <c r="I88" s="10">
        <v>10</v>
      </c>
      <c r="J88" s="10">
        <v>3</v>
      </c>
      <c r="K88" s="11"/>
      <c r="L88" s="12">
        <f>IF(D88="","",SUMIFS(Movimientos!$D$2:$D$2000,Movimientos!$B$2:$B$2000,A88))</f>
        <v>0</v>
      </c>
      <c r="M88" s="12">
        <f t="shared" si="2"/>
        <v>3</v>
      </c>
      <c r="N88" s="11"/>
      <c r="O88" s="7" t="str">
        <f t="shared" ca="1" si="3"/>
        <v>Sin fecha</v>
      </c>
      <c r="P88" s="8" t="s">
        <v>545</v>
      </c>
      <c r="Q88" s="8" t="s">
        <v>105</v>
      </c>
      <c r="R88" s="8" t="s">
        <v>546</v>
      </c>
      <c r="S88" s="8" t="s">
        <v>72</v>
      </c>
      <c r="T88" s="8"/>
      <c r="U88" s="8"/>
      <c r="V88" s="8" t="s">
        <v>107</v>
      </c>
      <c r="W88" s="8" t="s">
        <v>32</v>
      </c>
      <c r="X88" s="9" t="s">
        <v>108</v>
      </c>
      <c r="Y88" s="13"/>
      <c r="Z88" s="9" t="s">
        <v>547</v>
      </c>
    </row>
    <row r="89" spans="1:26" x14ac:dyDescent="0.3">
      <c r="A89" s="7" t="s">
        <v>548</v>
      </c>
      <c r="B89" s="8" t="s">
        <v>47</v>
      </c>
      <c r="C89" s="9"/>
      <c r="D89" s="8" t="s">
        <v>549</v>
      </c>
      <c r="E89" s="8" t="s">
        <v>550</v>
      </c>
      <c r="F89" s="8" t="s">
        <v>551</v>
      </c>
      <c r="G89" s="8" t="s">
        <v>31</v>
      </c>
      <c r="H89" s="8" t="s">
        <v>30</v>
      </c>
      <c r="I89" s="10">
        <v>250</v>
      </c>
      <c r="J89" s="10">
        <v>100</v>
      </c>
      <c r="K89" s="11"/>
      <c r="L89" s="12">
        <f>IF(D89="","",SUMIFS(Movimientos!$D$2:$D$2000,Movimientos!$B$2:$B$2000,A89))</f>
        <v>0</v>
      </c>
      <c r="M89" s="12">
        <f t="shared" si="2"/>
        <v>100</v>
      </c>
      <c r="N89" s="11">
        <v>41183</v>
      </c>
      <c r="O89" s="7" t="str">
        <f t="shared" ca="1" si="3"/>
        <v>VENCIDO</v>
      </c>
      <c r="P89" s="8" t="s">
        <v>552</v>
      </c>
      <c r="Q89" s="8" t="s">
        <v>143</v>
      </c>
      <c r="R89" s="8" t="s">
        <v>116</v>
      </c>
      <c r="S89" s="8" t="s">
        <v>74</v>
      </c>
      <c r="T89" s="8"/>
      <c r="U89" s="8" t="s">
        <v>553</v>
      </c>
      <c r="V89" s="8" t="s">
        <v>107</v>
      </c>
      <c r="W89" s="8" t="s">
        <v>32</v>
      </c>
      <c r="X89" s="9" t="s">
        <v>108</v>
      </c>
      <c r="Y89" s="13"/>
      <c r="Z89" s="9" t="s">
        <v>554</v>
      </c>
    </row>
    <row r="90" spans="1:26" x14ac:dyDescent="0.3">
      <c r="A90" s="7" t="s">
        <v>555</v>
      </c>
      <c r="B90" s="8" t="s">
        <v>36</v>
      </c>
      <c r="C90" s="9" t="s">
        <v>556</v>
      </c>
      <c r="D90" s="8" t="s">
        <v>557</v>
      </c>
      <c r="E90" s="8" t="s">
        <v>558</v>
      </c>
      <c r="F90" s="8"/>
      <c r="G90" s="8" t="s">
        <v>31</v>
      </c>
      <c r="H90" s="8" t="s">
        <v>30</v>
      </c>
      <c r="I90" s="10">
        <v>250</v>
      </c>
      <c r="J90" s="10">
        <v>250</v>
      </c>
      <c r="K90" s="11"/>
      <c r="L90" s="12">
        <f>IF(D90="","",SUMIFS(Movimientos!$D$2:$D$2000,Movimientos!$B$2:$B$2000,A90))</f>
        <v>0</v>
      </c>
      <c r="M90" s="12">
        <f t="shared" si="2"/>
        <v>250</v>
      </c>
      <c r="N90" s="11"/>
      <c r="O90" s="7" t="str">
        <f t="shared" ca="1" si="3"/>
        <v>Sin fecha</v>
      </c>
      <c r="P90" s="8" t="s">
        <v>559</v>
      </c>
      <c r="Q90" s="8" t="s">
        <v>105</v>
      </c>
      <c r="R90" s="8" t="s">
        <v>162</v>
      </c>
      <c r="S90" s="8" t="s">
        <v>72</v>
      </c>
      <c r="T90" s="8"/>
      <c r="U90" s="8"/>
      <c r="V90" s="8" t="s">
        <v>107</v>
      </c>
      <c r="W90" s="8" t="s">
        <v>32</v>
      </c>
      <c r="X90" s="9" t="s">
        <v>108</v>
      </c>
      <c r="Y90" s="13" t="s">
        <v>560</v>
      </c>
      <c r="Z90" s="9" t="s">
        <v>561</v>
      </c>
    </row>
    <row r="91" spans="1:26" x14ac:dyDescent="0.3">
      <c r="A91" s="7" t="s">
        <v>562</v>
      </c>
      <c r="B91" s="8" t="s">
        <v>47</v>
      </c>
      <c r="C91" s="9"/>
      <c r="D91" s="8" t="s">
        <v>563</v>
      </c>
      <c r="E91" s="8" t="s">
        <v>564</v>
      </c>
      <c r="F91" s="8" t="s">
        <v>565</v>
      </c>
      <c r="G91" s="8" t="s">
        <v>31</v>
      </c>
      <c r="H91" s="8" t="s">
        <v>30</v>
      </c>
      <c r="I91" s="10">
        <v>1000</v>
      </c>
      <c r="J91" s="10">
        <v>800</v>
      </c>
      <c r="K91" s="11"/>
      <c r="L91" s="12">
        <f>IF(D91="","",SUMIFS(Movimientos!$D$2:$D$2000,Movimientos!$B$2:$B$2000,A91))</f>
        <v>0</v>
      </c>
      <c r="M91" s="12">
        <f t="shared" si="2"/>
        <v>800</v>
      </c>
      <c r="N91" s="11"/>
      <c r="O91" s="7" t="str">
        <f t="shared" ca="1" si="3"/>
        <v>Sin fecha</v>
      </c>
      <c r="P91" s="8" t="s">
        <v>566</v>
      </c>
      <c r="Q91" s="8" t="s">
        <v>115</v>
      </c>
      <c r="R91" s="8" t="s">
        <v>116</v>
      </c>
      <c r="S91" s="8" t="s">
        <v>74</v>
      </c>
      <c r="T91" s="8"/>
      <c r="U91" s="8"/>
      <c r="V91" s="8" t="s">
        <v>107</v>
      </c>
      <c r="W91" s="8" t="s">
        <v>32</v>
      </c>
      <c r="X91" s="9" t="s">
        <v>108</v>
      </c>
      <c r="Y91" s="13"/>
      <c r="Z91" s="9" t="s">
        <v>567</v>
      </c>
    </row>
    <row r="92" spans="1:26" x14ac:dyDescent="0.3">
      <c r="A92" s="7" t="s">
        <v>568</v>
      </c>
      <c r="B92" s="8" t="s">
        <v>47</v>
      </c>
      <c r="C92" s="9"/>
      <c r="D92" s="8" t="s">
        <v>569</v>
      </c>
      <c r="E92" s="8" t="s">
        <v>570</v>
      </c>
      <c r="F92" s="8" t="s">
        <v>571</v>
      </c>
      <c r="G92" s="8" t="s">
        <v>31</v>
      </c>
      <c r="H92" s="8" t="s">
        <v>30</v>
      </c>
      <c r="I92" s="10">
        <v>0</v>
      </c>
      <c r="J92" s="10">
        <v>0</v>
      </c>
      <c r="K92" s="11"/>
      <c r="L92" s="12">
        <f>IF(D92="","",SUMIFS(Movimientos!$D$2:$D$2000,Movimientos!$B$2:$B$2000,A92))</f>
        <v>0</v>
      </c>
      <c r="M92" s="12">
        <f t="shared" si="2"/>
        <v>0</v>
      </c>
      <c r="N92" s="11">
        <v>41122</v>
      </c>
      <c r="O92" s="7" t="str">
        <f t="shared" ca="1" si="3"/>
        <v>VENCIDO</v>
      </c>
      <c r="P92" s="8" t="s">
        <v>572</v>
      </c>
      <c r="Q92" s="8" t="s">
        <v>143</v>
      </c>
      <c r="R92" s="8" t="s">
        <v>106</v>
      </c>
      <c r="S92" s="8" t="s">
        <v>68</v>
      </c>
      <c r="T92" s="8"/>
      <c r="U92" s="8"/>
      <c r="V92" s="8" t="s">
        <v>107</v>
      </c>
      <c r="W92" s="8" t="s">
        <v>32</v>
      </c>
      <c r="X92" s="9" t="s">
        <v>108</v>
      </c>
      <c r="Y92" s="13"/>
      <c r="Z92" s="9" t="s">
        <v>573</v>
      </c>
    </row>
    <row r="93" spans="1:26" x14ac:dyDescent="0.3">
      <c r="A93" s="7" t="s">
        <v>574</v>
      </c>
      <c r="B93" s="8" t="s">
        <v>47</v>
      </c>
      <c r="C93" s="9"/>
      <c r="D93" s="8" t="s">
        <v>575</v>
      </c>
      <c r="E93" s="8" t="s">
        <v>576</v>
      </c>
      <c r="F93" s="8" t="s">
        <v>577</v>
      </c>
      <c r="G93" s="8" t="s">
        <v>31</v>
      </c>
      <c r="H93" s="8" t="s">
        <v>30</v>
      </c>
      <c r="I93" s="10">
        <v>500</v>
      </c>
      <c r="J93" s="10">
        <v>220</v>
      </c>
      <c r="K93" s="11"/>
      <c r="L93" s="12">
        <f>IF(D93="","",SUMIFS(Movimientos!$D$2:$D$2000,Movimientos!$B$2:$B$2000,A93))</f>
        <v>0</v>
      </c>
      <c r="M93" s="12">
        <f t="shared" si="2"/>
        <v>220</v>
      </c>
      <c r="N93" s="11"/>
      <c r="O93" s="7" t="str">
        <f t="shared" ca="1" si="3"/>
        <v>Sin fecha</v>
      </c>
      <c r="P93" s="8" t="s">
        <v>578</v>
      </c>
      <c r="Q93" s="8" t="s">
        <v>143</v>
      </c>
      <c r="R93" s="8" t="s">
        <v>106</v>
      </c>
      <c r="S93" s="8" t="s">
        <v>51</v>
      </c>
      <c r="T93" s="8"/>
      <c r="U93" s="8"/>
      <c r="V93" s="8" t="s">
        <v>107</v>
      </c>
      <c r="W93" s="8" t="s">
        <v>32</v>
      </c>
      <c r="X93" s="9" t="s">
        <v>108</v>
      </c>
      <c r="Y93" s="13"/>
      <c r="Z93" s="9" t="s">
        <v>579</v>
      </c>
    </row>
    <row r="94" spans="1:26" x14ac:dyDescent="0.3">
      <c r="A94" s="7" t="s">
        <v>580</v>
      </c>
      <c r="B94" s="8" t="s">
        <v>47</v>
      </c>
      <c r="C94" s="9"/>
      <c r="D94" s="8" t="s">
        <v>581</v>
      </c>
      <c r="E94" s="8" t="s">
        <v>582</v>
      </c>
      <c r="F94" s="8" t="s">
        <v>583</v>
      </c>
      <c r="G94" s="8" t="s">
        <v>31</v>
      </c>
      <c r="H94" s="8" t="s">
        <v>30</v>
      </c>
      <c r="I94" s="10">
        <v>250</v>
      </c>
      <c r="J94" s="10">
        <v>150</v>
      </c>
      <c r="K94" s="11"/>
      <c r="L94" s="12">
        <f>IF(D94="","",SUMIFS(Movimientos!$D$2:$D$2000,Movimientos!$B$2:$B$2000,A94))</f>
        <v>0</v>
      </c>
      <c r="M94" s="12">
        <f t="shared" si="2"/>
        <v>150</v>
      </c>
      <c r="N94" s="11"/>
      <c r="O94" s="7" t="str">
        <f t="shared" ca="1" si="3"/>
        <v>Sin fecha</v>
      </c>
      <c r="P94" s="8" t="s">
        <v>584</v>
      </c>
      <c r="Q94" s="8" t="s">
        <v>105</v>
      </c>
      <c r="R94" s="8" t="s">
        <v>106</v>
      </c>
      <c r="S94" s="8" t="s">
        <v>60</v>
      </c>
      <c r="T94" s="8"/>
      <c r="U94" s="8"/>
      <c r="V94" s="8" t="s">
        <v>107</v>
      </c>
      <c r="W94" s="8" t="s">
        <v>32</v>
      </c>
      <c r="X94" s="9" t="s">
        <v>108</v>
      </c>
      <c r="Y94" s="13"/>
      <c r="Z94" s="9" t="s">
        <v>585</v>
      </c>
    </row>
    <row r="95" spans="1:26" x14ac:dyDescent="0.3">
      <c r="A95" s="7" t="s">
        <v>586</v>
      </c>
      <c r="B95" s="8" t="s">
        <v>47</v>
      </c>
      <c r="C95" s="9"/>
      <c r="D95" s="8" t="s">
        <v>581</v>
      </c>
      <c r="E95" s="8" t="s">
        <v>582</v>
      </c>
      <c r="F95" s="8" t="s">
        <v>583</v>
      </c>
      <c r="G95" s="8" t="s">
        <v>31</v>
      </c>
      <c r="H95" s="8" t="s">
        <v>30</v>
      </c>
      <c r="I95" s="10">
        <v>250</v>
      </c>
      <c r="J95" s="10">
        <v>200</v>
      </c>
      <c r="K95" s="11"/>
      <c r="L95" s="12">
        <f>IF(D95="","",SUMIFS(Movimientos!$D$2:$D$2000,Movimientos!$B$2:$B$2000,A95))</f>
        <v>0</v>
      </c>
      <c r="M95" s="12">
        <f t="shared" si="2"/>
        <v>200</v>
      </c>
      <c r="N95" s="11"/>
      <c r="O95" s="7" t="str">
        <f t="shared" ca="1" si="3"/>
        <v>Sin fecha</v>
      </c>
      <c r="P95" s="8" t="s">
        <v>587</v>
      </c>
      <c r="Q95" s="8" t="s">
        <v>105</v>
      </c>
      <c r="R95" s="8" t="s">
        <v>106</v>
      </c>
      <c r="S95" s="8" t="s">
        <v>60</v>
      </c>
      <c r="T95" s="8"/>
      <c r="U95" s="8"/>
      <c r="V95" s="8" t="s">
        <v>107</v>
      </c>
      <c r="W95" s="8" t="s">
        <v>32</v>
      </c>
      <c r="X95" s="9" t="s">
        <v>108</v>
      </c>
      <c r="Y95" s="13"/>
      <c r="Z95" s="9" t="s">
        <v>588</v>
      </c>
    </row>
    <row r="96" spans="1:26" x14ac:dyDescent="0.3">
      <c r="A96" s="7" t="s">
        <v>589</v>
      </c>
      <c r="B96" s="8" t="s">
        <v>47</v>
      </c>
      <c r="C96" s="9"/>
      <c r="D96" s="8" t="s">
        <v>590</v>
      </c>
      <c r="E96" s="8" t="s">
        <v>591</v>
      </c>
      <c r="F96" s="8" t="s">
        <v>592</v>
      </c>
      <c r="G96" s="8" t="s">
        <v>31</v>
      </c>
      <c r="H96" s="8" t="s">
        <v>30</v>
      </c>
      <c r="I96" s="10">
        <v>1000</v>
      </c>
      <c r="J96" s="10">
        <v>250</v>
      </c>
      <c r="K96" s="11"/>
      <c r="L96" s="12">
        <f>IF(D96="","",SUMIFS(Movimientos!$D$2:$D$2000,Movimientos!$B$2:$B$2000,A96))</f>
        <v>0</v>
      </c>
      <c r="M96" s="12">
        <f t="shared" si="2"/>
        <v>250</v>
      </c>
      <c r="N96" s="11"/>
      <c r="O96" s="7" t="str">
        <f t="shared" ca="1" si="3"/>
        <v>Sin fecha</v>
      </c>
      <c r="P96" s="8" t="s">
        <v>593</v>
      </c>
      <c r="Q96" s="8" t="s">
        <v>105</v>
      </c>
      <c r="R96" s="8" t="s">
        <v>106</v>
      </c>
      <c r="S96" s="8" t="s">
        <v>60</v>
      </c>
      <c r="T96" s="8"/>
      <c r="U96" s="8" t="s">
        <v>594</v>
      </c>
      <c r="V96" s="8" t="s">
        <v>107</v>
      </c>
      <c r="W96" s="8" t="s">
        <v>32</v>
      </c>
      <c r="X96" s="9" t="s">
        <v>108</v>
      </c>
      <c r="Y96" s="13"/>
      <c r="Z96" s="9" t="s">
        <v>595</v>
      </c>
    </row>
    <row r="97" spans="1:26" x14ac:dyDescent="0.3">
      <c r="A97" s="7" t="s">
        <v>596</v>
      </c>
      <c r="B97" s="8" t="s">
        <v>47</v>
      </c>
      <c r="C97" s="9"/>
      <c r="D97" s="8" t="s">
        <v>590</v>
      </c>
      <c r="E97" s="8" t="s">
        <v>591</v>
      </c>
      <c r="F97" s="8" t="s">
        <v>592</v>
      </c>
      <c r="G97" s="8" t="s">
        <v>31</v>
      </c>
      <c r="H97" s="8" t="s">
        <v>30</v>
      </c>
      <c r="I97" s="10">
        <v>2000</v>
      </c>
      <c r="J97" s="10">
        <v>1500</v>
      </c>
      <c r="K97" s="11"/>
      <c r="L97" s="12">
        <f>IF(D97="","",SUMIFS(Movimientos!$D$2:$D$2000,Movimientos!$B$2:$B$2000,A97))</f>
        <v>0</v>
      </c>
      <c r="M97" s="12">
        <f t="shared" si="2"/>
        <v>1500</v>
      </c>
      <c r="N97" s="11"/>
      <c r="O97" s="7" t="str">
        <f t="shared" ca="1" si="3"/>
        <v>Sin fecha</v>
      </c>
      <c r="P97" s="8" t="s">
        <v>597</v>
      </c>
      <c r="Q97" s="8" t="s">
        <v>105</v>
      </c>
      <c r="R97" s="8" t="s">
        <v>106</v>
      </c>
      <c r="S97" s="8" t="s">
        <v>60</v>
      </c>
      <c r="T97" s="8"/>
      <c r="U97" s="8" t="s">
        <v>594</v>
      </c>
      <c r="V97" s="8" t="s">
        <v>107</v>
      </c>
      <c r="W97" s="8" t="s">
        <v>32</v>
      </c>
      <c r="X97" s="9" t="s">
        <v>108</v>
      </c>
      <c r="Y97" s="13"/>
      <c r="Z97" s="9" t="s">
        <v>598</v>
      </c>
    </row>
    <row r="98" spans="1:26" x14ac:dyDescent="0.3">
      <c r="A98" s="7" t="s">
        <v>599</v>
      </c>
      <c r="B98" s="8" t="s">
        <v>47</v>
      </c>
      <c r="C98" s="9"/>
      <c r="D98" s="8" t="s">
        <v>600</v>
      </c>
      <c r="E98" s="8" t="s">
        <v>601</v>
      </c>
      <c r="F98" s="8" t="s">
        <v>602</v>
      </c>
      <c r="G98" s="8" t="s">
        <v>31</v>
      </c>
      <c r="H98" s="8" t="s">
        <v>30</v>
      </c>
      <c r="I98" s="10">
        <v>100</v>
      </c>
      <c r="J98" s="10">
        <v>50</v>
      </c>
      <c r="K98" s="11"/>
      <c r="L98" s="12">
        <f>IF(D98="","",SUMIFS(Movimientos!$D$2:$D$2000,Movimientos!$B$2:$B$2000,A98))</f>
        <v>0</v>
      </c>
      <c r="M98" s="12">
        <f t="shared" si="2"/>
        <v>50</v>
      </c>
      <c r="N98" s="11">
        <v>46568</v>
      </c>
      <c r="O98" s="7" t="str">
        <f t="shared" ca="1" si="3"/>
        <v>Vigente</v>
      </c>
      <c r="P98" s="8" t="s">
        <v>603</v>
      </c>
      <c r="Q98" s="8" t="s">
        <v>105</v>
      </c>
      <c r="R98" s="8" t="s">
        <v>106</v>
      </c>
      <c r="S98" s="8" t="s">
        <v>60</v>
      </c>
      <c r="T98" s="8"/>
      <c r="U98" s="8" t="s">
        <v>604</v>
      </c>
      <c r="V98" s="8" t="s">
        <v>107</v>
      </c>
      <c r="W98" s="8" t="s">
        <v>32</v>
      </c>
      <c r="X98" s="9" t="s">
        <v>108</v>
      </c>
      <c r="Y98" s="13"/>
      <c r="Z98" s="9" t="s">
        <v>605</v>
      </c>
    </row>
    <row r="99" spans="1:26" x14ac:dyDescent="0.3">
      <c r="A99" s="7" t="s">
        <v>606</v>
      </c>
      <c r="B99" s="8" t="s">
        <v>47</v>
      </c>
      <c r="C99" s="9"/>
      <c r="D99" s="8" t="s">
        <v>607</v>
      </c>
      <c r="E99" s="8" t="s">
        <v>601</v>
      </c>
      <c r="F99" s="8"/>
      <c r="G99" s="8" t="s">
        <v>42</v>
      </c>
      <c r="H99" s="8" t="s">
        <v>41</v>
      </c>
      <c r="I99" s="10">
        <v>1000</v>
      </c>
      <c r="J99" s="10">
        <v>1000</v>
      </c>
      <c r="K99" s="11"/>
      <c r="L99" s="12">
        <f>IF(D99="","",SUMIFS(Movimientos!$D$2:$D$2000,Movimientos!$B$2:$B$2000,A99))</f>
        <v>0</v>
      </c>
      <c r="M99" s="12">
        <f t="shared" si="2"/>
        <v>1000</v>
      </c>
      <c r="N99" s="11">
        <v>44439</v>
      </c>
      <c r="O99" s="7" t="str">
        <f t="shared" ca="1" si="3"/>
        <v>VENCIDO</v>
      </c>
      <c r="P99" s="8" t="s">
        <v>608</v>
      </c>
      <c r="Q99" s="8" t="s">
        <v>105</v>
      </c>
      <c r="R99" s="8" t="s">
        <v>106</v>
      </c>
      <c r="S99" s="8" t="s">
        <v>60</v>
      </c>
      <c r="T99" s="8"/>
      <c r="U99" s="8" t="s">
        <v>604</v>
      </c>
      <c r="V99" s="8" t="s">
        <v>107</v>
      </c>
      <c r="W99" s="8" t="s">
        <v>32</v>
      </c>
      <c r="X99" s="9" t="s">
        <v>108</v>
      </c>
      <c r="Y99" s="13"/>
      <c r="Z99" s="9" t="s">
        <v>609</v>
      </c>
    </row>
    <row r="100" spans="1:26" x14ac:dyDescent="0.3">
      <c r="A100" s="7" t="s">
        <v>610</v>
      </c>
      <c r="B100" s="8" t="s">
        <v>47</v>
      </c>
      <c r="C100" s="9"/>
      <c r="D100" s="8" t="s">
        <v>611</v>
      </c>
      <c r="E100" s="8" t="s">
        <v>612</v>
      </c>
      <c r="F100" s="8" t="s">
        <v>613</v>
      </c>
      <c r="G100" s="8" t="s">
        <v>31</v>
      </c>
      <c r="H100" s="8" t="s">
        <v>30</v>
      </c>
      <c r="I100" s="10">
        <v>1000</v>
      </c>
      <c r="J100" s="10">
        <v>1000</v>
      </c>
      <c r="K100" s="11"/>
      <c r="L100" s="12">
        <f>IF(D100="","",SUMIFS(Movimientos!$D$2:$D$2000,Movimientos!$B$2:$B$2000,A100))</f>
        <v>0</v>
      </c>
      <c r="M100" s="12">
        <f t="shared" si="2"/>
        <v>1000</v>
      </c>
      <c r="N100" s="11">
        <v>45747</v>
      </c>
      <c r="O100" s="7" t="str">
        <f t="shared" ca="1" si="3"/>
        <v>VENCIDO</v>
      </c>
      <c r="P100" s="8" t="s">
        <v>614</v>
      </c>
      <c r="Q100" s="8" t="s">
        <v>105</v>
      </c>
      <c r="R100" s="8"/>
      <c r="S100" s="8" t="s">
        <v>60</v>
      </c>
      <c r="T100" s="8"/>
      <c r="U100" s="8" t="s">
        <v>615</v>
      </c>
      <c r="V100" s="8" t="s">
        <v>107</v>
      </c>
      <c r="W100" s="8" t="s">
        <v>32</v>
      </c>
      <c r="X100" s="9" t="s">
        <v>108</v>
      </c>
      <c r="Y100" s="13"/>
      <c r="Z100" s="9" t="s">
        <v>616</v>
      </c>
    </row>
    <row r="101" spans="1:26" x14ac:dyDescent="0.3">
      <c r="A101" s="7" t="s">
        <v>617</v>
      </c>
      <c r="B101" s="8" t="s">
        <v>47</v>
      </c>
      <c r="C101" s="9"/>
      <c r="D101" s="8" t="s">
        <v>618</v>
      </c>
      <c r="E101" s="8" t="s">
        <v>619</v>
      </c>
      <c r="F101" s="8" t="s">
        <v>620</v>
      </c>
      <c r="G101" s="8" t="s">
        <v>42</v>
      </c>
      <c r="H101" s="8" t="s">
        <v>41</v>
      </c>
      <c r="I101" s="10">
        <v>2500</v>
      </c>
      <c r="J101" s="10">
        <v>40</v>
      </c>
      <c r="K101" s="11"/>
      <c r="L101" s="12">
        <f>IF(D101="","",SUMIFS(Movimientos!$D$2:$D$2000,Movimientos!$B$2:$B$2000,A101))</f>
        <v>0</v>
      </c>
      <c r="M101" s="12">
        <f t="shared" si="2"/>
        <v>40</v>
      </c>
      <c r="N101" s="11"/>
      <c r="O101" s="7" t="str">
        <f t="shared" ca="1" si="3"/>
        <v>Sin fecha</v>
      </c>
      <c r="P101" s="8"/>
      <c r="Q101" s="8" t="s">
        <v>621</v>
      </c>
      <c r="R101" s="8" t="s">
        <v>106</v>
      </c>
      <c r="S101" s="8" t="s">
        <v>72</v>
      </c>
      <c r="T101" s="8"/>
      <c r="U101" s="8" t="s">
        <v>622</v>
      </c>
      <c r="V101" s="8" t="s">
        <v>107</v>
      </c>
      <c r="W101" s="8" t="s">
        <v>32</v>
      </c>
      <c r="X101" s="9" t="s">
        <v>108</v>
      </c>
      <c r="Y101" s="13"/>
      <c r="Z101" s="9" t="s">
        <v>623</v>
      </c>
    </row>
    <row r="102" spans="1:26" x14ac:dyDescent="0.3">
      <c r="A102" s="7" t="s">
        <v>624</v>
      </c>
      <c r="B102" s="8" t="s">
        <v>47</v>
      </c>
      <c r="C102" s="9"/>
      <c r="D102" s="8" t="s">
        <v>618</v>
      </c>
      <c r="E102" s="8" t="s">
        <v>619</v>
      </c>
      <c r="F102" s="8" t="s">
        <v>620</v>
      </c>
      <c r="G102" s="8" t="s">
        <v>42</v>
      </c>
      <c r="H102" s="8" t="s">
        <v>41</v>
      </c>
      <c r="I102" s="10">
        <v>1000</v>
      </c>
      <c r="J102" s="10">
        <v>440</v>
      </c>
      <c r="K102" s="11"/>
      <c r="L102" s="12">
        <f>IF(D102="","",SUMIFS(Movimientos!$D$2:$D$2000,Movimientos!$B$2:$B$2000,A102))</f>
        <v>0</v>
      </c>
      <c r="M102" s="12">
        <f t="shared" si="2"/>
        <v>440</v>
      </c>
      <c r="N102" s="11">
        <v>46173</v>
      </c>
      <c r="O102" s="7" t="str">
        <f t="shared" ca="1" si="3"/>
        <v>VENCIDO</v>
      </c>
      <c r="P102" s="8" t="s">
        <v>625</v>
      </c>
      <c r="Q102" s="8" t="s">
        <v>105</v>
      </c>
      <c r="R102" s="8" t="s">
        <v>106</v>
      </c>
      <c r="S102" s="8" t="s">
        <v>72</v>
      </c>
      <c r="T102" s="8"/>
      <c r="U102" s="8" t="s">
        <v>622</v>
      </c>
      <c r="V102" s="8" t="s">
        <v>107</v>
      </c>
      <c r="W102" s="8" t="s">
        <v>32</v>
      </c>
      <c r="X102" s="9" t="s">
        <v>108</v>
      </c>
      <c r="Y102" s="13"/>
      <c r="Z102" s="9" t="s">
        <v>626</v>
      </c>
    </row>
    <row r="103" spans="1:26" x14ac:dyDescent="0.3">
      <c r="A103" s="7" t="s">
        <v>627</v>
      </c>
      <c r="B103" s="8" t="s">
        <v>47</v>
      </c>
      <c r="C103" s="9"/>
      <c r="D103" s="8" t="s">
        <v>628</v>
      </c>
      <c r="E103" s="8" t="s">
        <v>629</v>
      </c>
      <c r="F103" s="8" t="s">
        <v>630</v>
      </c>
      <c r="G103" s="8" t="s">
        <v>31</v>
      </c>
      <c r="H103" s="8" t="s">
        <v>30</v>
      </c>
      <c r="I103" s="10">
        <v>250</v>
      </c>
      <c r="J103" s="10">
        <v>140</v>
      </c>
      <c r="K103" s="11"/>
      <c r="L103" s="12">
        <f>IF(D103="","",SUMIFS(Movimientos!$D$2:$D$2000,Movimientos!$B$2:$B$2000,A103))</f>
        <v>0</v>
      </c>
      <c r="M103" s="12">
        <f t="shared" si="2"/>
        <v>140</v>
      </c>
      <c r="N103" s="11">
        <v>42125</v>
      </c>
      <c r="O103" s="7" t="str">
        <f t="shared" ca="1" si="3"/>
        <v>VENCIDO</v>
      </c>
      <c r="P103" s="8" t="s">
        <v>631</v>
      </c>
      <c r="Q103" s="8" t="s">
        <v>632</v>
      </c>
      <c r="R103" s="8" t="s">
        <v>116</v>
      </c>
      <c r="S103" s="8" t="s">
        <v>71</v>
      </c>
      <c r="T103" s="8"/>
      <c r="U103" s="8" t="s">
        <v>633</v>
      </c>
      <c r="V103" s="8" t="s">
        <v>107</v>
      </c>
      <c r="W103" s="8" t="s">
        <v>32</v>
      </c>
      <c r="X103" s="9" t="s">
        <v>108</v>
      </c>
      <c r="Y103" s="13"/>
      <c r="Z103" s="9" t="s">
        <v>634</v>
      </c>
    </row>
    <row r="104" spans="1:26" x14ac:dyDescent="0.3">
      <c r="A104" s="7" t="s">
        <v>635</v>
      </c>
      <c r="B104" s="8" t="s">
        <v>47</v>
      </c>
      <c r="C104" s="9"/>
      <c r="D104" s="8" t="s">
        <v>636</v>
      </c>
      <c r="E104" s="8" t="s">
        <v>637</v>
      </c>
      <c r="F104" s="8" t="s">
        <v>638</v>
      </c>
      <c r="G104" s="8" t="s">
        <v>31</v>
      </c>
      <c r="H104" s="8" t="s">
        <v>30</v>
      </c>
      <c r="I104" s="10">
        <v>1000</v>
      </c>
      <c r="J104" s="10">
        <v>800</v>
      </c>
      <c r="K104" s="11"/>
      <c r="L104" s="12">
        <f>IF(D104="","",SUMIFS(Movimientos!$D$2:$D$2000,Movimientos!$B$2:$B$2000,A104))</f>
        <v>0</v>
      </c>
      <c r="M104" s="12">
        <f t="shared" si="2"/>
        <v>800</v>
      </c>
      <c r="N104" s="11">
        <v>44286</v>
      </c>
      <c r="O104" s="7" t="str">
        <f t="shared" ca="1" si="3"/>
        <v>VENCIDO</v>
      </c>
      <c r="P104" s="8" t="s">
        <v>639</v>
      </c>
      <c r="Q104" s="8" t="s">
        <v>105</v>
      </c>
      <c r="R104" s="8" t="s">
        <v>106</v>
      </c>
      <c r="S104" s="8" t="s">
        <v>60</v>
      </c>
      <c r="T104" s="8"/>
      <c r="U104" s="8"/>
      <c r="V104" s="8" t="s">
        <v>107</v>
      </c>
      <c r="W104" s="8" t="s">
        <v>32</v>
      </c>
      <c r="X104" s="9" t="s">
        <v>108</v>
      </c>
      <c r="Y104" s="13"/>
      <c r="Z104" s="9" t="s">
        <v>640</v>
      </c>
    </row>
    <row r="105" spans="1:26" x14ac:dyDescent="0.3">
      <c r="A105" s="7" t="s">
        <v>641</v>
      </c>
      <c r="B105" s="8" t="s">
        <v>47</v>
      </c>
      <c r="C105" s="9"/>
      <c r="D105" s="8" t="s">
        <v>642</v>
      </c>
      <c r="E105" s="8" t="s">
        <v>643</v>
      </c>
      <c r="F105" s="8" t="s">
        <v>644</v>
      </c>
      <c r="G105" s="8" t="s">
        <v>31</v>
      </c>
      <c r="H105" s="8" t="s">
        <v>30</v>
      </c>
      <c r="I105" s="10">
        <v>500</v>
      </c>
      <c r="J105" s="10">
        <v>300</v>
      </c>
      <c r="K105" s="11"/>
      <c r="L105" s="12">
        <f>IF(D105="","",SUMIFS(Movimientos!$D$2:$D$2000,Movimientos!$B$2:$B$2000,A105))</f>
        <v>0</v>
      </c>
      <c r="M105" s="12">
        <f t="shared" si="2"/>
        <v>300</v>
      </c>
      <c r="N105" s="11"/>
      <c r="O105" s="7" t="str">
        <f t="shared" ca="1" si="3"/>
        <v>Sin fecha</v>
      </c>
      <c r="P105" s="8" t="s">
        <v>645</v>
      </c>
      <c r="Q105" s="8" t="s">
        <v>115</v>
      </c>
      <c r="R105" s="8" t="s">
        <v>116</v>
      </c>
      <c r="S105" s="8" t="s">
        <v>60</v>
      </c>
      <c r="T105" s="8"/>
      <c r="U105" s="8"/>
      <c r="V105" s="8" t="s">
        <v>107</v>
      </c>
      <c r="W105" s="8" t="s">
        <v>32</v>
      </c>
      <c r="X105" s="9" t="s">
        <v>108</v>
      </c>
      <c r="Y105" s="13"/>
      <c r="Z105" s="9" t="s">
        <v>646</v>
      </c>
    </row>
    <row r="106" spans="1:26" x14ac:dyDescent="0.3">
      <c r="A106" s="7" t="s">
        <v>647</v>
      </c>
      <c r="B106" s="8" t="s">
        <v>47</v>
      </c>
      <c r="C106" s="9"/>
      <c r="D106" s="8" t="s">
        <v>648</v>
      </c>
      <c r="E106" s="8" t="s">
        <v>649</v>
      </c>
      <c r="F106" s="8" t="s">
        <v>650</v>
      </c>
      <c r="G106" s="8" t="s">
        <v>31</v>
      </c>
      <c r="H106" s="8" t="s">
        <v>30</v>
      </c>
      <c r="I106" s="10">
        <v>250</v>
      </c>
      <c r="J106" s="10">
        <v>200</v>
      </c>
      <c r="K106" s="11"/>
      <c r="L106" s="12">
        <f>IF(D106="","",SUMIFS(Movimientos!$D$2:$D$2000,Movimientos!$B$2:$B$2000,A106))</f>
        <v>0</v>
      </c>
      <c r="M106" s="12">
        <f t="shared" si="2"/>
        <v>200</v>
      </c>
      <c r="N106" s="11"/>
      <c r="O106" s="7" t="str">
        <f t="shared" ca="1" si="3"/>
        <v>Sin fecha</v>
      </c>
      <c r="P106" s="8" t="s">
        <v>651</v>
      </c>
      <c r="Q106" s="8" t="s">
        <v>652</v>
      </c>
      <c r="R106" s="8" t="s">
        <v>106</v>
      </c>
      <c r="S106" s="8" t="s">
        <v>70</v>
      </c>
      <c r="T106" s="8"/>
      <c r="U106" s="8"/>
      <c r="V106" s="8" t="s">
        <v>107</v>
      </c>
      <c r="W106" s="8" t="s">
        <v>32</v>
      </c>
      <c r="X106" s="9" t="s">
        <v>108</v>
      </c>
      <c r="Y106" s="13"/>
      <c r="Z106" s="9" t="s">
        <v>653</v>
      </c>
    </row>
    <row r="107" spans="1:26" x14ac:dyDescent="0.3">
      <c r="A107" s="7" t="s">
        <v>654</v>
      </c>
      <c r="B107" s="8" t="s">
        <v>47</v>
      </c>
      <c r="C107" s="9"/>
      <c r="D107" s="8" t="s">
        <v>655</v>
      </c>
      <c r="E107" s="8" t="s">
        <v>656</v>
      </c>
      <c r="F107" s="8" t="s">
        <v>657</v>
      </c>
      <c r="G107" s="8" t="s">
        <v>31</v>
      </c>
      <c r="H107" s="8" t="s">
        <v>30</v>
      </c>
      <c r="I107" s="10">
        <v>250</v>
      </c>
      <c r="J107" s="10">
        <v>140</v>
      </c>
      <c r="K107" s="11"/>
      <c r="L107" s="12">
        <f>IF(D107="","",SUMIFS(Movimientos!$D$2:$D$2000,Movimientos!$B$2:$B$2000,A107))</f>
        <v>0</v>
      </c>
      <c r="M107" s="12">
        <f t="shared" si="2"/>
        <v>140</v>
      </c>
      <c r="N107" s="11"/>
      <c r="O107" s="7" t="str">
        <f t="shared" ca="1" si="3"/>
        <v>Sin fecha</v>
      </c>
      <c r="P107" s="8" t="s">
        <v>658</v>
      </c>
      <c r="Q107" s="8" t="s">
        <v>115</v>
      </c>
      <c r="R107" s="8" t="s">
        <v>116</v>
      </c>
      <c r="S107" s="8" t="s">
        <v>60</v>
      </c>
      <c r="T107" s="8"/>
      <c r="U107" s="8"/>
      <c r="V107" s="8" t="s">
        <v>107</v>
      </c>
      <c r="W107" s="8" t="s">
        <v>32</v>
      </c>
      <c r="X107" s="9" t="s">
        <v>108</v>
      </c>
      <c r="Y107" s="13"/>
      <c r="Z107" s="9" t="s">
        <v>659</v>
      </c>
    </row>
    <row r="108" spans="1:26" x14ac:dyDescent="0.3">
      <c r="A108" s="7" t="s">
        <v>660</v>
      </c>
      <c r="B108" s="8" t="s">
        <v>47</v>
      </c>
      <c r="C108" s="9"/>
      <c r="D108" s="8" t="s">
        <v>661</v>
      </c>
      <c r="E108" s="8" t="s">
        <v>656</v>
      </c>
      <c r="F108" s="8" t="s">
        <v>657</v>
      </c>
      <c r="G108" s="8" t="s">
        <v>31</v>
      </c>
      <c r="H108" s="8" t="s">
        <v>30</v>
      </c>
      <c r="I108" s="10">
        <v>100</v>
      </c>
      <c r="J108" s="10">
        <v>50</v>
      </c>
      <c r="K108" s="11"/>
      <c r="L108" s="12">
        <f>IF(D108="","",SUMIFS(Movimientos!$D$2:$D$2000,Movimientos!$B$2:$B$2000,A108))</f>
        <v>0</v>
      </c>
      <c r="M108" s="12">
        <f t="shared" si="2"/>
        <v>50</v>
      </c>
      <c r="N108" s="11"/>
      <c r="O108" s="7" t="str">
        <f t="shared" ca="1" si="3"/>
        <v>Sin fecha</v>
      </c>
      <c r="P108" s="8" t="s">
        <v>662</v>
      </c>
      <c r="Q108" s="8" t="s">
        <v>105</v>
      </c>
      <c r="R108" s="8" t="s">
        <v>116</v>
      </c>
      <c r="S108" s="8" t="s">
        <v>60</v>
      </c>
      <c r="T108" s="8"/>
      <c r="U108" s="8"/>
      <c r="V108" s="8" t="s">
        <v>107</v>
      </c>
      <c r="W108" s="8" t="s">
        <v>32</v>
      </c>
      <c r="X108" s="9" t="s">
        <v>108</v>
      </c>
      <c r="Y108" s="13"/>
      <c r="Z108" s="9" t="s">
        <v>663</v>
      </c>
    </row>
    <row r="109" spans="1:26" x14ac:dyDescent="0.3">
      <c r="A109" s="7" t="s">
        <v>664</v>
      </c>
      <c r="B109" s="8" t="s">
        <v>47</v>
      </c>
      <c r="C109" s="9"/>
      <c r="D109" s="8" t="s">
        <v>665</v>
      </c>
      <c r="E109" s="8" t="s">
        <v>666</v>
      </c>
      <c r="F109" s="8" t="s">
        <v>394</v>
      </c>
      <c r="G109" s="8" t="s">
        <v>42</v>
      </c>
      <c r="H109" s="8" t="s">
        <v>41</v>
      </c>
      <c r="I109" s="10">
        <v>10000</v>
      </c>
      <c r="J109" s="10">
        <v>5500</v>
      </c>
      <c r="K109" s="11"/>
      <c r="L109" s="12">
        <f>IF(D109="","",SUMIFS(Movimientos!$D$2:$D$2000,Movimientos!$B$2:$B$2000,A109))</f>
        <v>0</v>
      </c>
      <c r="M109" s="12">
        <f t="shared" si="2"/>
        <v>5500</v>
      </c>
      <c r="N109" s="11">
        <v>46599</v>
      </c>
      <c r="O109" s="7" t="str">
        <f t="shared" ca="1" si="3"/>
        <v>Vigente</v>
      </c>
      <c r="P109" s="8" t="s">
        <v>667</v>
      </c>
      <c r="Q109" s="8" t="s">
        <v>105</v>
      </c>
      <c r="R109" s="8" t="s">
        <v>116</v>
      </c>
      <c r="S109" s="8" t="s">
        <v>69</v>
      </c>
      <c r="T109" s="8"/>
      <c r="U109" s="8"/>
      <c r="V109" s="8" t="s">
        <v>107</v>
      </c>
      <c r="W109" s="8" t="s">
        <v>32</v>
      </c>
      <c r="X109" s="9" t="s">
        <v>108</v>
      </c>
      <c r="Y109" s="13"/>
      <c r="Z109" s="9" t="s">
        <v>668</v>
      </c>
    </row>
    <row r="110" spans="1:26" x14ac:dyDescent="0.3">
      <c r="A110" s="7" t="s">
        <v>669</v>
      </c>
      <c r="B110" s="8" t="s">
        <v>47</v>
      </c>
      <c r="C110" s="9"/>
      <c r="D110" s="8" t="s">
        <v>670</v>
      </c>
      <c r="E110" s="8" t="s">
        <v>671</v>
      </c>
      <c r="F110" s="8" t="s">
        <v>672</v>
      </c>
      <c r="G110" s="8" t="s">
        <v>42</v>
      </c>
      <c r="H110" s="8" t="s">
        <v>41</v>
      </c>
      <c r="I110" s="10">
        <v>1000</v>
      </c>
      <c r="J110" s="10">
        <v>300</v>
      </c>
      <c r="K110" s="11"/>
      <c r="L110" s="12">
        <f>IF(D110="","",SUMIFS(Movimientos!$D$2:$D$2000,Movimientos!$B$2:$B$2000,A110))</f>
        <v>0</v>
      </c>
      <c r="M110" s="12">
        <f t="shared" si="2"/>
        <v>300</v>
      </c>
      <c r="N110" s="11">
        <v>45777</v>
      </c>
      <c r="O110" s="7" t="str">
        <f t="shared" ca="1" si="3"/>
        <v>VENCIDO</v>
      </c>
      <c r="P110" s="8" t="s">
        <v>673</v>
      </c>
      <c r="Q110" s="8" t="s">
        <v>105</v>
      </c>
      <c r="R110" s="8" t="s">
        <v>203</v>
      </c>
      <c r="S110" s="8" t="s">
        <v>69</v>
      </c>
      <c r="T110" s="8"/>
      <c r="U110" s="8" t="s">
        <v>674</v>
      </c>
      <c r="V110" s="8" t="s">
        <v>107</v>
      </c>
      <c r="W110" s="8" t="s">
        <v>32</v>
      </c>
      <c r="X110" s="9" t="s">
        <v>108</v>
      </c>
      <c r="Y110" s="13"/>
      <c r="Z110" s="9" t="s">
        <v>675</v>
      </c>
    </row>
    <row r="111" spans="1:26" x14ac:dyDescent="0.3">
      <c r="A111" s="7" t="s">
        <v>676</v>
      </c>
      <c r="B111" s="8" t="s">
        <v>47</v>
      </c>
      <c r="C111" s="9"/>
      <c r="D111" s="8" t="s">
        <v>670</v>
      </c>
      <c r="E111" s="8" t="s">
        <v>671</v>
      </c>
      <c r="F111" s="8" t="s">
        <v>672</v>
      </c>
      <c r="G111" s="8" t="s">
        <v>42</v>
      </c>
      <c r="H111" s="8" t="s">
        <v>41</v>
      </c>
      <c r="I111" s="10">
        <v>1000</v>
      </c>
      <c r="J111" s="10">
        <v>20</v>
      </c>
      <c r="K111" s="11"/>
      <c r="L111" s="12">
        <f>IF(D111="","",SUMIFS(Movimientos!$D$2:$D$2000,Movimientos!$B$2:$B$2000,A111))</f>
        <v>0</v>
      </c>
      <c r="M111" s="12">
        <f t="shared" si="2"/>
        <v>20</v>
      </c>
      <c r="N111" s="11">
        <v>43220</v>
      </c>
      <c r="O111" s="7" t="str">
        <f t="shared" ca="1" si="3"/>
        <v>VENCIDO</v>
      </c>
      <c r="P111" s="8" t="s">
        <v>677</v>
      </c>
      <c r="Q111" s="8" t="s">
        <v>105</v>
      </c>
      <c r="R111" s="8" t="s">
        <v>203</v>
      </c>
      <c r="S111" s="8" t="s">
        <v>69</v>
      </c>
      <c r="T111" s="8"/>
      <c r="U111" s="8" t="s">
        <v>674</v>
      </c>
      <c r="V111" s="8" t="s">
        <v>107</v>
      </c>
      <c r="W111" s="8" t="s">
        <v>32</v>
      </c>
      <c r="X111" s="9" t="s">
        <v>108</v>
      </c>
      <c r="Y111" s="13"/>
      <c r="Z111" s="9" t="s">
        <v>678</v>
      </c>
    </row>
    <row r="112" spans="1:26" x14ac:dyDescent="0.3">
      <c r="A112" s="7" t="s">
        <v>679</v>
      </c>
      <c r="B112" s="8" t="s">
        <v>47</v>
      </c>
      <c r="C112" s="9"/>
      <c r="D112" s="8" t="s">
        <v>680</v>
      </c>
      <c r="E112" s="8" t="s">
        <v>433</v>
      </c>
      <c r="F112" s="8" t="s">
        <v>681</v>
      </c>
      <c r="G112" s="8" t="s">
        <v>31</v>
      </c>
      <c r="H112" s="8" t="s">
        <v>30</v>
      </c>
      <c r="I112" s="10">
        <v>250</v>
      </c>
      <c r="J112" s="10">
        <v>140</v>
      </c>
      <c r="K112" s="11"/>
      <c r="L112" s="12">
        <f>IF(D112="","",SUMIFS(Movimientos!$D$2:$D$2000,Movimientos!$B$2:$B$2000,A112))</f>
        <v>0</v>
      </c>
      <c r="M112" s="12">
        <f t="shared" si="2"/>
        <v>140</v>
      </c>
      <c r="N112" s="11"/>
      <c r="O112" s="7" t="str">
        <f t="shared" ca="1" si="3"/>
        <v>Sin fecha</v>
      </c>
      <c r="P112" s="8" t="s">
        <v>682</v>
      </c>
      <c r="Q112" s="8" t="s">
        <v>105</v>
      </c>
      <c r="R112" s="8" t="s">
        <v>106</v>
      </c>
      <c r="S112" s="8" t="s">
        <v>72</v>
      </c>
      <c r="T112" s="8"/>
      <c r="U112" s="8" t="s">
        <v>683</v>
      </c>
      <c r="V112" s="8" t="s">
        <v>107</v>
      </c>
      <c r="W112" s="8" t="s">
        <v>32</v>
      </c>
      <c r="X112" s="9" t="s">
        <v>108</v>
      </c>
      <c r="Y112" s="13"/>
      <c r="Z112" s="9" t="s">
        <v>684</v>
      </c>
    </row>
    <row r="113" spans="1:26" x14ac:dyDescent="0.3">
      <c r="A113" s="7" t="s">
        <v>685</v>
      </c>
      <c r="B113" s="8" t="s">
        <v>47</v>
      </c>
      <c r="C113" s="9"/>
      <c r="D113" s="8" t="s">
        <v>686</v>
      </c>
      <c r="E113" s="8" t="s">
        <v>687</v>
      </c>
      <c r="F113" s="8" t="s">
        <v>688</v>
      </c>
      <c r="G113" s="8" t="s">
        <v>42</v>
      </c>
      <c r="H113" s="8" t="s">
        <v>41</v>
      </c>
      <c r="I113" s="10">
        <v>1000</v>
      </c>
      <c r="J113" s="10">
        <v>400</v>
      </c>
      <c r="K113" s="11"/>
      <c r="L113" s="12">
        <f>IF(D113="","",SUMIFS(Movimientos!$D$2:$D$2000,Movimientos!$B$2:$B$2000,A113))</f>
        <v>0</v>
      </c>
      <c r="M113" s="12">
        <f t="shared" si="2"/>
        <v>400</v>
      </c>
      <c r="N113" s="11"/>
      <c r="O113" s="7" t="str">
        <f t="shared" ca="1" si="3"/>
        <v>Sin fecha</v>
      </c>
      <c r="P113" s="8" t="s">
        <v>689</v>
      </c>
      <c r="Q113" s="8" t="s">
        <v>105</v>
      </c>
      <c r="R113" s="8" t="s">
        <v>690</v>
      </c>
      <c r="S113" s="8" t="s">
        <v>72</v>
      </c>
      <c r="T113" s="8"/>
      <c r="U113" s="8"/>
      <c r="V113" s="8" t="s">
        <v>107</v>
      </c>
      <c r="W113" s="8" t="s">
        <v>32</v>
      </c>
      <c r="X113" s="9" t="s">
        <v>108</v>
      </c>
      <c r="Y113" s="13"/>
      <c r="Z113" s="9" t="s">
        <v>691</v>
      </c>
    </row>
    <row r="114" spans="1:26" x14ac:dyDescent="0.3">
      <c r="A114" s="7" t="s">
        <v>692</v>
      </c>
      <c r="B114" s="8" t="s">
        <v>36</v>
      </c>
      <c r="C114" s="9" t="s">
        <v>693</v>
      </c>
      <c r="D114" s="8" t="s">
        <v>694</v>
      </c>
      <c r="E114" s="8" t="s">
        <v>695</v>
      </c>
      <c r="F114" s="8"/>
      <c r="G114" s="8" t="s">
        <v>31</v>
      </c>
      <c r="H114" s="8" t="s">
        <v>30</v>
      </c>
      <c r="I114" s="10">
        <v>1000</v>
      </c>
      <c r="J114" s="10">
        <v>800</v>
      </c>
      <c r="K114" s="11"/>
      <c r="L114" s="12">
        <f>IF(D114="","",SUMIFS(Movimientos!$D$2:$D$2000,Movimientos!$B$2:$B$2000,A114))</f>
        <v>0</v>
      </c>
      <c r="M114" s="12">
        <f t="shared" si="2"/>
        <v>800</v>
      </c>
      <c r="N114" s="11"/>
      <c r="O114" s="7" t="str">
        <f t="shared" ca="1" si="3"/>
        <v>Sin fecha</v>
      </c>
      <c r="P114" s="8" t="s">
        <v>696</v>
      </c>
      <c r="Q114" s="8" t="s">
        <v>697</v>
      </c>
      <c r="R114" s="8" t="s">
        <v>203</v>
      </c>
      <c r="S114" s="8" t="s">
        <v>60</v>
      </c>
      <c r="T114" s="8"/>
      <c r="U114" s="8"/>
      <c r="V114" s="8" t="s">
        <v>107</v>
      </c>
      <c r="W114" s="8" t="s">
        <v>32</v>
      </c>
      <c r="X114" s="9" t="s">
        <v>108</v>
      </c>
      <c r="Y114" s="13" t="s">
        <v>698</v>
      </c>
      <c r="Z114" s="9" t="s">
        <v>699</v>
      </c>
    </row>
    <row r="115" spans="1:26" x14ac:dyDescent="0.3">
      <c r="A115" s="7" t="s">
        <v>700</v>
      </c>
      <c r="B115" s="8" t="s">
        <v>47</v>
      </c>
      <c r="C115" s="9"/>
      <c r="D115" s="8" t="s">
        <v>701</v>
      </c>
      <c r="E115" s="8" t="s">
        <v>702</v>
      </c>
      <c r="F115" s="8" t="s">
        <v>703</v>
      </c>
      <c r="G115" s="8" t="s">
        <v>31</v>
      </c>
      <c r="H115" s="8" t="s">
        <v>30</v>
      </c>
      <c r="I115" s="10">
        <v>250</v>
      </c>
      <c r="J115" s="10">
        <v>210</v>
      </c>
      <c r="K115" s="11"/>
      <c r="L115" s="12">
        <f>IF(D115="","",SUMIFS(Movimientos!$D$2:$D$2000,Movimientos!$B$2:$B$2000,A115))</f>
        <v>0</v>
      </c>
      <c r="M115" s="12">
        <f t="shared" si="2"/>
        <v>210</v>
      </c>
      <c r="N115" s="11"/>
      <c r="O115" s="7" t="str">
        <f t="shared" ca="1" si="3"/>
        <v>Sin fecha</v>
      </c>
      <c r="P115" s="8" t="s">
        <v>704</v>
      </c>
      <c r="Q115" s="8" t="s">
        <v>105</v>
      </c>
      <c r="R115" s="8" t="s">
        <v>106</v>
      </c>
      <c r="S115" s="8" t="s">
        <v>60</v>
      </c>
      <c r="T115" s="8"/>
      <c r="U115" s="8"/>
      <c r="V115" s="8" t="s">
        <v>107</v>
      </c>
      <c r="W115" s="8" t="s">
        <v>32</v>
      </c>
      <c r="X115" s="9" t="s">
        <v>108</v>
      </c>
      <c r="Y115" s="13"/>
      <c r="Z115" s="9" t="s">
        <v>705</v>
      </c>
    </row>
    <row r="116" spans="1:26" x14ac:dyDescent="0.3">
      <c r="A116" s="7" t="s">
        <v>706</v>
      </c>
      <c r="B116" s="8" t="s">
        <v>47</v>
      </c>
      <c r="C116" s="9"/>
      <c r="D116" s="8" t="s">
        <v>707</v>
      </c>
      <c r="E116" s="8" t="s">
        <v>708</v>
      </c>
      <c r="F116" s="8" t="s">
        <v>709</v>
      </c>
      <c r="G116" s="8" t="s">
        <v>42</v>
      </c>
      <c r="H116" s="8" t="s">
        <v>41</v>
      </c>
      <c r="I116" s="10">
        <v>1000</v>
      </c>
      <c r="J116" s="10">
        <v>1000</v>
      </c>
      <c r="K116" s="11"/>
      <c r="L116" s="12">
        <f>IF(D116="","",SUMIFS(Movimientos!$D$2:$D$2000,Movimientos!$B$2:$B$2000,A116))</f>
        <v>0</v>
      </c>
      <c r="M116" s="12">
        <f t="shared" si="2"/>
        <v>1000</v>
      </c>
      <c r="N116" s="11">
        <v>43678</v>
      </c>
      <c r="O116" s="7" t="str">
        <f t="shared" ca="1" si="3"/>
        <v>VENCIDO</v>
      </c>
      <c r="P116" s="8" t="s">
        <v>710</v>
      </c>
      <c r="Q116" s="8" t="s">
        <v>711</v>
      </c>
      <c r="R116" s="8" t="s">
        <v>712</v>
      </c>
      <c r="S116" s="8" t="s">
        <v>60</v>
      </c>
      <c r="T116" s="8"/>
      <c r="U116" s="8" t="s">
        <v>713</v>
      </c>
      <c r="V116" s="8" t="s">
        <v>107</v>
      </c>
      <c r="W116" s="8" t="s">
        <v>32</v>
      </c>
      <c r="X116" s="9" t="s">
        <v>108</v>
      </c>
      <c r="Y116" s="13"/>
      <c r="Z116" s="9" t="s">
        <v>714</v>
      </c>
    </row>
    <row r="117" spans="1:26" x14ac:dyDescent="0.3">
      <c r="A117" s="7" t="s">
        <v>715</v>
      </c>
      <c r="B117" s="8" t="s">
        <v>47</v>
      </c>
      <c r="C117" s="9"/>
      <c r="D117" s="8" t="s">
        <v>707</v>
      </c>
      <c r="E117" s="8" t="s">
        <v>716</v>
      </c>
      <c r="F117" s="8" t="s">
        <v>709</v>
      </c>
      <c r="G117" s="8" t="s">
        <v>42</v>
      </c>
      <c r="H117" s="8" t="s">
        <v>41</v>
      </c>
      <c r="I117" s="10">
        <v>1000</v>
      </c>
      <c r="J117" s="10">
        <v>150</v>
      </c>
      <c r="K117" s="11"/>
      <c r="L117" s="12">
        <f>IF(D117="","",SUMIFS(Movimientos!$D$2:$D$2000,Movimientos!$B$2:$B$2000,A117))</f>
        <v>0</v>
      </c>
      <c r="M117" s="12">
        <f t="shared" si="2"/>
        <v>150</v>
      </c>
      <c r="N117" s="11">
        <v>45182</v>
      </c>
      <c r="O117" s="7" t="str">
        <f t="shared" ca="1" si="3"/>
        <v>VENCIDO</v>
      </c>
      <c r="P117" s="8" t="s">
        <v>717</v>
      </c>
      <c r="Q117" s="8" t="s">
        <v>711</v>
      </c>
      <c r="R117" s="8" t="s">
        <v>712</v>
      </c>
      <c r="S117" s="8" t="s">
        <v>60</v>
      </c>
      <c r="T117" s="8"/>
      <c r="U117" s="8" t="s">
        <v>713</v>
      </c>
      <c r="V117" s="8" t="s">
        <v>107</v>
      </c>
      <c r="W117" s="8" t="s">
        <v>32</v>
      </c>
      <c r="X117" s="9" t="s">
        <v>108</v>
      </c>
      <c r="Y117" s="13"/>
      <c r="Z117" s="9" t="s">
        <v>718</v>
      </c>
    </row>
    <row r="118" spans="1:26" x14ac:dyDescent="0.3">
      <c r="A118" s="7" t="s">
        <v>719</v>
      </c>
      <c r="B118" s="8" t="s">
        <v>47</v>
      </c>
      <c r="C118" s="9"/>
      <c r="D118" s="8" t="s">
        <v>720</v>
      </c>
      <c r="E118" s="8" t="s">
        <v>721</v>
      </c>
      <c r="F118" s="8" t="s">
        <v>722</v>
      </c>
      <c r="G118" s="8" t="s">
        <v>31</v>
      </c>
      <c r="H118" s="8" t="s">
        <v>30</v>
      </c>
      <c r="I118" s="10">
        <v>1000</v>
      </c>
      <c r="J118" s="10">
        <v>850</v>
      </c>
      <c r="K118" s="11"/>
      <c r="L118" s="12">
        <f>IF(D118="","",SUMIFS(Movimientos!$D$2:$D$2000,Movimientos!$B$2:$B$2000,A118))</f>
        <v>0</v>
      </c>
      <c r="M118" s="12">
        <f t="shared" si="2"/>
        <v>850</v>
      </c>
      <c r="N118" s="11">
        <v>45900</v>
      </c>
      <c r="O118" s="7" t="str">
        <f t="shared" ca="1" si="3"/>
        <v>VENCIDO</v>
      </c>
      <c r="P118" s="8" t="s">
        <v>723</v>
      </c>
      <c r="Q118" s="8" t="s">
        <v>105</v>
      </c>
      <c r="R118" s="8" t="s">
        <v>257</v>
      </c>
      <c r="S118" s="8" t="s">
        <v>74</v>
      </c>
      <c r="T118" s="8"/>
      <c r="U118" s="8"/>
      <c r="V118" s="8" t="s">
        <v>107</v>
      </c>
      <c r="W118" s="8" t="s">
        <v>32</v>
      </c>
      <c r="X118" s="9" t="s">
        <v>108</v>
      </c>
      <c r="Y118" s="13"/>
      <c r="Z118" s="9" t="s">
        <v>724</v>
      </c>
    </row>
    <row r="119" spans="1:26" x14ac:dyDescent="0.3">
      <c r="A119" s="7" t="s">
        <v>725</v>
      </c>
      <c r="B119" s="8" t="s">
        <v>47</v>
      </c>
      <c r="C119" s="9"/>
      <c r="D119" s="8" t="s">
        <v>726</v>
      </c>
      <c r="E119" s="8" t="s">
        <v>727</v>
      </c>
      <c r="F119" s="8" t="s">
        <v>728</v>
      </c>
      <c r="G119" s="8" t="s">
        <v>31</v>
      </c>
      <c r="H119" s="8" t="s">
        <v>30</v>
      </c>
      <c r="I119" s="10">
        <v>1000</v>
      </c>
      <c r="J119" s="10">
        <v>300</v>
      </c>
      <c r="K119" s="11"/>
      <c r="L119" s="12">
        <f>IF(D119="","",SUMIFS(Movimientos!$D$2:$D$2000,Movimientos!$B$2:$B$2000,A119))</f>
        <v>0</v>
      </c>
      <c r="M119" s="12">
        <f t="shared" si="2"/>
        <v>300</v>
      </c>
      <c r="N119" s="11">
        <v>45322</v>
      </c>
      <c r="O119" s="7" t="str">
        <f t="shared" ca="1" si="3"/>
        <v>VENCIDO</v>
      </c>
      <c r="P119" s="8" t="s">
        <v>729</v>
      </c>
      <c r="Q119" s="8" t="s">
        <v>105</v>
      </c>
      <c r="R119" s="8" t="s">
        <v>116</v>
      </c>
      <c r="S119" s="8" t="s">
        <v>74</v>
      </c>
      <c r="T119" s="8"/>
      <c r="U119" s="8"/>
      <c r="V119" s="8" t="s">
        <v>107</v>
      </c>
      <c r="W119" s="8" t="s">
        <v>32</v>
      </c>
      <c r="X119" s="9" t="s">
        <v>108</v>
      </c>
      <c r="Y119" s="13"/>
      <c r="Z119" s="9" t="s">
        <v>730</v>
      </c>
    </row>
    <row r="120" spans="1:26" x14ac:dyDescent="0.3">
      <c r="A120" s="7" t="s">
        <v>731</v>
      </c>
      <c r="B120" s="8" t="s">
        <v>47</v>
      </c>
      <c r="C120" s="9"/>
      <c r="D120" s="8" t="s">
        <v>726</v>
      </c>
      <c r="E120" s="8" t="s">
        <v>727</v>
      </c>
      <c r="F120" s="8" t="s">
        <v>728</v>
      </c>
      <c r="G120" s="8" t="s">
        <v>31</v>
      </c>
      <c r="H120" s="8" t="s">
        <v>30</v>
      </c>
      <c r="I120" s="10">
        <v>1000</v>
      </c>
      <c r="J120" s="10">
        <v>500</v>
      </c>
      <c r="K120" s="11"/>
      <c r="L120" s="12">
        <f>IF(D120="","",SUMIFS(Movimientos!$D$2:$D$2000,Movimientos!$B$2:$B$2000,A120))</f>
        <v>0</v>
      </c>
      <c r="M120" s="12">
        <f t="shared" si="2"/>
        <v>500</v>
      </c>
      <c r="N120" s="11">
        <v>44176</v>
      </c>
      <c r="O120" s="7" t="str">
        <f t="shared" ca="1" si="3"/>
        <v>VENCIDO</v>
      </c>
      <c r="P120" s="8" t="s">
        <v>732</v>
      </c>
      <c r="Q120" s="8" t="s">
        <v>105</v>
      </c>
      <c r="R120" s="8" t="s">
        <v>106</v>
      </c>
      <c r="S120" s="8" t="s">
        <v>74</v>
      </c>
      <c r="T120" s="8"/>
      <c r="U120" s="8" t="s">
        <v>733</v>
      </c>
      <c r="V120" s="8" t="s">
        <v>107</v>
      </c>
      <c r="W120" s="8" t="s">
        <v>32</v>
      </c>
      <c r="X120" s="9" t="s">
        <v>108</v>
      </c>
      <c r="Y120" s="13"/>
      <c r="Z120" s="9" t="s">
        <v>734</v>
      </c>
    </row>
    <row r="121" spans="1:26" x14ac:dyDescent="0.3">
      <c r="A121" s="7" t="s">
        <v>735</v>
      </c>
      <c r="B121" s="8" t="s">
        <v>47</v>
      </c>
      <c r="C121" s="9"/>
      <c r="D121" s="8" t="s">
        <v>736</v>
      </c>
      <c r="E121" s="8" t="s">
        <v>737</v>
      </c>
      <c r="F121" s="8"/>
      <c r="G121" s="8" t="s">
        <v>42</v>
      </c>
      <c r="H121" s="8" t="s">
        <v>41</v>
      </c>
      <c r="I121" s="10">
        <v>2000</v>
      </c>
      <c r="J121" s="10">
        <v>2000</v>
      </c>
      <c r="K121" s="11"/>
      <c r="L121" s="12">
        <f>IF(D121="","",SUMIFS(Movimientos!$D$2:$D$2000,Movimientos!$B$2:$B$2000,A121))</f>
        <v>0</v>
      </c>
      <c r="M121" s="12">
        <f t="shared" si="2"/>
        <v>2000</v>
      </c>
      <c r="N121" s="11">
        <v>46363</v>
      </c>
      <c r="O121" s="7" t="str">
        <f t="shared" ca="1" si="3"/>
        <v>Por vencer</v>
      </c>
      <c r="P121" s="8" t="s">
        <v>738</v>
      </c>
      <c r="Q121" s="8" t="s">
        <v>711</v>
      </c>
      <c r="R121" s="8"/>
      <c r="S121" s="8" t="s">
        <v>72</v>
      </c>
      <c r="T121" s="8"/>
      <c r="U121" s="8"/>
      <c r="V121" s="8" t="s">
        <v>107</v>
      </c>
      <c r="W121" s="8" t="s">
        <v>32</v>
      </c>
      <c r="X121" s="9" t="s">
        <v>108</v>
      </c>
      <c r="Y121" s="13"/>
      <c r="Z121" s="9" t="s">
        <v>739</v>
      </c>
    </row>
    <row r="122" spans="1:26" x14ac:dyDescent="0.3">
      <c r="A122" s="7" t="s">
        <v>740</v>
      </c>
      <c r="B122" s="8" t="s">
        <v>36</v>
      </c>
      <c r="C122" s="9" t="s">
        <v>741</v>
      </c>
      <c r="D122" s="8" t="s">
        <v>742</v>
      </c>
      <c r="E122" s="8" t="s">
        <v>743</v>
      </c>
      <c r="F122" s="8" t="s">
        <v>744</v>
      </c>
      <c r="G122" s="8" t="s">
        <v>31</v>
      </c>
      <c r="H122" s="8" t="s">
        <v>30</v>
      </c>
      <c r="I122" s="10">
        <v>100</v>
      </c>
      <c r="J122" s="10">
        <v>350</v>
      </c>
      <c r="K122" s="11"/>
      <c r="L122" s="12">
        <f>IF(D122="","",SUMIFS(Movimientos!$D$2:$D$2000,Movimientos!$B$2:$B$2000,A122))</f>
        <v>0</v>
      </c>
      <c r="M122" s="12">
        <f t="shared" si="2"/>
        <v>350</v>
      </c>
      <c r="N122" s="11">
        <v>45777</v>
      </c>
      <c r="O122" s="7" t="str">
        <f t="shared" ca="1" si="3"/>
        <v>VENCIDO</v>
      </c>
      <c r="P122" s="8" t="s">
        <v>745</v>
      </c>
      <c r="Q122" s="8" t="s">
        <v>105</v>
      </c>
      <c r="R122" s="8" t="s">
        <v>106</v>
      </c>
      <c r="S122" s="8" t="s">
        <v>60</v>
      </c>
      <c r="T122" s="8"/>
      <c r="U122" s="8"/>
      <c r="V122" s="8" t="s">
        <v>107</v>
      </c>
      <c r="W122" s="8" t="s">
        <v>32</v>
      </c>
      <c r="X122" s="9" t="s">
        <v>108</v>
      </c>
      <c r="Y122" s="13"/>
      <c r="Z122" s="9" t="s">
        <v>746</v>
      </c>
    </row>
    <row r="123" spans="1:26" x14ac:dyDescent="0.3">
      <c r="A123" s="7" t="s">
        <v>747</v>
      </c>
      <c r="B123" s="8" t="s">
        <v>47</v>
      </c>
      <c r="C123" s="9"/>
      <c r="D123" s="8" t="s">
        <v>748</v>
      </c>
      <c r="E123" s="8" t="s">
        <v>749</v>
      </c>
      <c r="F123" s="8" t="s">
        <v>750</v>
      </c>
      <c r="G123" s="8" t="s">
        <v>31</v>
      </c>
      <c r="H123" s="8" t="s">
        <v>30</v>
      </c>
      <c r="I123" s="10">
        <v>100</v>
      </c>
      <c r="J123" s="10">
        <v>70</v>
      </c>
      <c r="K123" s="11"/>
      <c r="L123" s="12">
        <f>IF(D123="","",SUMIFS(Movimientos!$D$2:$D$2000,Movimientos!$B$2:$B$2000,A123))</f>
        <v>0</v>
      </c>
      <c r="M123" s="12">
        <f t="shared" si="2"/>
        <v>70</v>
      </c>
      <c r="N123" s="11"/>
      <c r="O123" s="7" t="str">
        <f t="shared" ca="1" si="3"/>
        <v>Sin fecha</v>
      </c>
      <c r="P123" s="8" t="s">
        <v>751</v>
      </c>
      <c r="Q123" s="8" t="s">
        <v>752</v>
      </c>
      <c r="R123" s="8" t="s">
        <v>116</v>
      </c>
      <c r="S123" s="8" t="s">
        <v>60</v>
      </c>
      <c r="T123" s="8"/>
      <c r="U123" s="8"/>
      <c r="V123" s="8" t="s">
        <v>107</v>
      </c>
      <c r="W123" s="8" t="s">
        <v>32</v>
      </c>
      <c r="X123" s="9" t="s">
        <v>108</v>
      </c>
      <c r="Y123" s="13"/>
      <c r="Z123" s="9" t="s">
        <v>753</v>
      </c>
    </row>
    <row r="124" spans="1:26" x14ac:dyDescent="0.3">
      <c r="A124" s="7" t="s">
        <v>754</v>
      </c>
      <c r="B124" s="8" t="s">
        <v>47</v>
      </c>
      <c r="C124" s="9"/>
      <c r="D124" s="8" t="s">
        <v>736</v>
      </c>
      <c r="E124" s="8" t="s">
        <v>737</v>
      </c>
      <c r="F124" s="8"/>
      <c r="G124" s="8" t="s">
        <v>42</v>
      </c>
      <c r="H124" s="8" t="s">
        <v>41</v>
      </c>
      <c r="I124" s="10">
        <v>1000</v>
      </c>
      <c r="J124" s="10">
        <v>50</v>
      </c>
      <c r="K124" s="11"/>
      <c r="L124" s="12">
        <f>IF(D124="","",SUMIFS(Movimientos!$D$2:$D$2000,Movimientos!$B$2:$B$2000,A124))</f>
        <v>0</v>
      </c>
      <c r="M124" s="12">
        <f t="shared" si="2"/>
        <v>50</v>
      </c>
      <c r="N124" s="11">
        <v>44794</v>
      </c>
      <c r="O124" s="7" t="str">
        <f t="shared" ca="1" si="3"/>
        <v>VENCIDO</v>
      </c>
      <c r="P124" s="8" t="s">
        <v>755</v>
      </c>
      <c r="Q124" s="8" t="s">
        <v>711</v>
      </c>
      <c r="R124" s="8"/>
      <c r="S124" s="8" t="s">
        <v>72</v>
      </c>
      <c r="T124" s="8"/>
      <c r="U124" s="8"/>
      <c r="V124" s="8" t="s">
        <v>107</v>
      </c>
      <c r="W124" s="8" t="s">
        <v>32</v>
      </c>
      <c r="X124" s="9" t="s">
        <v>108</v>
      </c>
      <c r="Y124" s="13"/>
      <c r="Z124" s="9" t="s">
        <v>756</v>
      </c>
    </row>
    <row r="125" spans="1:26" x14ac:dyDescent="0.3">
      <c r="A125" s="7" t="s">
        <v>757</v>
      </c>
      <c r="B125" s="8" t="s">
        <v>47</v>
      </c>
      <c r="C125" s="9"/>
      <c r="D125" s="8" t="s">
        <v>736</v>
      </c>
      <c r="E125" s="8" t="s">
        <v>758</v>
      </c>
      <c r="F125" s="8"/>
      <c r="G125" s="8" t="s">
        <v>42</v>
      </c>
      <c r="H125" s="8" t="s">
        <v>41</v>
      </c>
      <c r="I125" s="10">
        <v>1000</v>
      </c>
      <c r="J125" s="10">
        <v>750</v>
      </c>
      <c r="K125" s="11"/>
      <c r="L125" s="12">
        <f>IF(D125="","",SUMIFS(Movimientos!$D$2:$D$2000,Movimientos!$B$2:$B$2000,A125))</f>
        <v>0</v>
      </c>
      <c r="M125" s="12">
        <f t="shared" si="2"/>
        <v>750</v>
      </c>
      <c r="N125" s="11">
        <v>44500</v>
      </c>
      <c r="O125" s="7" t="str">
        <f t="shared" ca="1" si="3"/>
        <v>VENCIDO</v>
      </c>
      <c r="P125" s="8" t="s">
        <v>759</v>
      </c>
      <c r="Q125" s="8" t="s">
        <v>105</v>
      </c>
      <c r="R125" s="8"/>
      <c r="S125" s="8" t="s">
        <v>72</v>
      </c>
      <c r="T125" s="8"/>
      <c r="U125" s="8"/>
      <c r="V125" s="8" t="s">
        <v>107</v>
      </c>
      <c r="W125" s="8" t="s">
        <v>32</v>
      </c>
      <c r="X125" s="9" t="s">
        <v>108</v>
      </c>
      <c r="Y125" s="13"/>
      <c r="Z125" s="9" t="s">
        <v>760</v>
      </c>
    </row>
    <row r="126" spans="1:26" x14ac:dyDescent="0.3">
      <c r="A126" s="7" t="s">
        <v>761</v>
      </c>
      <c r="B126" s="8" t="s">
        <v>47</v>
      </c>
      <c r="C126" s="9"/>
      <c r="D126" s="8" t="s">
        <v>762</v>
      </c>
      <c r="E126" s="8" t="s">
        <v>763</v>
      </c>
      <c r="F126" s="8" t="s">
        <v>764</v>
      </c>
      <c r="G126" s="8" t="s">
        <v>42</v>
      </c>
      <c r="H126" s="8" t="s">
        <v>41</v>
      </c>
      <c r="I126" s="10">
        <v>2500</v>
      </c>
      <c r="J126" s="10">
        <v>500</v>
      </c>
      <c r="K126" s="11"/>
      <c r="L126" s="12">
        <f>IF(D126="","",SUMIFS(Movimientos!$D$2:$D$2000,Movimientos!$B$2:$B$2000,A126))</f>
        <v>0</v>
      </c>
      <c r="M126" s="12">
        <f t="shared" si="2"/>
        <v>500</v>
      </c>
      <c r="N126" s="11">
        <v>46568</v>
      </c>
      <c r="O126" s="7" t="str">
        <f t="shared" ca="1" si="3"/>
        <v>Vigente</v>
      </c>
      <c r="P126" s="8" t="s">
        <v>765</v>
      </c>
      <c r="Q126" s="8" t="s">
        <v>105</v>
      </c>
      <c r="R126" s="8" t="s">
        <v>106</v>
      </c>
      <c r="S126" s="8" t="s">
        <v>69</v>
      </c>
      <c r="T126" s="8"/>
      <c r="U126" s="8"/>
      <c r="V126" s="8" t="s">
        <v>107</v>
      </c>
      <c r="W126" s="8" t="s">
        <v>32</v>
      </c>
      <c r="X126" s="9" t="s">
        <v>108</v>
      </c>
      <c r="Y126" s="13"/>
      <c r="Z126" s="9" t="s">
        <v>766</v>
      </c>
    </row>
    <row r="127" spans="1:26" x14ac:dyDescent="0.3">
      <c r="A127" s="7" t="s">
        <v>767</v>
      </c>
      <c r="B127" s="8" t="s">
        <v>47</v>
      </c>
      <c r="C127" s="9"/>
      <c r="D127" s="8" t="s">
        <v>762</v>
      </c>
      <c r="E127" s="8" t="s">
        <v>763</v>
      </c>
      <c r="F127" s="8" t="s">
        <v>764</v>
      </c>
      <c r="G127" s="8" t="s">
        <v>42</v>
      </c>
      <c r="H127" s="8" t="s">
        <v>41</v>
      </c>
      <c r="I127" s="10">
        <v>2500</v>
      </c>
      <c r="J127" s="10">
        <v>2500</v>
      </c>
      <c r="K127" s="11"/>
      <c r="L127" s="12">
        <f>IF(D127="","",SUMIFS(Movimientos!$D$2:$D$2000,Movimientos!$B$2:$B$2000,A127))</f>
        <v>0</v>
      </c>
      <c r="M127" s="12">
        <f t="shared" si="2"/>
        <v>2500</v>
      </c>
      <c r="N127" s="11">
        <v>44561</v>
      </c>
      <c r="O127" s="7" t="str">
        <f t="shared" ca="1" si="3"/>
        <v>VENCIDO</v>
      </c>
      <c r="P127" s="8" t="s">
        <v>768</v>
      </c>
      <c r="Q127" s="8" t="s">
        <v>105</v>
      </c>
      <c r="R127" s="8" t="s">
        <v>106</v>
      </c>
      <c r="S127" s="8" t="s">
        <v>69</v>
      </c>
      <c r="T127" s="8"/>
      <c r="U127" s="8"/>
      <c r="V127" s="8" t="s">
        <v>107</v>
      </c>
      <c r="W127" s="8" t="s">
        <v>32</v>
      </c>
      <c r="X127" s="9" t="s">
        <v>108</v>
      </c>
      <c r="Y127" s="13"/>
      <c r="Z127" s="9" t="s">
        <v>769</v>
      </c>
    </row>
    <row r="128" spans="1:26" x14ac:dyDescent="0.3">
      <c r="A128" s="7" t="s">
        <v>770</v>
      </c>
      <c r="B128" s="8" t="s">
        <v>47</v>
      </c>
      <c r="C128" s="9"/>
      <c r="D128" s="8" t="s">
        <v>762</v>
      </c>
      <c r="E128" s="8" t="s">
        <v>763</v>
      </c>
      <c r="F128" s="8" t="s">
        <v>764</v>
      </c>
      <c r="G128" s="8" t="s">
        <v>42</v>
      </c>
      <c r="H128" s="8" t="s">
        <v>41</v>
      </c>
      <c r="I128" s="10">
        <v>1000</v>
      </c>
      <c r="J128" s="10">
        <v>300</v>
      </c>
      <c r="K128" s="11"/>
      <c r="L128" s="12">
        <f>IF(D128="","",SUMIFS(Movimientos!$D$2:$D$2000,Movimientos!$B$2:$B$2000,A128))</f>
        <v>0</v>
      </c>
      <c r="M128" s="12">
        <f t="shared" si="2"/>
        <v>300</v>
      </c>
      <c r="N128" s="11">
        <v>45351</v>
      </c>
      <c r="O128" s="7" t="str">
        <f t="shared" ca="1" si="3"/>
        <v>VENCIDO</v>
      </c>
      <c r="P128" s="8" t="s">
        <v>771</v>
      </c>
      <c r="Q128" s="8" t="s">
        <v>105</v>
      </c>
      <c r="R128" s="8" t="s">
        <v>106</v>
      </c>
      <c r="S128" s="8" t="s">
        <v>69</v>
      </c>
      <c r="T128" s="8"/>
      <c r="U128" s="8"/>
      <c r="V128" s="8" t="s">
        <v>107</v>
      </c>
      <c r="W128" s="8" t="s">
        <v>32</v>
      </c>
      <c r="X128" s="9" t="s">
        <v>108</v>
      </c>
      <c r="Y128" s="13"/>
      <c r="Z128" s="9" t="s">
        <v>772</v>
      </c>
    </row>
    <row r="129" spans="1:26" x14ac:dyDescent="0.3">
      <c r="A129" s="7" t="s">
        <v>773</v>
      </c>
      <c r="B129" s="8" t="s">
        <v>47</v>
      </c>
      <c r="C129" s="9"/>
      <c r="D129" s="8" t="s">
        <v>762</v>
      </c>
      <c r="E129" s="8" t="s">
        <v>763</v>
      </c>
      <c r="F129" s="8" t="s">
        <v>764</v>
      </c>
      <c r="G129" s="8" t="s">
        <v>42</v>
      </c>
      <c r="H129" s="8" t="s">
        <v>41</v>
      </c>
      <c r="I129" s="10">
        <v>1000</v>
      </c>
      <c r="J129" s="10">
        <v>1000</v>
      </c>
      <c r="K129" s="11"/>
      <c r="L129" s="12">
        <f>IF(D129="","",SUMIFS(Movimientos!$D$2:$D$2000,Movimientos!$B$2:$B$2000,A129))</f>
        <v>0</v>
      </c>
      <c r="M129" s="12">
        <f t="shared" si="2"/>
        <v>1000</v>
      </c>
      <c r="N129" s="11">
        <v>46630</v>
      </c>
      <c r="O129" s="7" t="str">
        <f t="shared" ca="1" si="3"/>
        <v>Vigente</v>
      </c>
      <c r="P129" s="8" t="s">
        <v>774</v>
      </c>
      <c r="Q129" s="8" t="s">
        <v>105</v>
      </c>
      <c r="R129" s="8" t="s">
        <v>106</v>
      </c>
      <c r="S129" s="8" t="s">
        <v>69</v>
      </c>
      <c r="T129" s="8"/>
      <c r="U129" s="8"/>
      <c r="V129" s="8" t="s">
        <v>107</v>
      </c>
      <c r="W129" s="8" t="s">
        <v>32</v>
      </c>
      <c r="X129" s="9" t="s">
        <v>108</v>
      </c>
      <c r="Y129" s="13"/>
      <c r="Z129" s="9" t="s">
        <v>775</v>
      </c>
    </row>
    <row r="130" spans="1:26" x14ac:dyDescent="0.3">
      <c r="A130" s="7" t="s">
        <v>776</v>
      </c>
      <c r="B130" s="8" t="s">
        <v>47</v>
      </c>
      <c r="C130" s="9"/>
      <c r="D130" s="8" t="s">
        <v>777</v>
      </c>
      <c r="E130" s="8" t="s">
        <v>778</v>
      </c>
      <c r="F130" s="8"/>
      <c r="G130" s="8" t="s">
        <v>31</v>
      </c>
      <c r="H130" s="8" t="s">
        <v>30</v>
      </c>
      <c r="I130" s="10">
        <v>100</v>
      </c>
      <c r="J130" s="10">
        <v>80</v>
      </c>
      <c r="K130" s="11"/>
      <c r="L130" s="12">
        <f>IF(D130="","",SUMIFS(Movimientos!$D$2:$D$2000,Movimientos!$B$2:$B$2000,A130))</f>
        <v>0</v>
      </c>
      <c r="M130" s="12">
        <f t="shared" ref="M130:M193" si="4">IF(J130="","",J130-L130)</f>
        <v>80</v>
      </c>
      <c r="N130" s="11"/>
      <c r="O130" s="7" t="str">
        <f t="shared" ref="O130:O193" ca="1" si="5">IF(D130="","",IF(N130="","Sin fecha",IF(N130&lt;TODAY(),"VENCIDO",IF(N130&lt;TODAY()+90,"Por vencer","Vigente"))))</f>
        <v>Sin fecha</v>
      </c>
      <c r="P130" s="8" t="s">
        <v>779</v>
      </c>
      <c r="Q130" s="8" t="s">
        <v>105</v>
      </c>
      <c r="R130" s="8" t="s">
        <v>106</v>
      </c>
      <c r="S130" s="8" t="s">
        <v>60</v>
      </c>
      <c r="T130" s="8"/>
      <c r="U130" s="8"/>
      <c r="V130" s="8" t="s">
        <v>107</v>
      </c>
      <c r="W130" s="8" t="s">
        <v>32</v>
      </c>
      <c r="X130" s="9" t="s">
        <v>108</v>
      </c>
      <c r="Y130" s="13"/>
      <c r="Z130" s="9" t="s">
        <v>780</v>
      </c>
    </row>
    <row r="131" spans="1:26" x14ac:dyDescent="0.3">
      <c r="A131" s="7" t="s">
        <v>781</v>
      </c>
      <c r="B131" s="8" t="s">
        <v>47</v>
      </c>
      <c r="C131" s="9"/>
      <c r="D131" s="8" t="s">
        <v>782</v>
      </c>
      <c r="E131" s="8"/>
      <c r="F131" s="8"/>
      <c r="G131" s="8" t="s">
        <v>42</v>
      </c>
      <c r="H131" s="8" t="s">
        <v>41</v>
      </c>
      <c r="I131" s="10">
        <v>250</v>
      </c>
      <c r="J131" s="10">
        <v>180</v>
      </c>
      <c r="K131" s="11"/>
      <c r="L131" s="12">
        <f>IF(D131="","",SUMIFS(Movimientos!$D$2:$D$2000,Movimientos!$B$2:$B$2000,A131))</f>
        <v>0</v>
      </c>
      <c r="M131" s="12">
        <f t="shared" si="4"/>
        <v>180</v>
      </c>
      <c r="N131" s="11"/>
      <c r="O131" s="7" t="str">
        <f t="shared" ca="1" si="5"/>
        <v>Sin fecha</v>
      </c>
      <c r="P131" s="8" t="s">
        <v>783</v>
      </c>
      <c r="Q131" s="8" t="s">
        <v>105</v>
      </c>
      <c r="R131" s="8" t="s">
        <v>690</v>
      </c>
      <c r="S131" s="8" t="s">
        <v>72</v>
      </c>
      <c r="T131" s="8"/>
      <c r="U131" s="8"/>
      <c r="V131" s="8" t="s">
        <v>107</v>
      </c>
      <c r="W131" s="8" t="s">
        <v>32</v>
      </c>
      <c r="X131" s="9" t="s">
        <v>108</v>
      </c>
      <c r="Y131" s="13"/>
      <c r="Z131" s="9" t="s">
        <v>784</v>
      </c>
    </row>
    <row r="132" spans="1:26" x14ac:dyDescent="0.3">
      <c r="A132" s="7" t="s">
        <v>785</v>
      </c>
      <c r="B132" s="8" t="s">
        <v>47</v>
      </c>
      <c r="C132" s="9"/>
      <c r="D132" s="8" t="s">
        <v>786</v>
      </c>
      <c r="E132" s="8" t="s">
        <v>787</v>
      </c>
      <c r="F132" s="8" t="s">
        <v>788</v>
      </c>
      <c r="G132" s="8" t="s">
        <v>31</v>
      </c>
      <c r="H132" s="8" t="s">
        <v>30</v>
      </c>
      <c r="I132" s="10">
        <v>25</v>
      </c>
      <c r="J132" s="10">
        <v>10</v>
      </c>
      <c r="K132" s="11"/>
      <c r="L132" s="12">
        <f>IF(D132="","",SUMIFS(Movimientos!$D$2:$D$2000,Movimientos!$B$2:$B$2000,A132))</f>
        <v>0</v>
      </c>
      <c r="M132" s="12">
        <f t="shared" si="4"/>
        <v>10</v>
      </c>
      <c r="N132" s="11"/>
      <c r="O132" s="7" t="str">
        <f t="shared" ca="1" si="5"/>
        <v>Sin fecha</v>
      </c>
      <c r="P132" s="8" t="s">
        <v>789</v>
      </c>
      <c r="Q132" s="8" t="s">
        <v>105</v>
      </c>
      <c r="R132" s="8" t="s">
        <v>106</v>
      </c>
      <c r="S132" s="8" t="s">
        <v>72</v>
      </c>
      <c r="T132" s="8"/>
      <c r="U132" s="8" t="s">
        <v>790</v>
      </c>
      <c r="V132" s="8" t="s">
        <v>107</v>
      </c>
      <c r="W132" s="8" t="s">
        <v>32</v>
      </c>
      <c r="X132" s="9" t="s">
        <v>108</v>
      </c>
      <c r="Y132" s="13"/>
      <c r="Z132" s="9" t="s">
        <v>791</v>
      </c>
    </row>
    <row r="133" spans="1:26" x14ac:dyDescent="0.3">
      <c r="A133" s="7" t="s">
        <v>792</v>
      </c>
      <c r="B133" s="8" t="s">
        <v>47</v>
      </c>
      <c r="C133" s="9"/>
      <c r="D133" s="8" t="s">
        <v>793</v>
      </c>
      <c r="E133" s="8" t="s">
        <v>794</v>
      </c>
      <c r="F133" s="8" t="s">
        <v>795</v>
      </c>
      <c r="G133" s="8" t="s">
        <v>42</v>
      </c>
      <c r="H133" s="8" t="s">
        <v>41</v>
      </c>
      <c r="I133" s="10">
        <v>4000</v>
      </c>
      <c r="J133" s="10">
        <v>3000</v>
      </c>
      <c r="K133" s="11"/>
      <c r="L133" s="12">
        <f>IF(D133="","",SUMIFS(Movimientos!$D$2:$D$2000,Movimientos!$B$2:$B$2000,A133))</f>
        <v>0</v>
      </c>
      <c r="M133" s="12">
        <f t="shared" si="4"/>
        <v>3000</v>
      </c>
      <c r="N133" s="11">
        <v>46058</v>
      </c>
      <c r="O133" s="7" t="str">
        <f t="shared" ca="1" si="5"/>
        <v>VENCIDO</v>
      </c>
      <c r="P133" s="8" t="s">
        <v>796</v>
      </c>
      <c r="Q133" s="8" t="s">
        <v>105</v>
      </c>
      <c r="R133" s="8" t="s">
        <v>423</v>
      </c>
      <c r="S133" s="8" t="s">
        <v>69</v>
      </c>
      <c r="T133" s="8"/>
      <c r="U133" s="8"/>
      <c r="V133" s="8" t="s">
        <v>107</v>
      </c>
      <c r="W133" s="8" t="s">
        <v>32</v>
      </c>
      <c r="X133" s="9" t="s">
        <v>108</v>
      </c>
      <c r="Y133" s="13"/>
      <c r="Z133" s="9" t="s">
        <v>797</v>
      </c>
    </row>
    <row r="134" spans="1:26" x14ac:dyDescent="0.3">
      <c r="A134" s="7" t="s">
        <v>798</v>
      </c>
      <c r="B134" s="8" t="s">
        <v>47</v>
      </c>
      <c r="C134" s="9"/>
      <c r="D134" s="8" t="s">
        <v>799</v>
      </c>
      <c r="E134" s="8" t="s">
        <v>800</v>
      </c>
      <c r="F134" s="8" t="s">
        <v>801</v>
      </c>
      <c r="G134" s="8" t="s">
        <v>31</v>
      </c>
      <c r="H134" s="8" t="s">
        <v>30</v>
      </c>
      <c r="I134" s="10">
        <v>10</v>
      </c>
      <c r="J134" s="10">
        <v>5</v>
      </c>
      <c r="K134" s="11"/>
      <c r="L134" s="12">
        <f>IF(D134="","",SUMIFS(Movimientos!$D$2:$D$2000,Movimientos!$B$2:$B$2000,A134))</f>
        <v>0</v>
      </c>
      <c r="M134" s="12">
        <f t="shared" si="4"/>
        <v>5</v>
      </c>
      <c r="N134" s="11"/>
      <c r="O134" s="7" t="str">
        <f t="shared" ca="1" si="5"/>
        <v>Sin fecha</v>
      </c>
      <c r="P134" s="8" t="s">
        <v>802</v>
      </c>
      <c r="Q134" s="8" t="s">
        <v>105</v>
      </c>
      <c r="R134" s="8" t="s">
        <v>106</v>
      </c>
      <c r="S134" s="8" t="s">
        <v>60</v>
      </c>
      <c r="T134" s="8"/>
      <c r="U134" s="8"/>
      <c r="V134" s="8" t="s">
        <v>107</v>
      </c>
      <c r="W134" s="8" t="s">
        <v>32</v>
      </c>
      <c r="X134" s="9" t="s">
        <v>108</v>
      </c>
      <c r="Y134" s="13"/>
      <c r="Z134" s="9" t="s">
        <v>803</v>
      </c>
    </row>
    <row r="135" spans="1:26" x14ac:dyDescent="0.3">
      <c r="A135" s="7" t="s">
        <v>804</v>
      </c>
      <c r="B135" s="8" t="s">
        <v>47</v>
      </c>
      <c r="C135" s="9"/>
      <c r="D135" s="8" t="s">
        <v>805</v>
      </c>
      <c r="E135" s="8"/>
      <c r="F135" s="8" t="s">
        <v>806</v>
      </c>
      <c r="G135" s="8" t="s">
        <v>31</v>
      </c>
      <c r="H135" s="8" t="s">
        <v>30</v>
      </c>
      <c r="I135" s="10">
        <v>25</v>
      </c>
      <c r="J135" s="10">
        <v>25</v>
      </c>
      <c r="K135" s="11"/>
      <c r="L135" s="12">
        <f>IF(D135="","",SUMIFS(Movimientos!$D$2:$D$2000,Movimientos!$B$2:$B$2000,A135))</f>
        <v>0</v>
      </c>
      <c r="M135" s="12">
        <f t="shared" si="4"/>
        <v>25</v>
      </c>
      <c r="N135" s="11">
        <v>46812</v>
      </c>
      <c r="O135" s="7" t="str">
        <f t="shared" ca="1" si="5"/>
        <v>Vigente</v>
      </c>
      <c r="P135" s="8" t="s">
        <v>807</v>
      </c>
      <c r="Q135" s="8" t="s">
        <v>105</v>
      </c>
      <c r="R135" s="8" t="s">
        <v>106</v>
      </c>
      <c r="S135" s="8" t="s">
        <v>72</v>
      </c>
      <c r="T135" s="8"/>
      <c r="U135" s="8"/>
      <c r="V135" s="8" t="s">
        <v>107</v>
      </c>
      <c r="W135" s="8" t="s">
        <v>32</v>
      </c>
      <c r="X135" s="9" t="s">
        <v>108</v>
      </c>
      <c r="Y135" s="13"/>
      <c r="Z135" s="9" t="s">
        <v>808</v>
      </c>
    </row>
    <row r="136" spans="1:26" x14ac:dyDescent="0.3">
      <c r="A136" s="7" t="s">
        <v>809</v>
      </c>
      <c r="B136" s="8" t="s">
        <v>47</v>
      </c>
      <c r="C136" s="9"/>
      <c r="D136" s="8" t="s">
        <v>810</v>
      </c>
      <c r="E136" s="8" t="s">
        <v>811</v>
      </c>
      <c r="F136" s="8" t="s">
        <v>812</v>
      </c>
      <c r="G136" s="8" t="s">
        <v>31</v>
      </c>
      <c r="H136" s="8" t="s">
        <v>30</v>
      </c>
      <c r="I136" s="10">
        <v>300</v>
      </c>
      <c r="J136" s="10">
        <v>280</v>
      </c>
      <c r="K136" s="11"/>
      <c r="L136" s="12">
        <f>IF(D136="","",SUMIFS(Movimientos!$D$2:$D$2000,Movimientos!$B$2:$B$2000,A136))</f>
        <v>0</v>
      </c>
      <c r="M136" s="12">
        <f t="shared" si="4"/>
        <v>280</v>
      </c>
      <c r="N136" s="11">
        <v>42583</v>
      </c>
      <c r="O136" s="7" t="str">
        <f t="shared" ca="1" si="5"/>
        <v>VENCIDO</v>
      </c>
      <c r="P136" s="8" t="s">
        <v>813</v>
      </c>
      <c r="Q136" s="8" t="s">
        <v>814</v>
      </c>
      <c r="R136" s="8" t="s">
        <v>106</v>
      </c>
      <c r="S136" s="8" t="s">
        <v>71</v>
      </c>
      <c r="T136" s="8"/>
      <c r="U136" s="8" t="s">
        <v>815</v>
      </c>
      <c r="V136" s="8" t="s">
        <v>107</v>
      </c>
      <c r="W136" s="8" t="s">
        <v>32</v>
      </c>
      <c r="X136" s="9" t="s">
        <v>108</v>
      </c>
      <c r="Y136" s="13"/>
      <c r="Z136" s="9" t="s">
        <v>816</v>
      </c>
    </row>
    <row r="137" spans="1:26" x14ac:dyDescent="0.3">
      <c r="A137" s="7" t="s">
        <v>817</v>
      </c>
      <c r="B137" s="8" t="s">
        <v>47</v>
      </c>
      <c r="C137" s="9"/>
      <c r="D137" s="8" t="s">
        <v>818</v>
      </c>
      <c r="E137" s="8" t="s">
        <v>819</v>
      </c>
      <c r="F137" s="8" t="s">
        <v>820</v>
      </c>
      <c r="G137" s="8" t="s">
        <v>31</v>
      </c>
      <c r="H137" s="8" t="s">
        <v>30</v>
      </c>
      <c r="I137" s="10">
        <v>250</v>
      </c>
      <c r="J137" s="10">
        <v>250</v>
      </c>
      <c r="K137" s="11"/>
      <c r="L137" s="12">
        <f>IF(D137="","",SUMIFS(Movimientos!$D$2:$D$2000,Movimientos!$B$2:$B$2000,A137))</f>
        <v>0</v>
      </c>
      <c r="M137" s="12">
        <f t="shared" si="4"/>
        <v>250</v>
      </c>
      <c r="N137" s="11"/>
      <c r="O137" s="7" t="str">
        <f t="shared" ca="1" si="5"/>
        <v>Sin fecha</v>
      </c>
      <c r="P137" s="8" t="s">
        <v>821</v>
      </c>
      <c r="Q137" s="8" t="s">
        <v>105</v>
      </c>
      <c r="R137" s="8" t="s">
        <v>106</v>
      </c>
      <c r="S137" s="8" t="s">
        <v>71</v>
      </c>
      <c r="T137" s="8"/>
      <c r="U137" s="8"/>
      <c r="V137" s="8" t="s">
        <v>107</v>
      </c>
      <c r="W137" s="8" t="s">
        <v>32</v>
      </c>
      <c r="X137" s="9" t="s">
        <v>108</v>
      </c>
      <c r="Y137" s="13"/>
      <c r="Z137" s="9" t="s">
        <v>822</v>
      </c>
    </row>
    <row r="138" spans="1:26" x14ac:dyDescent="0.3">
      <c r="A138" s="7" t="s">
        <v>823</v>
      </c>
      <c r="B138" s="8" t="s">
        <v>47</v>
      </c>
      <c r="C138" s="9"/>
      <c r="D138" s="8" t="s">
        <v>818</v>
      </c>
      <c r="E138" s="8" t="s">
        <v>819</v>
      </c>
      <c r="F138" s="8" t="s">
        <v>820</v>
      </c>
      <c r="G138" s="8" t="s">
        <v>31</v>
      </c>
      <c r="H138" s="8" t="s">
        <v>30</v>
      </c>
      <c r="I138" s="10">
        <v>250</v>
      </c>
      <c r="J138" s="10">
        <v>200</v>
      </c>
      <c r="K138" s="11"/>
      <c r="L138" s="12">
        <f>IF(D138="","",SUMIFS(Movimientos!$D$2:$D$2000,Movimientos!$B$2:$B$2000,A138))</f>
        <v>0</v>
      </c>
      <c r="M138" s="12">
        <f t="shared" si="4"/>
        <v>200</v>
      </c>
      <c r="N138" s="11"/>
      <c r="O138" s="7" t="str">
        <f t="shared" ca="1" si="5"/>
        <v>Sin fecha</v>
      </c>
      <c r="P138" s="8" t="s">
        <v>824</v>
      </c>
      <c r="Q138" s="8" t="s">
        <v>105</v>
      </c>
      <c r="R138" s="8" t="s">
        <v>712</v>
      </c>
      <c r="S138" s="8" t="s">
        <v>71</v>
      </c>
      <c r="T138" s="8"/>
      <c r="U138" s="8"/>
      <c r="V138" s="8" t="s">
        <v>107</v>
      </c>
      <c r="W138" s="8" t="s">
        <v>32</v>
      </c>
      <c r="X138" s="9" t="s">
        <v>108</v>
      </c>
      <c r="Y138" s="13"/>
      <c r="Z138" s="9" t="s">
        <v>825</v>
      </c>
    </row>
    <row r="139" spans="1:26" x14ac:dyDescent="0.3">
      <c r="A139" s="7" t="s">
        <v>826</v>
      </c>
      <c r="B139" s="8" t="s">
        <v>36</v>
      </c>
      <c r="C139" s="9" t="s">
        <v>827</v>
      </c>
      <c r="D139" s="8" t="s">
        <v>828</v>
      </c>
      <c r="E139" s="8" t="s">
        <v>829</v>
      </c>
      <c r="F139" s="8"/>
      <c r="G139" s="8" t="s">
        <v>31</v>
      </c>
      <c r="H139" s="8" t="s">
        <v>30</v>
      </c>
      <c r="I139" s="10">
        <v>250</v>
      </c>
      <c r="J139" s="10">
        <v>110</v>
      </c>
      <c r="K139" s="11"/>
      <c r="L139" s="12">
        <f>IF(D139="","",SUMIFS(Movimientos!$D$2:$D$2000,Movimientos!$B$2:$B$2000,A139))</f>
        <v>0</v>
      </c>
      <c r="M139" s="12">
        <f t="shared" si="4"/>
        <v>110</v>
      </c>
      <c r="N139" s="11"/>
      <c r="O139" s="7" t="str">
        <f t="shared" ca="1" si="5"/>
        <v>Sin fecha</v>
      </c>
      <c r="P139" s="8" t="s">
        <v>830</v>
      </c>
      <c r="Q139" s="8" t="s">
        <v>105</v>
      </c>
      <c r="R139" s="8" t="s">
        <v>116</v>
      </c>
      <c r="S139" s="8" t="s">
        <v>71</v>
      </c>
      <c r="T139" s="8"/>
      <c r="U139" s="8" t="s">
        <v>831</v>
      </c>
      <c r="V139" s="8" t="s">
        <v>107</v>
      </c>
      <c r="W139" s="8" t="s">
        <v>32</v>
      </c>
      <c r="X139" s="9" t="s">
        <v>108</v>
      </c>
      <c r="Y139" s="13" t="s">
        <v>832</v>
      </c>
      <c r="Z139" s="9" t="s">
        <v>833</v>
      </c>
    </row>
    <row r="140" spans="1:26" x14ac:dyDescent="0.3">
      <c r="A140" s="7" t="s">
        <v>834</v>
      </c>
      <c r="B140" s="8" t="s">
        <v>47</v>
      </c>
      <c r="C140" s="9"/>
      <c r="D140" s="8" t="s">
        <v>835</v>
      </c>
      <c r="E140" s="8" t="s">
        <v>836</v>
      </c>
      <c r="F140" s="8" t="s">
        <v>837</v>
      </c>
      <c r="G140" s="8" t="s">
        <v>31</v>
      </c>
      <c r="H140" s="8" t="s">
        <v>30</v>
      </c>
      <c r="I140" s="10">
        <v>250</v>
      </c>
      <c r="J140" s="10">
        <v>125</v>
      </c>
      <c r="K140" s="11"/>
      <c r="L140" s="12">
        <f>IF(D140="","",SUMIFS(Movimientos!$D$2:$D$2000,Movimientos!$B$2:$B$2000,A140))</f>
        <v>0</v>
      </c>
      <c r="M140" s="12">
        <f t="shared" si="4"/>
        <v>125</v>
      </c>
      <c r="N140" s="11">
        <v>43190</v>
      </c>
      <c r="O140" s="7" t="str">
        <f t="shared" ca="1" si="5"/>
        <v>VENCIDO</v>
      </c>
      <c r="P140" s="8" t="s">
        <v>838</v>
      </c>
      <c r="Q140" s="8" t="s">
        <v>105</v>
      </c>
      <c r="R140" s="8" t="s">
        <v>106</v>
      </c>
      <c r="S140" s="8" t="s">
        <v>71</v>
      </c>
      <c r="T140" s="8"/>
      <c r="U140" s="8" t="s">
        <v>839</v>
      </c>
      <c r="V140" s="8" t="s">
        <v>107</v>
      </c>
      <c r="W140" s="8" t="s">
        <v>32</v>
      </c>
      <c r="X140" s="9" t="s">
        <v>108</v>
      </c>
      <c r="Y140" s="13"/>
      <c r="Z140" s="9" t="s">
        <v>840</v>
      </c>
    </row>
    <row r="141" spans="1:26" x14ac:dyDescent="0.3">
      <c r="A141" s="7" t="s">
        <v>841</v>
      </c>
      <c r="B141" s="8" t="s">
        <v>47</v>
      </c>
      <c r="C141" s="9"/>
      <c r="D141" s="8" t="s">
        <v>842</v>
      </c>
      <c r="E141" s="8" t="s">
        <v>843</v>
      </c>
      <c r="F141" s="8" t="s">
        <v>844</v>
      </c>
      <c r="G141" s="8" t="s">
        <v>31</v>
      </c>
      <c r="H141" s="8" t="s">
        <v>30</v>
      </c>
      <c r="I141" s="10">
        <v>100</v>
      </c>
      <c r="J141" s="10">
        <v>40</v>
      </c>
      <c r="K141" s="11"/>
      <c r="L141" s="12">
        <f>IF(D141="","",SUMIFS(Movimientos!$D$2:$D$2000,Movimientos!$B$2:$B$2000,A141))</f>
        <v>0</v>
      </c>
      <c r="M141" s="12">
        <f t="shared" si="4"/>
        <v>40</v>
      </c>
      <c r="N141" s="11"/>
      <c r="O141" s="7" t="str">
        <f t="shared" ca="1" si="5"/>
        <v>Sin fecha</v>
      </c>
      <c r="P141" s="8" t="s">
        <v>845</v>
      </c>
      <c r="Q141" s="8" t="s">
        <v>105</v>
      </c>
      <c r="R141" s="8" t="s">
        <v>106</v>
      </c>
      <c r="S141" s="8" t="s">
        <v>71</v>
      </c>
      <c r="T141" s="8"/>
      <c r="U141" s="8"/>
      <c r="V141" s="8" t="s">
        <v>107</v>
      </c>
      <c r="W141" s="8" t="s">
        <v>32</v>
      </c>
      <c r="X141" s="9" t="s">
        <v>108</v>
      </c>
      <c r="Y141" s="13"/>
      <c r="Z141" s="9" t="s">
        <v>846</v>
      </c>
    </row>
    <row r="142" spans="1:26" x14ac:dyDescent="0.3">
      <c r="A142" s="7" t="s">
        <v>847</v>
      </c>
      <c r="B142" s="8" t="s">
        <v>47</v>
      </c>
      <c r="C142" s="9"/>
      <c r="D142" s="8" t="s">
        <v>848</v>
      </c>
      <c r="E142" s="8" t="s">
        <v>849</v>
      </c>
      <c r="F142" s="8"/>
      <c r="G142" s="8" t="s">
        <v>31</v>
      </c>
      <c r="H142" s="8" t="s">
        <v>30</v>
      </c>
      <c r="I142" s="10">
        <v>100</v>
      </c>
      <c r="J142" s="10">
        <v>15</v>
      </c>
      <c r="K142" s="11"/>
      <c r="L142" s="12">
        <f>IF(D142="","",SUMIFS(Movimientos!$D$2:$D$2000,Movimientos!$B$2:$B$2000,A142))</f>
        <v>0</v>
      </c>
      <c r="M142" s="12">
        <f t="shared" si="4"/>
        <v>15</v>
      </c>
      <c r="N142" s="11">
        <v>43070</v>
      </c>
      <c r="O142" s="7" t="str">
        <f t="shared" ca="1" si="5"/>
        <v>VENCIDO</v>
      </c>
      <c r="P142" s="8" t="s">
        <v>850</v>
      </c>
      <c r="Q142" s="8" t="s">
        <v>814</v>
      </c>
      <c r="R142" s="8" t="s">
        <v>106</v>
      </c>
      <c r="S142" s="8" t="s">
        <v>71</v>
      </c>
      <c r="T142" s="8"/>
      <c r="U142" s="8"/>
      <c r="V142" s="8" t="s">
        <v>107</v>
      </c>
      <c r="W142" s="8" t="s">
        <v>32</v>
      </c>
      <c r="X142" s="9" t="s">
        <v>108</v>
      </c>
      <c r="Y142" s="13"/>
      <c r="Z142" s="9" t="s">
        <v>851</v>
      </c>
    </row>
    <row r="143" spans="1:26" x14ac:dyDescent="0.3">
      <c r="A143" s="7" t="s">
        <v>852</v>
      </c>
      <c r="B143" s="8" t="s">
        <v>47</v>
      </c>
      <c r="C143" s="9"/>
      <c r="D143" s="8" t="s">
        <v>853</v>
      </c>
      <c r="E143" s="8" t="s">
        <v>854</v>
      </c>
      <c r="F143" s="8" t="s">
        <v>855</v>
      </c>
      <c r="G143" s="8" t="s">
        <v>31</v>
      </c>
      <c r="H143" s="8" t="s">
        <v>30</v>
      </c>
      <c r="I143" s="10">
        <v>500</v>
      </c>
      <c r="J143" s="10">
        <v>390</v>
      </c>
      <c r="K143" s="11"/>
      <c r="L143" s="12">
        <f>IF(D143="","",SUMIFS(Movimientos!$D$2:$D$2000,Movimientos!$B$2:$B$2000,A143))</f>
        <v>0</v>
      </c>
      <c r="M143" s="12">
        <f t="shared" si="4"/>
        <v>390</v>
      </c>
      <c r="N143" s="11"/>
      <c r="O143" s="7" t="str">
        <f t="shared" ca="1" si="5"/>
        <v>Sin fecha</v>
      </c>
      <c r="P143" s="8" t="s">
        <v>856</v>
      </c>
      <c r="Q143" s="8" t="s">
        <v>105</v>
      </c>
      <c r="R143" s="8" t="s">
        <v>106</v>
      </c>
      <c r="S143" s="8" t="s">
        <v>71</v>
      </c>
      <c r="T143" s="8"/>
      <c r="U143" s="8"/>
      <c r="V143" s="8" t="s">
        <v>107</v>
      </c>
      <c r="W143" s="8" t="s">
        <v>32</v>
      </c>
      <c r="X143" s="9" t="s">
        <v>108</v>
      </c>
      <c r="Y143" s="13"/>
      <c r="Z143" s="9" t="s">
        <v>857</v>
      </c>
    </row>
    <row r="144" spans="1:26" x14ac:dyDescent="0.3">
      <c r="A144" s="7" t="s">
        <v>858</v>
      </c>
      <c r="B144" s="8" t="s">
        <v>47</v>
      </c>
      <c r="C144" s="9"/>
      <c r="D144" s="8" t="s">
        <v>859</v>
      </c>
      <c r="E144" s="8" t="s">
        <v>860</v>
      </c>
      <c r="F144" s="8" t="s">
        <v>861</v>
      </c>
      <c r="G144" s="8" t="s">
        <v>31</v>
      </c>
      <c r="H144" s="8" t="s">
        <v>30</v>
      </c>
      <c r="I144" s="10">
        <v>500</v>
      </c>
      <c r="J144" s="10">
        <v>270</v>
      </c>
      <c r="K144" s="11"/>
      <c r="L144" s="12">
        <f>IF(D144="","",SUMIFS(Movimientos!$D$2:$D$2000,Movimientos!$B$2:$B$2000,A144))</f>
        <v>0</v>
      </c>
      <c r="M144" s="12">
        <f t="shared" si="4"/>
        <v>270</v>
      </c>
      <c r="N144" s="11"/>
      <c r="O144" s="7" t="str">
        <f t="shared" ca="1" si="5"/>
        <v>Sin fecha</v>
      </c>
      <c r="P144" s="8" t="s">
        <v>862</v>
      </c>
      <c r="Q144" s="8" t="s">
        <v>105</v>
      </c>
      <c r="R144" s="8" t="s">
        <v>116</v>
      </c>
      <c r="S144" s="8" t="s">
        <v>71</v>
      </c>
      <c r="T144" s="8"/>
      <c r="U144" s="8"/>
      <c r="V144" s="8" t="s">
        <v>107</v>
      </c>
      <c r="W144" s="8" t="s">
        <v>32</v>
      </c>
      <c r="X144" s="9" t="s">
        <v>108</v>
      </c>
      <c r="Y144" s="13"/>
      <c r="Z144" s="9" t="s">
        <v>863</v>
      </c>
    </row>
    <row r="145" spans="1:26" x14ac:dyDescent="0.3">
      <c r="A145" s="7" t="s">
        <v>864</v>
      </c>
      <c r="B145" s="8" t="s">
        <v>47</v>
      </c>
      <c r="C145" s="9"/>
      <c r="D145" s="8" t="s">
        <v>859</v>
      </c>
      <c r="E145" s="8" t="s">
        <v>860</v>
      </c>
      <c r="F145" s="8" t="s">
        <v>861</v>
      </c>
      <c r="G145" s="8" t="s">
        <v>31</v>
      </c>
      <c r="H145" s="8" t="s">
        <v>30</v>
      </c>
      <c r="I145" s="10">
        <v>500</v>
      </c>
      <c r="J145" s="10">
        <v>30</v>
      </c>
      <c r="K145" s="11"/>
      <c r="L145" s="12">
        <f>IF(D145="","",SUMIFS(Movimientos!$D$2:$D$2000,Movimientos!$B$2:$B$2000,A145))</f>
        <v>0</v>
      </c>
      <c r="M145" s="12">
        <f t="shared" si="4"/>
        <v>30</v>
      </c>
      <c r="N145" s="11"/>
      <c r="O145" s="7" t="str">
        <f t="shared" ca="1" si="5"/>
        <v>Sin fecha</v>
      </c>
      <c r="P145" s="8" t="s">
        <v>865</v>
      </c>
      <c r="Q145" s="8" t="s">
        <v>105</v>
      </c>
      <c r="R145" s="8" t="s">
        <v>116</v>
      </c>
      <c r="S145" s="8" t="s">
        <v>71</v>
      </c>
      <c r="T145" s="8"/>
      <c r="U145" s="8"/>
      <c r="V145" s="8" t="s">
        <v>107</v>
      </c>
      <c r="W145" s="8" t="s">
        <v>32</v>
      </c>
      <c r="X145" s="9" t="s">
        <v>108</v>
      </c>
      <c r="Y145" s="13"/>
      <c r="Z145" s="9" t="s">
        <v>866</v>
      </c>
    </row>
    <row r="146" spans="1:26" x14ac:dyDescent="0.3">
      <c r="A146" s="7" t="s">
        <v>867</v>
      </c>
      <c r="B146" s="8" t="s">
        <v>47</v>
      </c>
      <c r="C146" s="9"/>
      <c r="D146" s="8" t="s">
        <v>868</v>
      </c>
      <c r="E146" s="8" t="s">
        <v>869</v>
      </c>
      <c r="F146" s="8" t="s">
        <v>870</v>
      </c>
      <c r="G146" s="8" t="s">
        <v>31</v>
      </c>
      <c r="H146" s="8" t="s">
        <v>30</v>
      </c>
      <c r="I146" s="10">
        <v>1000</v>
      </c>
      <c r="J146" s="10">
        <v>900</v>
      </c>
      <c r="K146" s="11"/>
      <c r="L146" s="12">
        <f>IF(D146="","",SUMIFS(Movimientos!$D$2:$D$2000,Movimientos!$B$2:$B$2000,A146))</f>
        <v>0</v>
      </c>
      <c r="M146" s="12">
        <f t="shared" si="4"/>
        <v>900</v>
      </c>
      <c r="N146" s="11"/>
      <c r="O146" s="7" t="str">
        <f t="shared" ca="1" si="5"/>
        <v>Sin fecha</v>
      </c>
      <c r="P146" s="8" t="s">
        <v>871</v>
      </c>
      <c r="Q146" s="8" t="s">
        <v>105</v>
      </c>
      <c r="R146" s="8" t="s">
        <v>116</v>
      </c>
      <c r="S146" s="8" t="s">
        <v>71</v>
      </c>
      <c r="T146" s="8"/>
      <c r="U146" s="8" t="s">
        <v>872</v>
      </c>
      <c r="V146" s="8" t="s">
        <v>107</v>
      </c>
      <c r="W146" s="8" t="s">
        <v>32</v>
      </c>
      <c r="X146" s="9" t="s">
        <v>108</v>
      </c>
      <c r="Y146" s="13"/>
      <c r="Z146" s="9" t="s">
        <v>873</v>
      </c>
    </row>
    <row r="147" spans="1:26" x14ac:dyDescent="0.3">
      <c r="A147" s="7" t="s">
        <v>874</v>
      </c>
      <c r="B147" s="8" t="s">
        <v>47</v>
      </c>
      <c r="C147" s="9"/>
      <c r="D147" s="8" t="s">
        <v>875</v>
      </c>
      <c r="E147" s="8" t="s">
        <v>876</v>
      </c>
      <c r="F147" s="8" t="s">
        <v>877</v>
      </c>
      <c r="G147" s="8" t="s">
        <v>31</v>
      </c>
      <c r="H147" s="8" t="s">
        <v>30</v>
      </c>
      <c r="I147" s="10">
        <v>25</v>
      </c>
      <c r="J147" s="10">
        <v>20</v>
      </c>
      <c r="K147" s="11"/>
      <c r="L147" s="12">
        <f>IF(D147="","",SUMIFS(Movimientos!$D$2:$D$2000,Movimientos!$B$2:$B$2000,A147))</f>
        <v>0</v>
      </c>
      <c r="M147" s="12">
        <f t="shared" si="4"/>
        <v>20</v>
      </c>
      <c r="N147" s="11">
        <v>45292</v>
      </c>
      <c r="O147" s="7" t="str">
        <f t="shared" ca="1" si="5"/>
        <v>VENCIDO</v>
      </c>
      <c r="P147" s="8" t="s">
        <v>878</v>
      </c>
      <c r="Q147" s="8" t="s">
        <v>115</v>
      </c>
      <c r="R147" s="8" t="s">
        <v>106</v>
      </c>
      <c r="S147" s="8" t="s">
        <v>60</v>
      </c>
      <c r="T147" s="8"/>
      <c r="U147" s="8" t="s">
        <v>879</v>
      </c>
      <c r="V147" s="8" t="s">
        <v>107</v>
      </c>
      <c r="W147" s="8" t="s">
        <v>32</v>
      </c>
      <c r="X147" s="9" t="s">
        <v>108</v>
      </c>
      <c r="Y147" s="13"/>
      <c r="Z147" s="9" t="s">
        <v>880</v>
      </c>
    </row>
    <row r="148" spans="1:26" x14ac:dyDescent="0.3">
      <c r="A148" s="7" t="s">
        <v>881</v>
      </c>
      <c r="B148" s="8" t="s">
        <v>47</v>
      </c>
      <c r="C148" s="9"/>
      <c r="D148" s="8" t="s">
        <v>882</v>
      </c>
      <c r="E148" s="8" t="s">
        <v>883</v>
      </c>
      <c r="F148" s="8" t="s">
        <v>884</v>
      </c>
      <c r="G148" s="8" t="s">
        <v>31</v>
      </c>
      <c r="H148" s="8" t="s">
        <v>30</v>
      </c>
      <c r="I148" s="10">
        <v>500</v>
      </c>
      <c r="J148" s="10">
        <v>430</v>
      </c>
      <c r="K148" s="11"/>
      <c r="L148" s="12">
        <f>IF(D148="","",SUMIFS(Movimientos!$D$2:$D$2000,Movimientos!$B$2:$B$2000,A148))</f>
        <v>0</v>
      </c>
      <c r="M148" s="12">
        <f t="shared" si="4"/>
        <v>430</v>
      </c>
      <c r="N148" s="11"/>
      <c r="O148" s="7" t="str">
        <f t="shared" ca="1" si="5"/>
        <v>Sin fecha</v>
      </c>
      <c r="P148" s="8" t="s">
        <v>885</v>
      </c>
      <c r="Q148" s="8" t="s">
        <v>105</v>
      </c>
      <c r="R148" s="8" t="s">
        <v>106</v>
      </c>
      <c r="S148" s="8" t="s">
        <v>60</v>
      </c>
      <c r="T148" s="8"/>
      <c r="U148" s="8" t="s">
        <v>886</v>
      </c>
      <c r="V148" s="8" t="s">
        <v>107</v>
      </c>
      <c r="W148" s="8" t="s">
        <v>32</v>
      </c>
      <c r="X148" s="9" t="s">
        <v>108</v>
      </c>
      <c r="Y148" s="13"/>
      <c r="Z148" s="9" t="s">
        <v>887</v>
      </c>
    </row>
    <row r="149" spans="1:26" x14ac:dyDescent="0.3">
      <c r="A149" s="7" t="s">
        <v>888</v>
      </c>
      <c r="B149" s="8" t="s">
        <v>47</v>
      </c>
      <c r="C149" s="9"/>
      <c r="D149" s="8" t="s">
        <v>889</v>
      </c>
      <c r="E149" s="8" t="s">
        <v>890</v>
      </c>
      <c r="F149" s="8" t="s">
        <v>891</v>
      </c>
      <c r="G149" s="8" t="s">
        <v>31</v>
      </c>
      <c r="H149" s="8" t="s">
        <v>30</v>
      </c>
      <c r="I149" s="10">
        <v>25</v>
      </c>
      <c r="J149" s="10">
        <v>20</v>
      </c>
      <c r="K149" s="11"/>
      <c r="L149" s="12">
        <f>IF(D149="","",SUMIFS(Movimientos!$D$2:$D$2000,Movimientos!$B$2:$B$2000,A149))</f>
        <v>0</v>
      </c>
      <c r="M149" s="12">
        <f t="shared" si="4"/>
        <v>20</v>
      </c>
      <c r="N149" s="11"/>
      <c r="O149" s="7" t="str">
        <f t="shared" ca="1" si="5"/>
        <v>Sin fecha</v>
      </c>
      <c r="P149" s="8" t="s">
        <v>892</v>
      </c>
      <c r="Q149" s="8" t="s">
        <v>752</v>
      </c>
      <c r="R149" s="8" t="s">
        <v>106</v>
      </c>
      <c r="S149" s="8" t="s">
        <v>71</v>
      </c>
      <c r="T149" s="8"/>
      <c r="U149" s="8"/>
      <c r="V149" s="8" t="s">
        <v>107</v>
      </c>
      <c r="W149" s="8" t="s">
        <v>32</v>
      </c>
      <c r="X149" s="9" t="s">
        <v>108</v>
      </c>
      <c r="Y149" s="13"/>
      <c r="Z149" s="9" t="s">
        <v>893</v>
      </c>
    </row>
    <row r="150" spans="1:26" x14ac:dyDescent="0.3">
      <c r="A150" s="7" t="s">
        <v>894</v>
      </c>
      <c r="B150" s="8" t="s">
        <v>47</v>
      </c>
      <c r="C150" s="9"/>
      <c r="D150" s="8" t="s">
        <v>895</v>
      </c>
      <c r="E150" s="8" t="s">
        <v>896</v>
      </c>
      <c r="F150" s="8" t="s">
        <v>897</v>
      </c>
      <c r="G150" s="8" t="s">
        <v>31</v>
      </c>
      <c r="H150" s="8" t="s">
        <v>30</v>
      </c>
      <c r="I150" s="10">
        <v>250</v>
      </c>
      <c r="J150" s="10">
        <v>120</v>
      </c>
      <c r="K150" s="11"/>
      <c r="L150" s="12">
        <f>IF(D150="","",SUMIFS(Movimientos!$D$2:$D$2000,Movimientos!$B$2:$B$2000,A150))</f>
        <v>0</v>
      </c>
      <c r="M150" s="12">
        <f t="shared" si="4"/>
        <v>120</v>
      </c>
      <c r="N150" s="11"/>
      <c r="O150" s="7" t="str">
        <f t="shared" ca="1" si="5"/>
        <v>Sin fecha</v>
      </c>
      <c r="P150" s="8" t="s">
        <v>898</v>
      </c>
      <c r="Q150" s="8" t="s">
        <v>105</v>
      </c>
      <c r="R150" s="8" t="s">
        <v>106</v>
      </c>
      <c r="S150" s="8" t="s">
        <v>71</v>
      </c>
      <c r="T150" s="8"/>
      <c r="U150" s="8"/>
      <c r="V150" s="8" t="s">
        <v>107</v>
      </c>
      <c r="W150" s="8" t="s">
        <v>32</v>
      </c>
      <c r="X150" s="9" t="s">
        <v>108</v>
      </c>
      <c r="Y150" s="13"/>
      <c r="Z150" s="9" t="s">
        <v>899</v>
      </c>
    </row>
    <row r="151" spans="1:26" x14ac:dyDescent="0.3">
      <c r="A151" s="7" t="s">
        <v>900</v>
      </c>
      <c r="B151" s="8" t="s">
        <v>47</v>
      </c>
      <c r="C151" s="9"/>
      <c r="D151" s="8" t="s">
        <v>895</v>
      </c>
      <c r="E151" s="8" t="s">
        <v>896</v>
      </c>
      <c r="F151" s="8" t="s">
        <v>897</v>
      </c>
      <c r="G151" s="8" t="s">
        <v>31</v>
      </c>
      <c r="H151" s="8" t="s">
        <v>30</v>
      </c>
      <c r="I151" s="10">
        <v>25</v>
      </c>
      <c r="J151" s="10">
        <v>10</v>
      </c>
      <c r="K151" s="11"/>
      <c r="L151" s="12">
        <f>IF(D151="","",SUMIFS(Movimientos!$D$2:$D$2000,Movimientos!$B$2:$B$2000,A151))</f>
        <v>0</v>
      </c>
      <c r="M151" s="12">
        <f t="shared" si="4"/>
        <v>10</v>
      </c>
      <c r="N151" s="11"/>
      <c r="O151" s="7" t="str">
        <f t="shared" ca="1" si="5"/>
        <v>Sin fecha</v>
      </c>
      <c r="P151" s="8" t="s">
        <v>901</v>
      </c>
      <c r="Q151" s="8" t="s">
        <v>105</v>
      </c>
      <c r="R151" s="8" t="s">
        <v>106</v>
      </c>
      <c r="S151" s="8" t="s">
        <v>71</v>
      </c>
      <c r="T151" s="8"/>
      <c r="U151" s="8"/>
      <c r="V151" s="8" t="s">
        <v>107</v>
      </c>
      <c r="W151" s="8" t="s">
        <v>32</v>
      </c>
      <c r="X151" s="9" t="s">
        <v>108</v>
      </c>
      <c r="Y151" s="13"/>
      <c r="Z151" s="9" t="s">
        <v>902</v>
      </c>
    </row>
    <row r="152" spans="1:26" x14ac:dyDescent="0.3">
      <c r="A152" s="7" t="s">
        <v>903</v>
      </c>
      <c r="B152" s="8" t="s">
        <v>47</v>
      </c>
      <c r="C152" s="9"/>
      <c r="D152" s="8" t="s">
        <v>904</v>
      </c>
      <c r="E152" s="8" t="s">
        <v>905</v>
      </c>
      <c r="F152" s="8" t="s">
        <v>906</v>
      </c>
      <c r="G152" s="8" t="s">
        <v>42</v>
      </c>
      <c r="H152" s="8" t="s">
        <v>41</v>
      </c>
      <c r="I152" s="10">
        <v>1000</v>
      </c>
      <c r="J152" s="10">
        <v>1000</v>
      </c>
      <c r="K152" s="11"/>
      <c r="L152" s="12">
        <f>IF(D152="","",SUMIFS(Movimientos!$D$2:$D$2000,Movimientos!$B$2:$B$2000,A152))</f>
        <v>0</v>
      </c>
      <c r="M152" s="12">
        <f t="shared" si="4"/>
        <v>1000</v>
      </c>
      <c r="N152" s="11">
        <v>46904</v>
      </c>
      <c r="O152" s="7" t="str">
        <f t="shared" ca="1" si="5"/>
        <v>Vigente</v>
      </c>
      <c r="P152" s="8" t="s">
        <v>907</v>
      </c>
      <c r="Q152" s="8" t="s">
        <v>105</v>
      </c>
      <c r="R152" s="8" t="s">
        <v>908</v>
      </c>
      <c r="S152" s="8" t="s">
        <v>71</v>
      </c>
      <c r="T152" s="8"/>
      <c r="U152" s="8"/>
      <c r="V152" s="8" t="s">
        <v>107</v>
      </c>
      <c r="W152" s="8" t="s">
        <v>32</v>
      </c>
      <c r="X152" s="9" t="s">
        <v>108</v>
      </c>
      <c r="Y152" s="13"/>
      <c r="Z152" s="9" t="s">
        <v>909</v>
      </c>
    </row>
    <row r="153" spans="1:26" x14ac:dyDescent="0.3">
      <c r="A153" s="7" t="s">
        <v>910</v>
      </c>
      <c r="B153" s="8" t="s">
        <v>47</v>
      </c>
      <c r="C153" s="9"/>
      <c r="D153" s="8" t="s">
        <v>911</v>
      </c>
      <c r="E153" s="8" t="s">
        <v>912</v>
      </c>
      <c r="F153" s="8" t="s">
        <v>913</v>
      </c>
      <c r="G153" s="8" t="s">
        <v>31</v>
      </c>
      <c r="H153" s="8" t="s">
        <v>30</v>
      </c>
      <c r="I153" s="10">
        <v>250</v>
      </c>
      <c r="J153" s="10">
        <v>120</v>
      </c>
      <c r="K153" s="11"/>
      <c r="L153" s="12">
        <f>IF(D153="","",SUMIFS(Movimientos!$D$2:$D$2000,Movimientos!$B$2:$B$2000,A153))</f>
        <v>0</v>
      </c>
      <c r="M153" s="12">
        <f t="shared" si="4"/>
        <v>120</v>
      </c>
      <c r="N153" s="11">
        <v>44255</v>
      </c>
      <c r="O153" s="7" t="str">
        <f t="shared" ca="1" si="5"/>
        <v>VENCIDO</v>
      </c>
      <c r="P153" s="8" t="s">
        <v>914</v>
      </c>
      <c r="Q153" s="8" t="s">
        <v>105</v>
      </c>
      <c r="R153" s="8" t="s">
        <v>712</v>
      </c>
      <c r="S153" s="8" t="s">
        <v>60</v>
      </c>
      <c r="T153" s="8"/>
      <c r="U153" s="8" t="s">
        <v>915</v>
      </c>
      <c r="V153" s="8" t="s">
        <v>107</v>
      </c>
      <c r="W153" s="8" t="s">
        <v>32</v>
      </c>
      <c r="X153" s="9" t="s">
        <v>108</v>
      </c>
      <c r="Y153" s="13"/>
      <c r="Z153" s="9" t="s">
        <v>916</v>
      </c>
    </row>
    <row r="154" spans="1:26" x14ac:dyDescent="0.3">
      <c r="A154" s="7" t="s">
        <v>917</v>
      </c>
      <c r="B154" s="8" t="s">
        <v>47</v>
      </c>
      <c r="C154" s="9"/>
      <c r="D154" s="8" t="s">
        <v>918</v>
      </c>
      <c r="E154" s="8" t="s">
        <v>919</v>
      </c>
      <c r="F154" s="8" t="s">
        <v>920</v>
      </c>
      <c r="G154" s="8" t="s">
        <v>31</v>
      </c>
      <c r="H154" s="8" t="s">
        <v>30</v>
      </c>
      <c r="I154" s="10">
        <v>250</v>
      </c>
      <c r="J154" s="10">
        <v>200</v>
      </c>
      <c r="K154" s="11"/>
      <c r="L154" s="12">
        <f>IF(D154="","",SUMIFS(Movimientos!$D$2:$D$2000,Movimientos!$B$2:$B$2000,A154))</f>
        <v>0</v>
      </c>
      <c r="M154" s="12">
        <f t="shared" si="4"/>
        <v>200</v>
      </c>
      <c r="N154" s="11"/>
      <c r="O154" s="7" t="str">
        <f t="shared" ca="1" si="5"/>
        <v>Sin fecha</v>
      </c>
      <c r="P154" s="8" t="s">
        <v>921</v>
      </c>
      <c r="Q154" s="8" t="s">
        <v>105</v>
      </c>
      <c r="R154" s="8" t="s">
        <v>712</v>
      </c>
      <c r="S154" s="8" t="s">
        <v>60</v>
      </c>
      <c r="T154" s="8"/>
      <c r="U154" s="8"/>
      <c r="V154" s="8" t="s">
        <v>107</v>
      </c>
      <c r="W154" s="8" t="s">
        <v>32</v>
      </c>
      <c r="X154" s="9" t="s">
        <v>108</v>
      </c>
      <c r="Y154" s="13"/>
      <c r="Z154" s="9" t="s">
        <v>922</v>
      </c>
    </row>
    <row r="155" spans="1:26" x14ac:dyDescent="0.3">
      <c r="A155" s="7" t="s">
        <v>923</v>
      </c>
      <c r="B155" s="8" t="s">
        <v>47</v>
      </c>
      <c r="C155" s="9"/>
      <c r="D155" s="8" t="s">
        <v>918</v>
      </c>
      <c r="E155" s="8" t="s">
        <v>919</v>
      </c>
      <c r="F155" s="8" t="s">
        <v>920</v>
      </c>
      <c r="G155" s="8" t="s">
        <v>31</v>
      </c>
      <c r="H155" s="8" t="s">
        <v>30</v>
      </c>
      <c r="I155" s="10">
        <v>250</v>
      </c>
      <c r="J155" s="10">
        <v>30</v>
      </c>
      <c r="K155" s="11"/>
      <c r="L155" s="12">
        <f>IF(D155="","",SUMIFS(Movimientos!$D$2:$D$2000,Movimientos!$B$2:$B$2000,A155))</f>
        <v>0</v>
      </c>
      <c r="M155" s="12">
        <f t="shared" si="4"/>
        <v>30</v>
      </c>
      <c r="N155" s="11"/>
      <c r="O155" s="7" t="str">
        <f t="shared" ca="1" si="5"/>
        <v>Sin fecha</v>
      </c>
      <c r="P155" s="8" t="s">
        <v>924</v>
      </c>
      <c r="Q155" s="8" t="s">
        <v>105</v>
      </c>
      <c r="R155" s="8" t="s">
        <v>712</v>
      </c>
      <c r="S155" s="8" t="s">
        <v>60</v>
      </c>
      <c r="T155" s="8"/>
      <c r="U155" s="8" t="s">
        <v>915</v>
      </c>
      <c r="V155" s="8" t="s">
        <v>107</v>
      </c>
      <c r="W155" s="8" t="s">
        <v>32</v>
      </c>
      <c r="X155" s="9" t="s">
        <v>108</v>
      </c>
      <c r="Y155" s="13"/>
      <c r="Z155" s="9" t="s">
        <v>925</v>
      </c>
    </row>
    <row r="156" spans="1:26" x14ac:dyDescent="0.3">
      <c r="A156" s="7" t="s">
        <v>926</v>
      </c>
      <c r="B156" s="8" t="s">
        <v>47</v>
      </c>
      <c r="C156" s="9"/>
      <c r="D156" s="8" t="s">
        <v>918</v>
      </c>
      <c r="E156" s="8" t="s">
        <v>927</v>
      </c>
      <c r="F156" s="8" t="s">
        <v>920</v>
      </c>
      <c r="G156" s="8" t="s">
        <v>31</v>
      </c>
      <c r="H156" s="8" t="s">
        <v>30</v>
      </c>
      <c r="I156" s="10">
        <v>0</v>
      </c>
      <c r="J156" s="10">
        <v>0</v>
      </c>
      <c r="K156" s="11"/>
      <c r="L156" s="12">
        <f>IF(D156="","",SUMIFS(Movimientos!$D$2:$D$2000,Movimientos!$B$2:$B$2000,A156))</f>
        <v>0</v>
      </c>
      <c r="M156" s="12">
        <f t="shared" si="4"/>
        <v>0</v>
      </c>
      <c r="N156" s="11"/>
      <c r="O156" s="7" t="str">
        <f t="shared" ca="1" si="5"/>
        <v>Sin fecha</v>
      </c>
      <c r="P156" s="8" t="s">
        <v>928</v>
      </c>
      <c r="Q156" s="8" t="s">
        <v>105</v>
      </c>
      <c r="R156" s="8" t="s">
        <v>712</v>
      </c>
      <c r="S156" s="8" t="s">
        <v>60</v>
      </c>
      <c r="T156" s="8"/>
      <c r="U156" s="8" t="s">
        <v>915</v>
      </c>
      <c r="V156" s="8" t="s">
        <v>107</v>
      </c>
      <c r="W156" s="8" t="s">
        <v>32</v>
      </c>
      <c r="X156" s="9" t="s">
        <v>108</v>
      </c>
      <c r="Y156" s="13"/>
      <c r="Z156" s="9" t="s">
        <v>929</v>
      </c>
    </row>
    <row r="157" spans="1:26" x14ac:dyDescent="0.3">
      <c r="A157" s="7" t="s">
        <v>930</v>
      </c>
      <c r="B157" s="8" t="s">
        <v>47</v>
      </c>
      <c r="C157" s="9"/>
      <c r="D157" s="8" t="s">
        <v>931</v>
      </c>
      <c r="E157" s="8" t="s">
        <v>932</v>
      </c>
      <c r="F157" s="8" t="s">
        <v>933</v>
      </c>
      <c r="G157" s="8" t="s">
        <v>31</v>
      </c>
      <c r="H157" s="8" t="s">
        <v>30</v>
      </c>
      <c r="I157" s="10">
        <v>1000</v>
      </c>
      <c r="J157" s="10">
        <v>1000</v>
      </c>
      <c r="K157" s="11"/>
      <c r="L157" s="12">
        <f>IF(D157="","",SUMIFS(Movimientos!$D$2:$D$2000,Movimientos!$B$2:$B$2000,A157))</f>
        <v>0</v>
      </c>
      <c r="M157" s="12">
        <f t="shared" si="4"/>
        <v>1000</v>
      </c>
      <c r="N157" s="11"/>
      <c r="O157" s="7" t="str">
        <f t="shared" ca="1" si="5"/>
        <v>Sin fecha</v>
      </c>
      <c r="P157" s="8" t="s">
        <v>934</v>
      </c>
      <c r="Q157" s="8" t="s">
        <v>105</v>
      </c>
      <c r="R157" s="8" t="s">
        <v>116</v>
      </c>
      <c r="S157" s="8" t="s">
        <v>60</v>
      </c>
      <c r="T157" s="8"/>
      <c r="U157" s="8" t="s">
        <v>935</v>
      </c>
      <c r="V157" s="8" t="s">
        <v>107</v>
      </c>
      <c r="W157" s="8" t="s">
        <v>32</v>
      </c>
      <c r="X157" s="9" t="s">
        <v>108</v>
      </c>
      <c r="Y157" s="13"/>
      <c r="Z157" s="9" t="s">
        <v>936</v>
      </c>
    </row>
    <row r="158" spans="1:26" x14ac:dyDescent="0.3">
      <c r="A158" s="7" t="s">
        <v>937</v>
      </c>
      <c r="B158" s="8" t="s">
        <v>47</v>
      </c>
      <c r="C158" s="9"/>
      <c r="D158" s="8" t="s">
        <v>938</v>
      </c>
      <c r="E158" s="8"/>
      <c r="F158" s="8" t="s">
        <v>939</v>
      </c>
      <c r="G158" s="8" t="s">
        <v>31</v>
      </c>
      <c r="H158" s="8" t="s">
        <v>30</v>
      </c>
      <c r="I158" s="10">
        <v>50</v>
      </c>
      <c r="J158" s="10">
        <v>30</v>
      </c>
      <c r="K158" s="11"/>
      <c r="L158" s="12">
        <f>IF(D158="","",SUMIFS(Movimientos!$D$2:$D$2000,Movimientos!$B$2:$B$2000,A158))</f>
        <v>0</v>
      </c>
      <c r="M158" s="12">
        <f t="shared" si="4"/>
        <v>30</v>
      </c>
      <c r="N158" s="11"/>
      <c r="O158" s="7" t="str">
        <f t="shared" ca="1" si="5"/>
        <v>Sin fecha</v>
      </c>
      <c r="P158" s="8" t="s">
        <v>940</v>
      </c>
      <c r="Q158" s="8" t="s">
        <v>105</v>
      </c>
      <c r="R158" s="8" t="s">
        <v>106</v>
      </c>
      <c r="S158" s="8" t="s">
        <v>72</v>
      </c>
      <c r="T158" s="8"/>
      <c r="U158" s="8"/>
      <c r="V158" s="8" t="s">
        <v>107</v>
      </c>
      <c r="W158" s="8" t="s">
        <v>32</v>
      </c>
      <c r="X158" s="9" t="s">
        <v>108</v>
      </c>
      <c r="Y158" s="13"/>
      <c r="Z158" s="9" t="s">
        <v>941</v>
      </c>
    </row>
    <row r="159" spans="1:26" x14ac:dyDescent="0.3">
      <c r="A159" s="7" t="s">
        <v>942</v>
      </c>
      <c r="B159" s="8" t="s">
        <v>47</v>
      </c>
      <c r="C159" s="9"/>
      <c r="D159" s="8" t="s">
        <v>943</v>
      </c>
      <c r="E159" s="8" t="s">
        <v>944</v>
      </c>
      <c r="F159" s="8" t="s">
        <v>945</v>
      </c>
      <c r="G159" s="8" t="s">
        <v>31</v>
      </c>
      <c r="H159" s="8" t="s">
        <v>30</v>
      </c>
      <c r="I159" s="10">
        <v>1000</v>
      </c>
      <c r="J159" s="10">
        <v>400</v>
      </c>
      <c r="K159" s="11"/>
      <c r="L159" s="12">
        <f>IF(D159="","",SUMIFS(Movimientos!$D$2:$D$2000,Movimientos!$B$2:$B$2000,A159))</f>
        <v>0</v>
      </c>
      <c r="M159" s="12">
        <f t="shared" si="4"/>
        <v>400</v>
      </c>
      <c r="N159" s="11">
        <v>44227</v>
      </c>
      <c r="O159" s="7" t="str">
        <f t="shared" ca="1" si="5"/>
        <v>VENCIDO</v>
      </c>
      <c r="P159" s="8" t="s">
        <v>946</v>
      </c>
      <c r="Q159" s="8" t="s">
        <v>105</v>
      </c>
      <c r="R159" s="8"/>
      <c r="S159" s="8" t="s">
        <v>60</v>
      </c>
      <c r="T159" s="8"/>
      <c r="U159" s="8" t="s">
        <v>947</v>
      </c>
      <c r="V159" s="8" t="s">
        <v>107</v>
      </c>
      <c r="W159" s="8" t="s">
        <v>32</v>
      </c>
      <c r="X159" s="9" t="s">
        <v>108</v>
      </c>
      <c r="Y159" s="13"/>
      <c r="Z159" s="9" t="s">
        <v>948</v>
      </c>
    </row>
    <row r="160" spans="1:26" x14ac:dyDescent="0.3">
      <c r="A160" s="7" t="s">
        <v>949</v>
      </c>
      <c r="B160" s="8" t="s">
        <v>47</v>
      </c>
      <c r="C160" s="9"/>
      <c r="D160" s="8" t="s">
        <v>950</v>
      </c>
      <c r="E160" s="8" t="s">
        <v>951</v>
      </c>
      <c r="F160" s="8" t="s">
        <v>952</v>
      </c>
      <c r="G160" s="8" t="s">
        <v>31</v>
      </c>
      <c r="H160" s="8" t="s">
        <v>30</v>
      </c>
      <c r="I160" s="10">
        <v>25</v>
      </c>
      <c r="J160" s="10">
        <v>10</v>
      </c>
      <c r="K160" s="11"/>
      <c r="L160" s="12">
        <f>IF(D160="","",SUMIFS(Movimientos!$D$2:$D$2000,Movimientos!$B$2:$B$2000,A160))</f>
        <v>0</v>
      </c>
      <c r="M160" s="12">
        <f t="shared" si="4"/>
        <v>10</v>
      </c>
      <c r="N160" s="11">
        <v>47299</v>
      </c>
      <c r="O160" s="7" t="str">
        <f t="shared" ca="1" si="5"/>
        <v>Vigente</v>
      </c>
      <c r="P160" s="8" t="s">
        <v>953</v>
      </c>
      <c r="Q160" s="8" t="s">
        <v>105</v>
      </c>
      <c r="R160" s="8" t="s">
        <v>106</v>
      </c>
      <c r="S160" s="8" t="s">
        <v>60</v>
      </c>
      <c r="T160" s="8"/>
      <c r="U160" s="8" t="s">
        <v>954</v>
      </c>
      <c r="V160" s="8" t="s">
        <v>107</v>
      </c>
      <c r="W160" s="8" t="s">
        <v>32</v>
      </c>
      <c r="X160" s="9" t="s">
        <v>108</v>
      </c>
      <c r="Y160" s="13"/>
      <c r="Z160" s="9" t="s">
        <v>955</v>
      </c>
    </row>
    <row r="161" spans="1:26" x14ac:dyDescent="0.3">
      <c r="A161" s="7" t="s">
        <v>956</v>
      </c>
      <c r="B161" s="8" t="s">
        <v>47</v>
      </c>
      <c r="C161" s="9"/>
      <c r="D161" s="8" t="s">
        <v>957</v>
      </c>
      <c r="E161" s="8" t="s">
        <v>951</v>
      </c>
      <c r="F161" s="8"/>
      <c r="G161" s="8" t="s">
        <v>42</v>
      </c>
      <c r="H161" s="8" t="s">
        <v>41</v>
      </c>
      <c r="I161" s="10">
        <v>500</v>
      </c>
      <c r="J161" s="10">
        <v>500</v>
      </c>
      <c r="K161" s="11"/>
      <c r="L161" s="12">
        <f>IF(D161="","",SUMIFS(Movimientos!$D$2:$D$2000,Movimientos!$B$2:$B$2000,A161))</f>
        <v>0</v>
      </c>
      <c r="M161" s="12">
        <f t="shared" si="4"/>
        <v>500</v>
      </c>
      <c r="N161" s="11"/>
      <c r="O161" s="7" t="str">
        <f t="shared" ca="1" si="5"/>
        <v>Sin fecha</v>
      </c>
      <c r="P161" s="8" t="s">
        <v>958</v>
      </c>
      <c r="Q161" s="8" t="s">
        <v>105</v>
      </c>
      <c r="R161" s="8" t="s">
        <v>106</v>
      </c>
      <c r="S161" s="8" t="s">
        <v>60</v>
      </c>
      <c r="T161" s="8"/>
      <c r="U161" s="8" t="s">
        <v>954</v>
      </c>
      <c r="V161" s="8" t="s">
        <v>107</v>
      </c>
      <c r="W161" s="8" t="s">
        <v>32</v>
      </c>
      <c r="X161" s="9" t="s">
        <v>108</v>
      </c>
      <c r="Y161" s="13"/>
      <c r="Z161" s="9" t="s">
        <v>959</v>
      </c>
    </row>
    <row r="162" spans="1:26" x14ac:dyDescent="0.3">
      <c r="A162" s="7" t="s">
        <v>960</v>
      </c>
      <c r="B162" s="8" t="s">
        <v>47</v>
      </c>
      <c r="C162" s="9"/>
      <c r="D162" s="8" t="s">
        <v>961</v>
      </c>
      <c r="E162" s="8"/>
      <c r="F162" s="8"/>
      <c r="G162" s="8" t="s">
        <v>31</v>
      </c>
      <c r="H162" s="8" t="s">
        <v>30</v>
      </c>
      <c r="I162" s="10">
        <v>2000</v>
      </c>
      <c r="J162" s="10">
        <v>1000</v>
      </c>
      <c r="K162" s="11"/>
      <c r="L162" s="12">
        <f>IF(D162="","",SUMIFS(Movimientos!$D$2:$D$2000,Movimientos!$B$2:$B$2000,A162))</f>
        <v>0</v>
      </c>
      <c r="M162" s="12">
        <f t="shared" si="4"/>
        <v>1000</v>
      </c>
      <c r="N162" s="11"/>
      <c r="O162" s="7" t="str">
        <f t="shared" ca="1" si="5"/>
        <v>Sin fecha</v>
      </c>
      <c r="P162" s="8" t="s">
        <v>962</v>
      </c>
      <c r="Q162" s="8" t="s">
        <v>105</v>
      </c>
      <c r="R162" s="8"/>
      <c r="S162" s="8" t="s">
        <v>60</v>
      </c>
      <c r="T162" s="8"/>
      <c r="U162" s="8"/>
      <c r="V162" s="8" t="s">
        <v>107</v>
      </c>
      <c r="W162" s="8" t="s">
        <v>32</v>
      </c>
      <c r="X162" s="9" t="s">
        <v>108</v>
      </c>
      <c r="Y162" s="13"/>
      <c r="Z162" s="9" t="s">
        <v>963</v>
      </c>
    </row>
    <row r="163" spans="1:26" x14ac:dyDescent="0.3">
      <c r="A163" s="7" t="s">
        <v>964</v>
      </c>
      <c r="B163" s="8" t="s">
        <v>47</v>
      </c>
      <c r="C163" s="9"/>
      <c r="D163" s="8" t="s">
        <v>965</v>
      </c>
      <c r="E163" s="8" t="s">
        <v>966</v>
      </c>
      <c r="F163" s="8" t="s">
        <v>967</v>
      </c>
      <c r="G163" s="8" t="s">
        <v>31</v>
      </c>
      <c r="H163" s="8" t="s">
        <v>30</v>
      </c>
      <c r="I163" s="10">
        <v>50</v>
      </c>
      <c r="J163" s="10">
        <v>35</v>
      </c>
      <c r="K163" s="11"/>
      <c r="L163" s="12">
        <f>IF(D163="","",SUMIFS(Movimientos!$D$2:$D$2000,Movimientos!$B$2:$B$2000,A163))</f>
        <v>0</v>
      </c>
      <c r="M163" s="12">
        <f t="shared" si="4"/>
        <v>35</v>
      </c>
      <c r="N163" s="11">
        <v>42064</v>
      </c>
      <c r="O163" s="7" t="str">
        <f t="shared" ca="1" si="5"/>
        <v>VENCIDO</v>
      </c>
      <c r="P163" s="8" t="s">
        <v>968</v>
      </c>
      <c r="Q163" s="8" t="s">
        <v>632</v>
      </c>
      <c r="R163" s="8" t="s">
        <v>116</v>
      </c>
      <c r="S163" s="8" t="s">
        <v>70</v>
      </c>
      <c r="T163" s="8"/>
      <c r="U163" s="8" t="s">
        <v>969</v>
      </c>
      <c r="V163" s="8" t="s">
        <v>107</v>
      </c>
      <c r="W163" s="8" t="s">
        <v>32</v>
      </c>
      <c r="X163" s="9" t="s">
        <v>108</v>
      </c>
      <c r="Y163" s="13"/>
      <c r="Z163" s="9" t="s">
        <v>970</v>
      </c>
    </row>
    <row r="164" spans="1:26" x14ac:dyDescent="0.3">
      <c r="A164" s="7" t="s">
        <v>971</v>
      </c>
      <c r="B164" s="8" t="s">
        <v>47</v>
      </c>
      <c r="C164" s="9"/>
      <c r="D164" s="8" t="s">
        <v>972</v>
      </c>
      <c r="E164" s="8" t="s">
        <v>973</v>
      </c>
      <c r="F164" s="8" t="s">
        <v>974</v>
      </c>
      <c r="G164" s="8" t="s">
        <v>31</v>
      </c>
      <c r="H164" s="8" t="s">
        <v>30</v>
      </c>
      <c r="I164" s="10">
        <v>100</v>
      </c>
      <c r="J164" s="10">
        <v>100</v>
      </c>
      <c r="K164" s="11"/>
      <c r="L164" s="12">
        <f>IF(D164="","",SUMIFS(Movimientos!$D$2:$D$2000,Movimientos!$B$2:$B$2000,A164))</f>
        <v>0</v>
      </c>
      <c r="M164" s="12">
        <f t="shared" si="4"/>
        <v>100</v>
      </c>
      <c r="N164" s="11"/>
      <c r="O164" s="7" t="str">
        <f t="shared" ca="1" si="5"/>
        <v>Sin fecha</v>
      </c>
      <c r="P164" s="8" t="s">
        <v>975</v>
      </c>
      <c r="Q164" s="8" t="s">
        <v>105</v>
      </c>
      <c r="R164" s="8" t="s">
        <v>106</v>
      </c>
      <c r="S164" s="8" t="s">
        <v>60</v>
      </c>
      <c r="T164" s="8"/>
      <c r="U164" s="8" t="s">
        <v>976</v>
      </c>
      <c r="V164" s="8" t="s">
        <v>107</v>
      </c>
      <c r="W164" s="8" t="s">
        <v>32</v>
      </c>
      <c r="X164" s="9" t="s">
        <v>108</v>
      </c>
      <c r="Y164" s="13"/>
      <c r="Z164" s="9" t="s">
        <v>977</v>
      </c>
    </row>
    <row r="165" spans="1:26" x14ac:dyDescent="0.3">
      <c r="A165" s="7" t="s">
        <v>978</v>
      </c>
      <c r="B165" s="8" t="s">
        <v>47</v>
      </c>
      <c r="C165" s="9"/>
      <c r="D165" s="8" t="s">
        <v>979</v>
      </c>
      <c r="E165" s="8" t="s">
        <v>980</v>
      </c>
      <c r="F165" s="8" t="s">
        <v>981</v>
      </c>
      <c r="G165" s="8" t="s">
        <v>31</v>
      </c>
      <c r="H165" s="8" t="s">
        <v>30</v>
      </c>
      <c r="I165" s="10">
        <v>1000</v>
      </c>
      <c r="J165" s="10">
        <v>500</v>
      </c>
      <c r="K165" s="11"/>
      <c r="L165" s="12">
        <f>IF(D165="","",SUMIFS(Movimientos!$D$2:$D$2000,Movimientos!$B$2:$B$2000,A165))</f>
        <v>0</v>
      </c>
      <c r="M165" s="12">
        <f t="shared" si="4"/>
        <v>500</v>
      </c>
      <c r="N165" s="11">
        <v>44377</v>
      </c>
      <c r="O165" s="7" t="str">
        <f t="shared" ca="1" si="5"/>
        <v>VENCIDO</v>
      </c>
      <c r="P165" s="8" t="s">
        <v>982</v>
      </c>
      <c r="Q165" s="8" t="s">
        <v>105</v>
      </c>
      <c r="R165" s="8" t="s">
        <v>712</v>
      </c>
      <c r="S165" s="8" t="s">
        <v>74</v>
      </c>
      <c r="T165" s="8"/>
      <c r="U165" s="8"/>
      <c r="V165" s="8" t="s">
        <v>107</v>
      </c>
      <c r="W165" s="8" t="s">
        <v>32</v>
      </c>
      <c r="X165" s="9" t="s">
        <v>108</v>
      </c>
      <c r="Y165" s="13"/>
      <c r="Z165" s="9" t="s">
        <v>983</v>
      </c>
    </row>
    <row r="166" spans="1:26" x14ac:dyDescent="0.3">
      <c r="A166" s="7" t="s">
        <v>984</v>
      </c>
      <c r="B166" s="8" t="s">
        <v>47</v>
      </c>
      <c r="C166" s="9"/>
      <c r="D166" s="8" t="s">
        <v>985</v>
      </c>
      <c r="E166" s="8" t="s">
        <v>986</v>
      </c>
      <c r="F166" s="8" t="s">
        <v>987</v>
      </c>
      <c r="G166" s="8" t="s">
        <v>31</v>
      </c>
      <c r="H166" s="8" t="s">
        <v>30</v>
      </c>
      <c r="I166" s="10">
        <v>250</v>
      </c>
      <c r="J166" s="10">
        <v>250</v>
      </c>
      <c r="K166" s="11"/>
      <c r="L166" s="12">
        <f>IF(D166="","",SUMIFS(Movimientos!$D$2:$D$2000,Movimientos!$B$2:$B$2000,A166))</f>
        <v>0</v>
      </c>
      <c r="M166" s="12">
        <f t="shared" si="4"/>
        <v>250</v>
      </c>
      <c r="N166" s="11">
        <v>44743</v>
      </c>
      <c r="O166" s="7" t="str">
        <f t="shared" ca="1" si="5"/>
        <v>VENCIDO</v>
      </c>
      <c r="P166" s="8" t="s">
        <v>988</v>
      </c>
      <c r="Q166" s="8" t="s">
        <v>115</v>
      </c>
      <c r="R166" s="8" t="s">
        <v>106</v>
      </c>
      <c r="S166" s="8" t="s">
        <v>72</v>
      </c>
      <c r="T166" s="8"/>
      <c r="U166" s="8"/>
      <c r="V166" s="8" t="s">
        <v>107</v>
      </c>
      <c r="W166" s="8" t="s">
        <v>32</v>
      </c>
      <c r="X166" s="9" t="s">
        <v>108</v>
      </c>
      <c r="Y166" s="13"/>
      <c r="Z166" s="9" t="s">
        <v>989</v>
      </c>
    </row>
    <row r="167" spans="1:26" x14ac:dyDescent="0.3">
      <c r="A167" s="7" t="s">
        <v>990</v>
      </c>
      <c r="B167" s="8" t="s">
        <v>47</v>
      </c>
      <c r="C167" s="9"/>
      <c r="D167" s="8" t="s">
        <v>991</v>
      </c>
      <c r="E167" s="8" t="s">
        <v>992</v>
      </c>
      <c r="F167" s="8" t="s">
        <v>993</v>
      </c>
      <c r="G167" s="8" t="s">
        <v>31</v>
      </c>
      <c r="H167" s="8" t="s">
        <v>30</v>
      </c>
      <c r="I167" s="10">
        <v>1000</v>
      </c>
      <c r="J167" s="10">
        <v>300</v>
      </c>
      <c r="K167" s="11"/>
      <c r="L167" s="12">
        <f>IF(D167="","",SUMIFS(Movimientos!$D$2:$D$2000,Movimientos!$B$2:$B$2000,A167))</f>
        <v>0</v>
      </c>
      <c r="M167" s="12">
        <f t="shared" si="4"/>
        <v>300</v>
      </c>
      <c r="N167" s="11">
        <v>40969</v>
      </c>
      <c r="O167" s="7" t="str">
        <f t="shared" ca="1" si="5"/>
        <v>VENCIDO</v>
      </c>
      <c r="P167" s="8" t="s">
        <v>994</v>
      </c>
      <c r="Q167" s="8" t="s">
        <v>143</v>
      </c>
      <c r="R167" s="8" t="s">
        <v>106</v>
      </c>
      <c r="S167" s="8" t="s">
        <v>60</v>
      </c>
      <c r="T167" s="8"/>
      <c r="U167" s="8" t="s">
        <v>995</v>
      </c>
      <c r="V167" s="8" t="s">
        <v>107</v>
      </c>
      <c r="W167" s="8" t="s">
        <v>32</v>
      </c>
      <c r="X167" s="9" t="s">
        <v>108</v>
      </c>
      <c r="Y167" s="13"/>
      <c r="Z167" s="9" t="s">
        <v>996</v>
      </c>
    </row>
    <row r="168" spans="1:26" x14ac:dyDescent="0.3">
      <c r="A168" s="7" t="s">
        <v>997</v>
      </c>
      <c r="B168" s="8" t="s">
        <v>47</v>
      </c>
      <c r="C168" s="9"/>
      <c r="D168" s="8" t="s">
        <v>998</v>
      </c>
      <c r="E168" s="8" t="s">
        <v>999</v>
      </c>
      <c r="F168" s="8" t="s">
        <v>1000</v>
      </c>
      <c r="G168" s="8" t="s">
        <v>31</v>
      </c>
      <c r="H168" s="8" t="s">
        <v>30</v>
      </c>
      <c r="I168" s="10">
        <v>25</v>
      </c>
      <c r="J168" s="10">
        <v>15</v>
      </c>
      <c r="K168" s="11"/>
      <c r="L168" s="12">
        <f>IF(D168="","",SUMIFS(Movimientos!$D$2:$D$2000,Movimientos!$B$2:$B$2000,A168))</f>
        <v>0</v>
      </c>
      <c r="M168" s="12">
        <f t="shared" si="4"/>
        <v>15</v>
      </c>
      <c r="N168" s="11"/>
      <c r="O168" s="7" t="str">
        <f t="shared" ca="1" si="5"/>
        <v>Sin fecha</v>
      </c>
      <c r="P168" s="8" t="s">
        <v>1001</v>
      </c>
      <c r="Q168" s="8" t="s">
        <v>105</v>
      </c>
      <c r="R168" s="8" t="s">
        <v>106</v>
      </c>
      <c r="S168" s="8" t="s">
        <v>72</v>
      </c>
      <c r="T168" s="8"/>
      <c r="U168" s="8" t="s">
        <v>1002</v>
      </c>
      <c r="V168" s="8" t="s">
        <v>107</v>
      </c>
      <c r="W168" s="8" t="s">
        <v>32</v>
      </c>
      <c r="X168" s="9" t="s">
        <v>108</v>
      </c>
      <c r="Y168" s="13"/>
      <c r="Z168" s="9" t="s">
        <v>1003</v>
      </c>
    </row>
    <row r="169" spans="1:26" x14ac:dyDescent="0.3">
      <c r="A169" s="7" t="s">
        <v>1004</v>
      </c>
      <c r="B169" s="8" t="s">
        <v>47</v>
      </c>
      <c r="C169" s="9"/>
      <c r="D169" s="8" t="s">
        <v>1005</v>
      </c>
      <c r="E169" s="8" t="s">
        <v>1006</v>
      </c>
      <c r="F169" s="8" t="s">
        <v>1007</v>
      </c>
      <c r="G169" s="8" t="s">
        <v>31</v>
      </c>
      <c r="H169" s="8" t="s">
        <v>30</v>
      </c>
      <c r="I169" s="10">
        <v>500</v>
      </c>
      <c r="J169" s="10">
        <v>480</v>
      </c>
      <c r="K169" s="11"/>
      <c r="L169" s="12">
        <f>IF(D169="","",SUMIFS(Movimientos!$D$2:$D$2000,Movimientos!$B$2:$B$2000,A169))</f>
        <v>0</v>
      </c>
      <c r="M169" s="12">
        <f t="shared" si="4"/>
        <v>480</v>
      </c>
      <c r="N169" s="11"/>
      <c r="O169" s="7" t="str">
        <f t="shared" ca="1" si="5"/>
        <v>Sin fecha</v>
      </c>
      <c r="P169" s="8" t="s">
        <v>1008</v>
      </c>
      <c r="Q169" s="8" t="s">
        <v>105</v>
      </c>
      <c r="R169" s="8" t="s">
        <v>116</v>
      </c>
      <c r="S169" s="8" t="s">
        <v>60</v>
      </c>
      <c r="T169" s="8"/>
      <c r="U169" s="8"/>
      <c r="V169" s="8" t="s">
        <v>107</v>
      </c>
      <c r="W169" s="8" t="s">
        <v>32</v>
      </c>
      <c r="X169" s="9" t="s">
        <v>108</v>
      </c>
      <c r="Y169" s="13"/>
      <c r="Z169" s="9" t="s">
        <v>1009</v>
      </c>
    </row>
    <row r="170" spans="1:26" x14ac:dyDescent="0.3">
      <c r="A170" s="7" t="s">
        <v>1010</v>
      </c>
      <c r="B170" s="8" t="s">
        <v>47</v>
      </c>
      <c r="C170" s="9"/>
      <c r="D170" s="8" t="s">
        <v>1011</v>
      </c>
      <c r="E170" s="8" t="s">
        <v>1012</v>
      </c>
      <c r="F170" s="8" t="s">
        <v>1013</v>
      </c>
      <c r="G170" s="8" t="s">
        <v>31</v>
      </c>
      <c r="H170" s="8" t="s">
        <v>30</v>
      </c>
      <c r="I170" s="10">
        <v>1000</v>
      </c>
      <c r="J170" s="10">
        <v>400</v>
      </c>
      <c r="K170" s="11"/>
      <c r="L170" s="12">
        <f>IF(D170="","",SUMIFS(Movimientos!$D$2:$D$2000,Movimientos!$B$2:$B$2000,A170))</f>
        <v>0</v>
      </c>
      <c r="M170" s="12">
        <f t="shared" si="4"/>
        <v>400</v>
      </c>
      <c r="N170" s="11">
        <v>44316</v>
      </c>
      <c r="O170" s="7" t="str">
        <f t="shared" ca="1" si="5"/>
        <v>VENCIDO</v>
      </c>
      <c r="P170" s="8" t="s">
        <v>1014</v>
      </c>
      <c r="Q170" s="8" t="s">
        <v>105</v>
      </c>
      <c r="R170" s="8" t="s">
        <v>712</v>
      </c>
      <c r="S170" s="8" t="s">
        <v>60</v>
      </c>
      <c r="T170" s="8"/>
      <c r="U170" s="8"/>
      <c r="V170" s="8" t="s">
        <v>107</v>
      </c>
      <c r="W170" s="8" t="s">
        <v>32</v>
      </c>
      <c r="X170" s="9" t="s">
        <v>108</v>
      </c>
      <c r="Y170" s="13"/>
      <c r="Z170" s="9" t="s">
        <v>1015</v>
      </c>
    </row>
    <row r="171" spans="1:26" x14ac:dyDescent="0.3">
      <c r="A171" s="7" t="s">
        <v>1016</v>
      </c>
      <c r="B171" s="8" t="s">
        <v>47</v>
      </c>
      <c r="C171" s="9"/>
      <c r="D171" s="8" t="s">
        <v>1017</v>
      </c>
      <c r="E171" s="8" t="s">
        <v>1018</v>
      </c>
      <c r="F171" s="8" t="s">
        <v>1019</v>
      </c>
      <c r="G171" s="8" t="s">
        <v>31</v>
      </c>
      <c r="H171" s="8" t="s">
        <v>30</v>
      </c>
      <c r="I171" s="10">
        <v>1000</v>
      </c>
      <c r="J171" s="10">
        <v>980</v>
      </c>
      <c r="K171" s="11"/>
      <c r="L171" s="12">
        <f>IF(D171="","",SUMIFS(Movimientos!$D$2:$D$2000,Movimientos!$B$2:$B$2000,A171))</f>
        <v>0</v>
      </c>
      <c r="M171" s="12">
        <f t="shared" si="4"/>
        <v>980</v>
      </c>
      <c r="N171" s="11"/>
      <c r="O171" s="7" t="str">
        <f t="shared" ca="1" si="5"/>
        <v>Sin fecha</v>
      </c>
      <c r="P171" s="8" t="s">
        <v>1020</v>
      </c>
      <c r="Q171" s="8" t="s">
        <v>105</v>
      </c>
      <c r="R171" s="8" t="s">
        <v>1021</v>
      </c>
      <c r="S171" s="8" t="s">
        <v>60</v>
      </c>
      <c r="T171" s="8"/>
      <c r="U171" s="8"/>
      <c r="V171" s="8" t="s">
        <v>107</v>
      </c>
      <c r="W171" s="8" t="s">
        <v>32</v>
      </c>
      <c r="X171" s="9" t="s">
        <v>108</v>
      </c>
      <c r="Y171" s="13"/>
      <c r="Z171" s="9" t="s">
        <v>1022</v>
      </c>
    </row>
    <row r="172" spans="1:26" x14ac:dyDescent="0.3">
      <c r="A172" s="7" t="s">
        <v>1023</v>
      </c>
      <c r="B172" s="8" t="s">
        <v>47</v>
      </c>
      <c r="C172" s="9"/>
      <c r="D172" s="8" t="s">
        <v>1024</v>
      </c>
      <c r="E172" s="8" t="s">
        <v>1025</v>
      </c>
      <c r="F172" s="8"/>
      <c r="G172" s="8" t="s">
        <v>31</v>
      </c>
      <c r="H172" s="8" t="s">
        <v>30</v>
      </c>
      <c r="I172" s="10">
        <v>500</v>
      </c>
      <c r="J172" s="10">
        <v>250</v>
      </c>
      <c r="K172" s="11"/>
      <c r="L172" s="12">
        <f>IF(D172="","",SUMIFS(Movimientos!$D$2:$D$2000,Movimientos!$B$2:$B$2000,A172))</f>
        <v>0</v>
      </c>
      <c r="M172" s="12">
        <f t="shared" si="4"/>
        <v>250</v>
      </c>
      <c r="N172" s="11"/>
      <c r="O172" s="7" t="str">
        <f t="shared" ca="1" si="5"/>
        <v>Sin fecha</v>
      </c>
      <c r="P172" s="8" t="s">
        <v>1026</v>
      </c>
      <c r="Q172" s="8" t="s">
        <v>143</v>
      </c>
      <c r="R172" s="8" t="s">
        <v>116</v>
      </c>
      <c r="S172" s="8" t="s">
        <v>40</v>
      </c>
      <c r="T172" s="8"/>
      <c r="U172" s="8"/>
      <c r="V172" s="8" t="s">
        <v>107</v>
      </c>
      <c r="W172" s="8" t="s">
        <v>32</v>
      </c>
      <c r="X172" s="9" t="s">
        <v>108</v>
      </c>
      <c r="Y172" s="13"/>
      <c r="Z172" s="9" t="s">
        <v>1027</v>
      </c>
    </row>
    <row r="173" spans="1:26" x14ac:dyDescent="0.3">
      <c r="A173" s="7" t="s">
        <v>1028</v>
      </c>
      <c r="B173" s="8" t="s">
        <v>47</v>
      </c>
      <c r="C173" s="9"/>
      <c r="D173" s="8" t="s">
        <v>1029</v>
      </c>
      <c r="E173" s="8" t="s">
        <v>1030</v>
      </c>
      <c r="F173" s="8" t="s">
        <v>933</v>
      </c>
      <c r="G173" s="8" t="s">
        <v>31</v>
      </c>
      <c r="H173" s="8" t="s">
        <v>30</v>
      </c>
      <c r="I173" s="10">
        <v>1000</v>
      </c>
      <c r="J173" s="10">
        <v>900</v>
      </c>
      <c r="K173" s="11"/>
      <c r="L173" s="12">
        <f>IF(D173="","",SUMIFS(Movimientos!$D$2:$D$2000,Movimientos!$B$2:$B$2000,A173))</f>
        <v>0</v>
      </c>
      <c r="M173" s="12">
        <f t="shared" si="4"/>
        <v>900</v>
      </c>
      <c r="N173" s="11"/>
      <c r="O173" s="7" t="str">
        <f t="shared" ca="1" si="5"/>
        <v>Sin fecha</v>
      </c>
      <c r="P173" s="8" t="s">
        <v>934</v>
      </c>
      <c r="Q173" s="8" t="s">
        <v>105</v>
      </c>
      <c r="R173" s="8" t="s">
        <v>116</v>
      </c>
      <c r="S173" s="8" t="s">
        <v>60</v>
      </c>
      <c r="T173" s="8"/>
      <c r="U173" s="8"/>
      <c r="V173" s="8" t="s">
        <v>107</v>
      </c>
      <c r="W173" s="8" t="s">
        <v>32</v>
      </c>
      <c r="X173" s="9" t="s">
        <v>108</v>
      </c>
      <c r="Y173" s="13"/>
      <c r="Z173" s="9" t="s">
        <v>1031</v>
      </c>
    </row>
    <row r="174" spans="1:26" x14ac:dyDescent="0.3">
      <c r="A174" s="7" t="s">
        <v>1032</v>
      </c>
      <c r="B174" s="8" t="s">
        <v>47</v>
      </c>
      <c r="C174" s="9"/>
      <c r="D174" s="8" t="s">
        <v>1033</v>
      </c>
      <c r="E174" s="8" t="s">
        <v>1034</v>
      </c>
      <c r="F174" s="8" t="s">
        <v>1035</v>
      </c>
      <c r="G174" s="8" t="s">
        <v>42</v>
      </c>
      <c r="H174" s="8" t="s">
        <v>41</v>
      </c>
      <c r="I174" s="10">
        <v>500</v>
      </c>
      <c r="J174" s="10">
        <v>350</v>
      </c>
      <c r="K174" s="11"/>
      <c r="L174" s="12">
        <f>IF(D174="","",SUMIFS(Movimientos!$D$2:$D$2000,Movimientos!$B$2:$B$2000,A174))</f>
        <v>0</v>
      </c>
      <c r="M174" s="12">
        <f t="shared" si="4"/>
        <v>350</v>
      </c>
      <c r="N174" s="11">
        <v>45930</v>
      </c>
      <c r="O174" s="7" t="str">
        <f t="shared" ca="1" si="5"/>
        <v>VENCIDO</v>
      </c>
      <c r="P174" s="8" t="s">
        <v>1036</v>
      </c>
      <c r="Q174" s="8" t="s">
        <v>105</v>
      </c>
      <c r="R174" s="8" t="s">
        <v>116</v>
      </c>
      <c r="S174" s="8" t="s">
        <v>69</v>
      </c>
      <c r="T174" s="8"/>
      <c r="U174" s="8" t="s">
        <v>1037</v>
      </c>
      <c r="V174" s="8" t="s">
        <v>107</v>
      </c>
      <c r="W174" s="8" t="s">
        <v>32</v>
      </c>
      <c r="X174" s="9" t="s">
        <v>108</v>
      </c>
      <c r="Y174" s="13"/>
      <c r="Z174" s="9" t="s">
        <v>1038</v>
      </c>
    </row>
    <row r="175" spans="1:26" x14ac:dyDescent="0.3">
      <c r="A175" s="7" t="s">
        <v>1039</v>
      </c>
      <c r="B175" s="8" t="s">
        <v>47</v>
      </c>
      <c r="C175" s="9"/>
      <c r="D175" s="8" t="s">
        <v>1033</v>
      </c>
      <c r="E175" s="8" t="s">
        <v>1034</v>
      </c>
      <c r="F175" s="8" t="s">
        <v>1035</v>
      </c>
      <c r="G175" s="8" t="s">
        <v>42</v>
      </c>
      <c r="H175" s="8" t="s">
        <v>41</v>
      </c>
      <c r="I175" s="10">
        <v>500</v>
      </c>
      <c r="J175" s="10">
        <v>150</v>
      </c>
      <c r="K175" s="11"/>
      <c r="L175" s="12">
        <f>IF(D175="","",SUMIFS(Movimientos!$D$2:$D$2000,Movimientos!$B$2:$B$2000,A175))</f>
        <v>0</v>
      </c>
      <c r="M175" s="12">
        <f t="shared" si="4"/>
        <v>150</v>
      </c>
      <c r="N175" s="11">
        <v>45565</v>
      </c>
      <c r="O175" s="7" t="str">
        <f t="shared" ca="1" si="5"/>
        <v>VENCIDO</v>
      </c>
      <c r="P175" s="8" t="s">
        <v>1040</v>
      </c>
      <c r="Q175" s="8" t="s">
        <v>105</v>
      </c>
      <c r="R175" s="8" t="s">
        <v>116</v>
      </c>
      <c r="S175" s="8" t="s">
        <v>69</v>
      </c>
      <c r="T175" s="8"/>
      <c r="U175" s="8" t="s">
        <v>1037</v>
      </c>
      <c r="V175" s="8" t="s">
        <v>107</v>
      </c>
      <c r="W175" s="8" t="s">
        <v>32</v>
      </c>
      <c r="X175" s="9" t="s">
        <v>108</v>
      </c>
      <c r="Y175" s="13"/>
      <c r="Z175" s="9" t="s">
        <v>1041</v>
      </c>
    </row>
    <row r="176" spans="1:26" x14ac:dyDescent="0.3">
      <c r="A176" s="7" t="s">
        <v>1042</v>
      </c>
      <c r="B176" s="8" t="s">
        <v>47</v>
      </c>
      <c r="C176" s="9"/>
      <c r="D176" s="8" t="s">
        <v>1043</v>
      </c>
      <c r="E176" s="8" t="s">
        <v>1044</v>
      </c>
      <c r="F176" s="8" t="s">
        <v>1045</v>
      </c>
      <c r="G176" s="8" t="s">
        <v>31</v>
      </c>
      <c r="H176" s="8" t="s">
        <v>30</v>
      </c>
      <c r="I176" s="10">
        <v>250</v>
      </c>
      <c r="J176" s="10">
        <v>190</v>
      </c>
      <c r="K176" s="11"/>
      <c r="L176" s="12">
        <f>IF(D176="","",SUMIFS(Movimientos!$D$2:$D$2000,Movimientos!$B$2:$B$2000,A176))</f>
        <v>0</v>
      </c>
      <c r="M176" s="12">
        <f t="shared" si="4"/>
        <v>190</v>
      </c>
      <c r="N176" s="11"/>
      <c r="O176" s="7" t="str">
        <f t="shared" ca="1" si="5"/>
        <v>Sin fecha</v>
      </c>
      <c r="P176" s="8" t="s">
        <v>1046</v>
      </c>
      <c r="Q176" s="8" t="s">
        <v>105</v>
      </c>
      <c r="R176" s="8" t="s">
        <v>116</v>
      </c>
      <c r="S176" s="8" t="s">
        <v>60</v>
      </c>
      <c r="T176" s="8"/>
      <c r="U176" s="8"/>
      <c r="V176" s="8" t="s">
        <v>107</v>
      </c>
      <c r="W176" s="8" t="s">
        <v>32</v>
      </c>
      <c r="X176" s="9" t="s">
        <v>108</v>
      </c>
      <c r="Y176" s="13"/>
      <c r="Z176" s="9" t="s">
        <v>1047</v>
      </c>
    </row>
    <row r="177" spans="1:26" x14ac:dyDescent="0.3">
      <c r="A177" s="7" t="s">
        <v>1048</v>
      </c>
      <c r="B177" s="8" t="s">
        <v>47</v>
      </c>
      <c r="C177" s="9"/>
      <c r="D177" s="8" t="s">
        <v>1049</v>
      </c>
      <c r="E177" s="8" t="s">
        <v>1050</v>
      </c>
      <c r="F177" s="8" t="s">
        <v>1051</v>
      </c>
      <c r="G177" s="8" t="s">
        <v>42</v>
      </c>
      <c r="H177" s="8" t="s">
        <v>41</v>
      </c>
      <c r="I177" s="10">
        <v>1000</v>
      </c>
      <c r="J177" s="10">
        <v>150</v>
      </c>
      <c r="K177" s="11"/>
      <c r="L177" s="12">
        <f>IF(D177="","",SUMIFS(Movimientos!$D$2:$D$2000,Movimientos!$B$2:$B$2000,A177))</f>
        <v>0</v>
      </c>
      <c r="M177" s="12">
        <f t="shared" si="4"/>
        <v>150</v>
      </c>
      <c r="N177" s="11">
        <v>44561</v>
      </c>
      <c r="O177" s="7" t="str">
        <f t="shared" ca="1" si="5"/>
        <v>VENCIDO</v>
      </c>
      <c r="P177" s="8" t="s">
        <v>1052</v>
      </c>
      <c r="Q177" s="8" t="s">
        <v>105</v>
      </c>
      <c r="R177" s="8" t="s">
        <v>106</v>
      </c>
      <c r="S177" s="8" t="s">
        <v>69</v>
      </c>
      <c r="T177" s="8"/>
      <c r="U177" s="8"/>
      <c r="V177" s="8" t="s">
        <v>107</v>
      </c>
      <c r="W177" s="8" t="s">
        <v>32</v>
      </c>
      <c r="X177" s="9" t="s">
        <v>108</v>
      </c>
      <c r="Y177" s="13"/>
      <c r="Z177" s="9" t="s">
        <v>1053</v>
      </c>
    </row>
    <row r="178" spans="1:26" x14ac:dyDescent="0.3">
      <c r="A178" s="7" t="s">
        <v>1054</v>
      </c>
      <c r="B178" s="8" t="s">
        <v>47</v>
      </c>
      <c r="C178" s="9"/>
      <c r="D178" s="8" t="s">
        <v>1055</v>
      </c>
      <c r="E178" s="8" t="s">
        <v>1056</v>
      </c>
      <c r="F178" s="8" t="s">
        <v>1057</v>
      </c>
      <c r="G178" s="8" t="s">
        <v>31</v>
      </c>
      <c r="H178" s="8" t="s">
        <v>30</v>
      </c>
      <c r="I178" s="10">
        <v>250</v>
      </c>
      <c r="J178" s="10">
        <v>2</v>
      </c>
      <c r="K178" s="11"/>
      <c r="L178" s="12">
        <f>IF(D178="","",SUMIFS(Movimientos!$D$2:$D$2000,Movimientos!$B$2:$B$2000,A178))</f>
        <v>0</v>
      </c>
      <c r="M178" s="12">
        <f t="shared" si="4"/>
        <v>2</v>
      </c>
      <c r="N178" s="11">
        <v>44287</v>
      </c>
      <c r="O178" s="7" t="str">
        <f t="shared" ca="1" si="5"/>
        <v>VENCIDO</v>
      </c>
      <c r="P178" s="8" t="s">
        <v>1058</v>
      </c>
      <c r="Q178" s="8" t="s">
        <v>115</v>
      </c>
      <c r="R178" s="8" t="s">
        <v>1059</v>
      </c>
      <c r="S178" s="8" t="s">
        <v>60</v>
      </c>
      <c r="T178" s="8"/>
      <c r="U178" s="8"/>
      <c r="V178" s="8" t="s">
        <v>107</v>
      </c>
      <c r="W178" s="8" t="s">
        <v>32</v>
      </c>
      <c r="X178" s="9" t="s">
        <v>108</v>
      </c>
      <c r="Y178" s="13"/>
      <c r="Z178" s="9" t="s">
        <v>1060</v>
      </c>
    </row>
    <row r="179" spans="1:26" x14ac:dyDescent="0.3">
      <c r="A179" s="7" t="s">
        <v>1061</v>
      </c>
      <c r="B179" s="8" t="s">
        <v>47</v>
      </c>
      <c r="C179" s="9"/>
      <c r="D179" s="8" t="s">
        <v>1062</v>
      </c>
      <c r="E179" s="8" t="s">
        <v>1063</v>
      </c>
      <c r="F179" s="8" t="s">
        <v>1064</v>
      </c>
      <c r="G179" s="8" t="s">
        <v>31</v>
      </c>
      <c r="H179" s="8" t="s">
        <v>30</v>
      </c>
      <c r="I179" s="10">
        <v>500</v>
      </c>
      <c r="J179" s="10">
        <v>400</v>
      </c>
      <c r="K179" s="11"/>
      <c r="L179" s="12">
        <f>IF(D179="","",SUMIFS(Movimientos!$D$2:$D$2000,Movimientos!$B$2:$B$2000,A179))</f>
        <v>0</v>
      </c>
      <c r="M179" s="12">
        <f t="shared" si="4"/>
        <v>400</v>
      </c>
      <c r="N179" s="11"/>
      <c r="O179" s="7" t="str">
        <f t="shared" ca="1" si="5"/>
        <v>Sin fecha</v>
      </c>
      <c r="P179" s="8" t="s">
        <v>1065</v>
      </c>
      <c r="Q179" s="8" t="s">
        <v>105</v>
      </c>
      <c r="R179" s="8" t="s">
        <v>106</v>
      </c>
      <c r="S179" s="8" t="s">
        <v>74</v>
      </c>
      <c r="T179" s="8"/>
      <c r="U179" s="8"/>
      <c r="V179" s="8" t="s">
        <v>107</v>
      </c>
      <c r="W179" s="8" t="s">
        <v>32</v>
      </c>
      <c r="X179" s="9" t="s">
        <v>108</v>
      </c>
      <c r="Y179" s="13"/>
      <c r="Z179" s="9" t="s">
        <v>1066</v>
      </c>
    </row>
    <row r="180" spans="1:26" x14ac:dyDescent="0.3">
      <c r="A180" s="7" t="s">
        <v>1067</v>
      </c>
      <c r="B180" s="8" t="s">
        <v>47</v>
      </c>
      <c r="C180" s="9"/>
      <c r="D180" s="8" t="s">
        <v>1068</v>
      </c>
      <c r="E180" s="8" t="s">
        <v>1069</v>
      </c>
      <c r="F180" s="8" t="s">
        <v>1070</v>
      </c>
      <c r="G180" s="8" t="s">
        <v>31</v>
      </c>
      <c r="H180" s="8" t="s">
        <v>30</v>
      </c>
      <c r="I180" s="10">
        <v>25</v>
      </c>
      <c r="J180" s="10">
        <v>15</v>
      </c>
      <c r="K180" s="11"/>
      <c r="L180" s="12">
        <f>IF(D180="","",SUMIFS(Movimientos!$D$2:$D$2000,Movimientos!$B$2:$B$2000,A180))</f>
        <v>0</v>
      </c>
      <c r="M180" s="12">
        <f t="shared" si="4"/>
        <v>15</v>
      </c>
      <c r="N180" s="11"/>
      <c r="O180" s="7" t="str">
        <f t="shared" ca="1" si="5"/>
        <v>Sin fecha</v>
      </c>
      <c r="P180" s="8" t="s">
        <v>1071</v>
      </c>
      <c r="Q180" s="8" t="s">
        <v>105</v>
      </c>
      <c r="R180" s="8" t="s">
        <v>106</v>
      </c>
      <c r="S180" s="8" t="s">
        <v>60</v>
      </c>
      <c r="T180" s="8"/>
      <c r="U180" s="8"/>
      <c r="V180" s="8" t="s">
        <v>107</v>
      </c>
      <c r="W180" s="8" t="s">
        <v>32</v>
      </c>
      <c r="X180" s="9" t="s">
        <v>108</v>
      </c>
      <c r="Y180" s="13"/>
      <c r="Z180" s="9" t="s">
        <v>1072</v>
      </c>
    </row>
    <row r="181" spans="1:26" x14ac:dyDescent="0.3">
      <c r="A181" s="7" t="s">
        <v>1073</v>
      </c>
      <c r="B181" s="8" t="s">
        <v>47</v>
      </c>
      <c r="C181" s="9"/>
      <c r="D181" s="8" t="s">
        <v>1074</v>
      </c>
      <c r="E181" s="8" t="s">
        <v>1075</v>
      </c>
      <c r="F181" s="8" t="s">
        <v>1076</v>
      </c>
      <c r="G181" s="8" t="s">
        <v>31</v>
      </c>
      <c r="H181" s="8" t="s">
        <v>30</v>
      </c>
      <c r="I181" s="10">
        <v>25</v>
      </c>
      <c r="J181" s="10">
        <v>15</v>
      </c>
      <c r="K181" s="11"/>
      <c r="L181" s="12">
        <f>IF(D181="","",SUMIFS(Movimientos!$D$2:$D$2000,Movimientos!$B$2:$B$2000,A181))</f>
        <v>0</v>
      </c>
      <c r="M181" s="12">
        <f t="shared" si="4"/>
        <v>15</v>
      </c>
      <c r="N181" s="11"/>
      <c r="O181" s="7" t="str">
        <f t="shared" ca="1" si="5"/>
        <v>Sin fecha</v>
      </c>
      <c r="P181" s="8"/>
      <c r="Q181" s="8" t="s">
        <v>105</v>
      </c>
      <c r="R181" s="8" t="s">
        <v>106</v>
      </c>
      <c r="S181" s="8" t="s">
        <v>72</v>
      </c>
      <c r="T181" s="8"/>
      <c r="U181" s="8"/>
      <c r="V181" s="8" t="s">
        <v>107</v>
      </c>
      <c r="W181" s="8" t="s">
        <v>32</v>
      </c>
      <c r="X181" s="9" t="s">
        <v>108</v>
      </c>
      <c r="Y181" s="13"/>
      <c r="Z181" s="9" t="s">
        <v>1077</v>
      </c>
    </row>
    <row r="182" spans="1:26" x14ac:dyDescent="0.3">
      <c r="A182" s="7" t="s">
        <v>1078</v>
      </c>
      <c r="B182" s="8" t="s">
        <v>47</v>
      </c>
      <c r="C182" s="9"/>
      <c r="D182" s="8" t="s">
        <v>1079</v>
      </c>
      <c r="E182" s="8" t="s">
        <v>1080</v>
      </c>
      <c r="F182" s="8" t="s">
        <v>1081</v>
      </c>
      <c r="G182" s="8" t="s">
        <v>31</v>
      </c>
      <c r="H182" s="8" t="s">
        <v>30</v>
      </c>
      <c r="I182" s="10">
        <v>100</v>
      </c>
      <c r="J182" s="10">
        <v>100</v>
      </c>
      <c r="K182" s="11"/>
      <c r="L182" s="12">
        <f>IF(D182="","",SUMIFS(Movimientos!$D$2:$D$2000,Movimientos!$B$2:$B$2000,A182))</f>
        <v>0</v>
      </c>
      <c r="M182" s="12">
        <f t="shared" si="4"/>
        <v>100</v>
      </c>
      <c r="N182" s="11"/>
      <c r="O182" s="7" t="str">
        <f t="shared" ca="1" si="5"/>
        <v>Sin fecha</v>
      </c>
      <c r="P182" s="8" t="s">
        <v>1082</v>
      </c>
      <c r="Q182" s="8" t="s">
        <v>105</v>
      </c>
      <c r="R182" s="8" t="s">
        <v>106</v>
      </c>
      <c r="S182" s="8" t="s">
        <v>60</v>
      </c>
      <c r="T182" s="8"/>
      <c r="U182" s="8"/>
      <c r="V182" s="8" t="s">
        <v>107</v>
      </c>
      <c r="W182" s="8" t="s">
        <v>32</v>
      </c>
      <c r="X182" s="9" t="s">
        <v>108</v>
      </c>
      <c r="Y182" s="13"/>
      <c r="Z182" s="9" t="s">
        <v>1083</v>
      </c>
    </row>
    <row r="183" spans="1:26" x14ac:dyDescent="0.3">
      <c r="A183" s="7" t="s">
        <v>1084</v>
      </c>
      <c r="B183" s="8" t="s">
        <v>47</v>
      </c>
      <c r="C183" s="9"/>
      <c r="D183" s="8" t="s">
        <v>1085</v>
      </c>
      <c r="E183" s="8" t="s">
        <v>737</v>
      </c>
      <c r="F183" s="8" t="s">
        <v>1086</v>
      </c>
      <c r="G183" s="8" t="s">
        <v>31</v>
      </c>
      <c r="H183" s="8" t="s">
        <v>30</v>
      </c>
      <c r="I183" s="10">
        <v>200</v>
      </c>
      <c r="J183" s="10">
        <v>150</v>
      </c>
      <c r="K183" s="11"/>
      <c r="L183" s="12">
        <f>IF(D183="","",SUMIFS(Movimientos!$D$2:$D$2000,Movimientos!$B$2:$B$2000,A183))</f>
        <v>0</v>
      </c>
      <c r="M183" s="12">
        <f t="shared" si="4"/>
        <v>150</v>
      </c>
      <c r="N183" s="11"/>
      <c r="O183" s="7" t="str">
        <f t="shared" ca="1" si="5"/>
        <v>Sin fecha</v>
      </c>
      <c r="P183" s="8" t="s">
        <v>1087</v>
      </c>
      <c r="Q183" s="8" t="s">
        <v>105</v>
      </c>
      <c r="R183" s="8" t="s">
        <v>106</v>
      </c>
      <c r="S183" s="8" t="s">
        <v>72</v>
      </c>
      <c r="T183" s="8"/>
      <c r="U183" s="8"/>
      <c r="V183" s="8" t="s">
        <v>107</v>
      </c>
      <c r="W183" s="8" t="s">
        <v>32</v>
      </c>
      <c r="X183" s="9" t="s">
        <v>108</v>
      </c>
      <c r="Y183" s="13"/>
      <c r="Z183" s="9" t="s">
        <v>1088</v>
      </c>
    </row>
    <row r="184" spans="1:26" x14ac:dyDescent="0.3">
      <c r="A184" s="7" t="s">
        <v>1089</v>
      </c>
      <c r="B184" s="8" t="s">
        <v>47</v>
      </c>
      <c r="C184" s="9"/>
      <c r="D184" s="8" t="s">
        <v>1090</v>
      </c>
      <c r="E184" s="8" t="s">
        <v>1091</v>
      </c>
      <c r="F184" s="8" t="s">
        <v>1092</v>
      </c>
      <c r="G184" s="8" t="s">
        <v>31</v>
      </c>
      <c r="H184" s="8" t="s">
        <v>30</v>
      </c>
      <c r="I184" s="10">
        <v>250</v>
      </c>
      <c r="J184" s="10">
        <v>180</v>
      </c>
      <c r="K184" s="11"/>
      <c r="L184" s="12">
        <f>IF(D184="","",SUMIFS(Movimientos!$D$2:$D$2000,Movimientos!$B$2:$B$2000,A184))</f>
        <v>0</v>
      </c>
      <c r="M184" s="12">
        <f t="shared" si="4"/>
        <v>180</v>
      </c>
      <c r="N184" s="11">
        <v>45107</v>
      </c>
      <c r="O184" s="7" t="str">
        <f t="shared" ca="1" si="5"/>
        <v>VENCIDO</v>
      </c>
      <c r="P184" s="8" t="s">
        <v>1093</v>
      </c>
      <c r="Q184" s="8" t="s">
        <v>105</v>
      </c>
      <c r="R184" s="8" t="s">
        <v>116</v>
      </c>
      <c r="S184" s="8" t="s">
        <v>72</v>
      </c>
      <c r="T184" s="8"/>
      <c r="U184" s="8" t="s">
        <v>1094</v>
      </c>
      <c r="V184" s="8" t="s">
        <v>107</v>
      </c>
      <c r="W184" s="8" t="s">
        <v>32</v>
      </c>
      <c r="X184" s="9" t="s">
        <v>108</v>
      </c>
      <c r="Y184" s="13"/>
      <c r="Z184" s="9" t="s">
        <v>1095</v>
      </c>
    </row>
    <row r="185" spans="1:26" x14ac:dyDescent="0.3">
      <c r="A185" s="7" t="s">
        <v>1096</v>
      </c>
      <c r="B185" s="8" t="s">
        <v>47</v>
      </c>
      <c r="C185" s="9"/>
      <c r="D185" s="8" t="s">
        <v>1097</v>
      </c>
      <c r="E185" s="8" t="s">
        <v>1098</v>
      </c>
      <c r="F185" s="8" t="s">
        <v>1099</v>
      </c>
      <c r="G185" s="8" t="s">
        <v>31</v>
      </c>
      <c r="H185" s="8" t="s">
        <v>30</v>
      </c>
      <c r="I185" s="10">
        <v>1000</v>
      </c>
      <c r="J185" s="10">
        <v>800</v>
      </c>
      <c r="K185" s="11"/>
      <c r="L185" s="12">
        <f>IF(D185="","",SUMIFS(Movimientos!$D$2:$D$2000,Movimientos!$B$2:$B$2000,A185))</f>
        <v>0</v>
      </c>
      <c r="M185" s="12">
        <f t="shared" si="4"/>
        <v>800</v>
      </c>
      <c r="N185" s="11"/>
      <c r="O185" s="7" t="str">
        <f t="shared" ca="1" si="5"/>
        <v>Sin fecha</v>
      </c>
      <c r="P185" s="8" t="s">
        <v>1100</v>
      </c>
      <c r="Q185" s="8" t="s">
        <v>115</v>
      </c>
      <c r="R185" s="8" t="s">
        <v>162</v>
      </c>
      <c r="S185" s="8" t="s">
        <v>71</v>
      </c>
      <c r="T185" s="8"/>
      <c r="U185" s="8"/>
      <c r="V185" s="8" t="s">
        <v>107</v>
      </c>
      <c r="W185" s="8" t="s">
        <v>32</v>
      </c>
      <c r="X185" s="9" t="s">
        <v>108</v>
      </c>
      <c r="Y185" s="13"/>
      <c r="Z185" s="9" t="s">
        <v>1101</v>
      </c>
    </row>
    <row r="186" spans="1:26" x14ac:dyDescent="0.3">
      <c r="A186" s="7" t="s">
        <v>1102</v>
      </c>
      <c r="B186" s="8" t="s">
        <v>47</v>
      </c>
      <c r="C186" s="9"/>
      <c r="D186" s="8" t="s">
        <v>1103</v>
      </c>
      <c r="E186" s="8"/>
      <c r="F186" s="8"/>
      <c r="G186" s="8" t="s">
        <v>42</v>
      </c>
      <c r="H186" s="8" t="s">
        <v>41</v>
      </c>
      <c r="I186" s="10">
        <v>200</v>
      </c>
      <c r="J186" s="10">
        <v>80</v>
      </c>
      <c r="K186" s="11"/>
      <c r="L186" s="12">
        <f>IF(D186="","",SUMIFS(Movimientos!$D$2:$D$2000,Movimientos!$B$2:$B$2000,A186))</f>
        <v>0</v>
      </c>
      <c r="M186" s="12">
        <f t="shared" si="4"/>
        <v>80</v>
      </c>
      <c r="N186" s="11"/>
      <c r="O186" s="7" t="str">
        <f t="shared" ca="1" si="5"/>
        <v>Sin fecha</v>
      </c>
      <c r="P186" s="8" t="s">
        <v>1104</v>
      </c>
      <c r="Q186" s="8" t="s">
        <v>105</v>
      </c>
      <c r="R186" s="8" t="s">
        <v>106</v>
      </c>
      <c r="S186" s="8" t="s">
        <v>74</v>
      </c>
      <c r="T186" s="8"/>
      <c r="U186" s="8"/>
      <c r="V186" s="8" t="s">
        <v>107</v>
      </c>
      <c r="W186" s="8" t="s">
        <v>32</v>
      </c>
      <c r="X186" s="9" t="s">
        <v>108</v>
      </c>
      <c r="Y186" s="13"/>
      <c r="Z186" s="9" t="s">
        <v>1105</v>
      </c>
    </row>
    <row r="187" spans="1:26" x14ac:dyDescent="0.3">
      <c r="A187" s="7" t="s">
        <v>1106</v>
      </c>
      <c r="B187" s="8" t="s">
        <v>36</v>
      </c>
      <c r="C187" s="9" t="s">
        <v>1107</v>
      </c>
      <c r="D187" s="8" t="s">
        <v>1108</v>
      </c>
      <c r="E187" s="8"/>
      <c r="F187" s="8"/>
      <c r="G187" s="8" t="s">
        <v>31</v>
      </c>
      <c r="H187" s="8" t="s">
        <v>52</v>
      </c>
      <c r="I187" s="10">
        <v>25</v>
      </c>
      <c r="J187" s="10">
        <v>25</v>
      </c>
      <c r="K187" s="11"/>
      <c r="L187" s="12">
        <f>IF(D187="","",SUMIFS(Movimientos!$D$2:$D$2000,Movimientos!$B$2:$B$2000,A187))</f>
        <v>0</v>
      </c>
      <c r="M187" s="12">
        <f t="shared" si="4"/>
        <v>25</v>
      </c>
      <c r="N187" s="11"/>
      <c r="O187" s="7" t="str">
        <f t="shared" ca="1" si="5"/>
        <v>Sin fecha</v>
      </c>
      <c r="P187" s="8" t="s">
        <v>1109</v>
      </c>
      <c r="Q187" s="8" t="s">
        <v>105</v>
      </c>
      <c r="R187" s="8"/>
      <c r="S187" s="8" t="s">
        <v>60</v>
      </c>
      <c r="T187" s="8"/>
      <c r="U187" s="8"/>
      <c r="V187" s="8" t="s">
        <v>107</v>
      </c>
      <c r="W187" s="8" t="s">
        <v>32</v>
      </c>
      <c r="X187" s="9" t="s">
        <v>108</v>
      </c>
      <c r="Y187" s="13"/>
      <c r="Z187" s="9" t="s">
        <v>1110</v>
      </c>
    </row>
    <row r="188" spans="1:26" x14ac:dyDescent="0.3">
      <c r="A188" s="7" t="s">
        <v>1111</v>
      </c>
      <c r="B188" s="8" t="s">
        <v>47</v>
      </c>
      <c r="C188" s="9"/>
      <c r="D188" s="8" t="s">
        <v>1112</v>
      </c>
      <c r="E188" s="8" t="s">
        <v>1113</v>
      </c>
      <c r="F188" s="8" t="s">
        <v>1114</v>
      </c>
      <c r="G188" s="8" t="s">
        <v>42</v>
      </c>
      <c r="H188" s="8" t="s">
        <v>41</v>
      </c>
      <c r="I188" s="10">
        <v>1000</v>
      </c>
      <c r="J188" s="10">
        <v>700</v>
      </c>
      <c r="K188" s="11"/>
      <c r="L188" s="12">
        <f>IF(D188="","",SUMIFS(Movimientos!$D$2:$D$2000,Movimientos!$B$2:$B$2000,A188))</f>
        <v>0</v>
      </c>
      <c r="M188" s="12">
        <f t="shared" si="4"/>
        <v>700</v>
      </c>
      <c r="N188" s="11">
        <v>44136</v>
      </c>
      <c r="O188" s="7" t="str">
        <f t="shared" ca="1" si="5"/>
        <v>VENCIDO</v>
      </c>
      <c r="P188" s="8" t="s">
        <v>1115</v>
      </c>
      <c r="Q188" s="8" t="s">
        <v>115</v>
      </c>
      <c r="R188" s="8" t="s">
        <v>1116</v>
      </c>
      <c r="S188" s="8" t="s">
        <v>74</v>
      </c>
      <c r="T188" s="8"/>
      <c r="U188" s="8"/>
      <c r="V188" s="8" t="s">
        <v>107</v>
      </c>
      <c r="W188" s="8" t="s">
        <v>32</v>
      </c>
      <c r="X188" s="9" t="s">
        <v>108</v>
      </c>
      <c r="Y188" s="13"/>
      <c r="Z188" s="9" t="s">
        <v>1117</v>
      </c>
    </row>
    <row r="189" spans="1:26" x14ac:dyDescent="0.3">
      <c r="A189" s="7" t="s">
        <v>1118</v>
      </c>
      <c r="B189" s="8" t="s">
        <v>47</v>
      </c>
      <c r="C189" s="9"/>
      <c r="D189" s="8" t="s">
        <v>1119</v>
      </c>
      <c r="E189" s="8"/>
      <c r="F189" s="8"/>
      <c r="G189" s="8" t="s">
        <v>31</v>
      </c>
      <c r="H189" s="8" t="s">
        <v>30</v>
      </c>
      <c r="I189" s="10">
        <v>500</v>
      </c>
      <c r="J189" s="10">
        <v>500</v>
      </c>
      <c r="K189" s="11"/>
      <c r="L189" s="12">
        <f>IF(D189="","",SUMIFS(Movimientos!$D$2:$D$2000,Movimientos!$B$2:$B$2000,A189))</f>
        <v>0</v>
      </c>
      <c r="M189" s="12">
        <f t="shared" si="4"/>
        <v>500</v>
      </c>
      <c r="N189" s="11">
        <v>46507</v>
      </c>
      <c r="O189" s="7" t="str">
        <f t="shared" ca="1" si="5"/>
        <v>Vigente</v>
      </c>
      <c r="P189" s="8" t="s">
        <v>1120</v>
      </c>
      <c r="Q189" s="8" t="s">
        <v>105</v>
      </c>
      <c r="R189" s="8" t="s">
        <v>106</v>
      </c>
      <c r="S189" s="8" t="s">
        <v>78</v>
      </c>
      <c r="T189" s="8"/>
      <c r="U189" s="8"/>
      <c r="V189" s="8" t="s">
        <v>1121</v>
      </c>
      <c r="W189" s="8" t="s">
        <v>32</v>
      </c>
      <c r="X189" s="9" t="s">
        <v>108</v>
      </c>
      <c r="Y189" s="13"/>
      <c r="Z189" s="9" t="s">
        <v>1122</v>
      </c>
    </row>
    <row r="190" spans="1:26" x14ac:dyDescent="0.3">
      <c r="A190" s="7" t="s">
        <v>1123</v>
      </c>
      <c r="B190" s="8" t="s">
        <v>47</v>
      </c>
      <c r="C190" s="9"/>
      <c r="D190" s="8" t="s">
        <v>1124</v>
      </c>
      <c r="E190" s="8"/>
      <c r="F190" s="8"/>
      <c r="G190" s="8" t="s">
        <v>31</v>
      </c>
      <c r="H190" s="8" t="s">
        <v>30</v>
      </c>
      <c r="I190" s="10">
        <v>1000</v>
      </c>
      <c r="J190" s="10">
        <v>1000</v>
      </c>
      <c r="K190" s="11"/>
      <c r="L190" s="12">
        <f>IF(D190="","",SUMIFS(Movimientos!$D$2:$D$2000,Movimientos!$B$2:$B$2000,A190))</f>
        <v>0</v>
      </c>
      <c r="M190" s="12">
        <f t="shared" si="4"/>
        <v>1000</v>
      </c>
      <c r="N190" s="11">
        <v>46691</v>
      </c>
      <c r="O190" s="7" t="str">
        <f t="shared" ca="1" si="5"/>
        <v>Vigente</v>
      </c>
      <c r="P190" s="8" t="s">
        <v>1125</v>
      </c>
      <c r="Q190" s="8" t="s">
        <v>105</v>
      </c>
      <c r="R190" s="8" t="s">
        <v>106</v>
      </c>
      <c r="S190" s="8" t="s">
        <v>78</v>
      </c>
      <c r="T190" s="8"/>
      <c r="U190" s="8"/>
      <c r="V190" s="8" t="s">
        <v>107</v>
      </c>
      <c r="W190" s="8" t="s">
        <v>32</v>
      </c>
      <c r="X190" s="9" t="s">
        <v>108</v>
      </c>
      <c r="Y190" s="13"/>
      <c r="Z190" s="9" t="s">
        <v>1126</v>
      </c>
    </row>
    <row r="191" spans="1:26" x14ac:dyDescent="0.3">
      <c r="A191" s="7" t="s">
        <v>1127</v>
      </c>
      <c r="B191" s="8" t="s">
        <v>47</v>
      </c>
      <c r="C191" s="9"/>
      <c r="D191" s="8" t="s">
        <v>1128</v>
      </c>
      <c r="E191" s="8"/>
      <c r="F191" s="8"/>
      <c r="G191" s="8" t="s">
        <v>31</v>
      </c>
      <c r="H191" s="8" t="s">
        <v>30</v>
      </c>
      <c r="I191" s="10">
        <v>500</v>
      </c>
      <c r="J191" s="10">
        <v>300</v>
      </c>
      <c r="K191" s="11"/>
      <c r="L191" s="12">
        <f>IF(D191="","",SUMIFS(Movimientos!$D$2:$D$2000,Movimientos!$B$2:$B$2000,A191))</f>
        <v>0</v>
      </c>
      <c r="M191" s="12">
        <f t="shared" si="4"/>
        <v>300</v>
      </c>
      <c r="N191" s="11"/>
      <c r="O191" s="7" t="str">
        <f t="shared" ca="1" si="5"/>
        <v>Sin fecha</v>
      </c>
      <c r="P191" s="8" t="s">
        <v>1129</v>
      </c>
      <c r="Q191" s="8" t="s">
        <v>105</v>
      </c>
      <c r="R191" s="8" t="s">
        <v>106</v>
      </c>
      <c r="S191" s="8" t="s">
        <v>78</v>
      </c>
      <c r="T191" s="8"/>
      <c r="U191" s="8"/>
      <c r="V191" s="8" t="s">
        <v>107</v>
      </c>
      <c r="W191" s="8" t="s">
        <v>32</v>
      </c>
      <c r="X191" s="9" t="s">
        <v>108</v>
      </c>
      <c r="Y191" s="13"/>
      <c r="Z191" s="9" t="s">
        <v>1130</v>
      </c>
    </row>
    <row r="192" spans="1:26" x14ac:dyDescent="0.3">
      <c r="A192" s="7" t="s">
        <v>1131</v>
      </c>
      <c r="B192" s="8" t="s">
        <v>47</v>
      </c>
      <c r="C192" s="9"/>
      <c r="D192" s="8" t="s">
        <v>1132</v>
      </c>
      <c r="E192" s="8"/>
      <c r="F192" s="8"/>
      <c r="G192" s="8" t="s">
        <v>31</v>
      </c>
      <c r="H192" s="8" t="s">
        <v>30</v>
      </c>
      <c r="I192" s="10">
        <v>500</v>
      </c>
      <c r="J192" s="10">
        <v>400</v>
      </c>
      <c r="K192" s="11"/>
      <c r="L192" s="12">
        <f>IF(D192="","",SUMIFS(Movimientos!$D$2:$D$2000,Movimientos!$B$2:$B$2000,A192))</f>
        <v>0</v>
      </c>
      <c r="M192" s="12">
        <f t="shared" si="4"/>
        <v>400</v>
      </c>
      <c r="N192" s="11">
        <v>44476</v>
      </c>
      <c r="O192" s="7" t="str">
        <f t="shared" ca="1" si="5"/>
        <v>VENCIDO</v>
      </c>
      <c r="P192" s="8" t="s">
        <v>1133</v>
      </c>
      <c r="Q192" s="8" t="s">
        <v>105</v>
      </c>
      <c r="R192" s="8" t="s">
        <v>106</v>
      </c>
      <c r="S192" s="8" t="s">
        <v>78</v>
      </c>
      <c r="T192" s="8"/>
      <c r="U192" s="8"/>
      <c r="V192" s="8" t="s">
        <v>107</v>
      </c>
      <c r="W192" s="8" t="s">
        <v>32</v>
      </c>
      <c r="X192" s="9" t="s">
        <v>108</v>
      </c>
      <c r="Y192" s="13"/>
      <c r="Z192" s="9" t="s">
        <v>1134</v>
      </c>
    </row>
    <row r="193" spans="1:26" x14ac:dyDescent="0.3">
      <c r="A193" s="7" t="s">
        <v>1135</v>
      </c>
      <c r="B193" s="8" t="s">
        <v>47</v>
      </c>
      <c r="C193" s="9"/>
      <c r="D193" s="8" t="s">
        <v>1136</v>
      </c>
      <c r="E193" s="8"/>
      <c r="F193" s="8"/>
      <c r="G193" s="8" t="s">
        <v>31</v>
      </c>
      <c r="H193" s="8" t="s">
        <v>30</v>
      </c>
      <c r="I193" s="10">
        <v>1000</v>
      </c>
      <c r="J193" s="10">
        <v>200</v>
      </c>
      <c r="K193" s="11"/>
      <c r="L193" s="12">
        <f>IF(D193="","",SUMIFS(Movimientos!$D$2:$D$2000,Movimientos!$B$2:$B$2000,A193))</f>
        <v>0</v>
      </c>
      <c r="M193" s="12">
        <f t="shared" si="4"/>
        <v>200</v>
      </c>
      <c r="N193" s="11"/>
      <c r="O193" s="7" t="str">
        <f t="shared" ca="1" si="5"/>
        <v>Sin fecha</v>
      </c>
      <c r="P193" s="8" t="s">
        <v>1137</v>
      </c>
      <c r="Q193" s="8" t="s">
        <v>105</v>
      </c>
      <c r="R193" s="8" t="s">
        <v>106</v>
      </c>
      <c r="S193" s="8" t="s">
        <v>78</v>
      </c>
      <c r="T193" s="8"/>
      <c r="U193" s="8"/>
      <c r="V193" s="8" t="s">
        <v>107</v>
      </c>
      <c r="W193" s="8" t="s">
        <v>32</v>
      </c>
      <c r="X193" s="9" t="s">
        <v>108</v>
      </c>
      <c r="Y193" s="13"/>
      <c r="Z193" s="9" t="s">
        <v>1138</v>
      </c>
    </row>
    <row r="194" spans="1:26" x14ac:dyDescent="0.3">
      <c r="A194" s="7" t="s">
        <v>1139</v>
      </c>
      <c r="B194" s="8" t="s">
        <v>47</v>
      </c>
      <c r="C194" s="9"/>
      <c r="D194" s="8" t="s">
        <v>1140</v>
      </c>
      <c r="E194" s="8" t="s">
        <v>1141</v>
      </c>
      <c r="F194" s="8" t="s">
        <v>1142</v>
      </c>
      <c r="G194" s="8" t="s">
        <v>31</v>
      </c>
      <c r="H194" s="8" t="s">
        <v>30</v>
      </c>
      <c r="I194" s="10">
        <v>250</v>
      </c>
      <c r="J194" s="10">
        <v>150</v>
      </c>
      <c r="K194" s="11"/>
      <c r="L194" s="12">
        <f>IF(D194="","",SUMIFS(Movimientos!$D$2:$D$2000,Movimientos!$B$2:$B$2000,A194))</f>
        <v>0</v>
      </c>
      <c r="M194" s="12">
        <f t="shared" ref="M194:M257" si="6">IF(J194="","",J194-L194)</f>
        <v>150</v>
      </c>
      <c r="N194" s="11"/>
      <c r="O194" s="7" t="str">
        <f t="shared" ref="O194:O257" ca="1" si="7">IF(D194="","",IF(N194="","Sin fecha",IF(N194&lt;TODAY(),"VENCIDO",IF(N194&lt;TODAY()+90,"Por vencer","Vigente"))))</f>
        <v>Sin fecha</v>
      </c>
      <c r="P194" s="8" t="s">
        <v>1143</v>
      </c>
      <c r="Q194" s="8" t="s">
        <v>621</v>
      </c>
      <c r="R194" s="8" t="s">
        <v>116</v>
      </c>
      <c r="S194" s="8" t="s">
        <v>74</v>
      </c>
      <c r="T194" s="8"/>
      <c r="U194" s="8"/>
      <c r="V194" s="8" t="s">
        <v>107</v>
      </c>
      <c r="W194" s="8" t="s">
        <v>32</v>
      </c>
      <c r="X194" s="9" t="s">
        <v>108</v>
      </c>
      <c r="Y194" s="13"/>
      <c r="Z194" s="9" t="s">
        <v>1144</v>
      </c>
    </row>
    <row r="195" spans="1:26" x14ac:dyDescent="0.3">
      <c r="A195" s="7" t="s">
        <v>1145</v>
      </c>
      <c r="B195" s="8" t="s">
        <v>36</v>
      </c>
      <c r="C195" s="9" t="s">
        <v>1146</v>
      </c>
      <c r="D195" s="8" t="s">
        <v>1147</v>
      </c>
      <c r="E195" s="8" t="s">
        <v>1148</v>
      </c>
      <c r="F195" s="8"/>
      <c r="G195" s="8" t="s">
        <v>31</v>
      </c>
      <c r="H195" s="8" t="s">
        <v>30</v>
      </c>
      <c r="I195" s="10">
        <v>250</v>
      </c>
      <c r="J195" s="10">
        <v>150</v>
      </c>
      <c r="K195" s="11"/>
      <c r="L195" s="12">
        <f>IF(D195="","",SUMIFS(Movimientos!$D$2:$D$2000,Movimientos!$B$2:$B$2000,A195))</f>
        <v>0</v>
      </c>
      <c r="M195" s="12">
        <f t="shared" si="6"/>
        <v>150</v>
      </c>
      <c r="N195" s="11"/>
      <c r="O195" s="7" t="str">
        <f t="shared" ca="1" si="7"/>
        <v>Sin fecha</v>
      </c>
      <c r="P195" s="8" t="s">
        <v>1149</v>
      </c>
      <c r="Q195" s="8" t="s">
        <v>105</v>
      </c>
      <c r="R195" s="8" t="s">
        <v>116</v>
      </c>
      <c r="S195" s="8" t="s">
        <v>72</v>
      </c>
      <c r="T195" s="8"/>
      <c r="U195" s="8"/>
      <c r="V195" s="8" t="s">
        <v>107</v>
      </c>
      <c r="W195" s="8" t="s">
        <v>32</v>
      </c>
      <c r="X195" s="9" t="s">
        <v>108</v>
      </c>
      <c r="Y195" s="13" t="s">
        <v>1150</v>
      </c>
      <c r="Z195" s="9" t="s">
        <v>1151</v>
      </c>
    </row>
    <row r="196" spans="1:26" x14ac:dyDescent="0.3">
      <c r="A196" s="7" t="s">
        <v>1152</v>
      </c>
      <c r="B196" s="8" t="s">
        <v>47</v>
      </c>
      <c r="C196" s="9"/>
      <c r="D196" s="8" t="s">
        <v>1153</v>
      </c>
      <c r="E196" s="8" t="s">
        <v>1154</v>
      </c>
      <c r="F196" s="8" t="s">
        <v>1155</v>
      </c>
      <c r="G196" s="8" t="s">
        <v>42</v>
      </c>
      <c r="H196" s="8" t="s">
        <v>41</v>
      </c>
      <c r="I196" s="10">
        <v>1000</v>
      </c>
      <c r="J196" s="10">
        <v>400</v>
      </c>
      <c r="K196" s="11"/>
      <c r="L196" s="12">
        <f>IF(D196="","",SUMIFS(Movimientos!$D$2:$D$2000,Movimientos!$B$2:$B$2000,A196))</f>
        <v>0</v>
      </c>
      <c r="M196" s="12">
        <f t="shared" si="6"/>
        <v>400</v>
      </c>
      <c r="N196" s="11">
        <v>46965</v>
      </c>
      <c r="O196" s="7" t="str">
        <f t="shared" ca="1" si="7"/>
        <v>Vigente</v>
      </c>
      <c r="P196" s="8" t="s">
        <v>1156</v>
      </c>
      <c r="Q196" s="8" t="s">
        <v>105</v>
      </c>
      <c r="R196" s="8" t="s">
        <v>106</v>
      </c>
      <c r="S196" s="8" t="s">
        <v>69</v>
      </c>
      <c r="T196" s="8"/>
      <c r="U196" s="8"/>
      <c r="V196" s="8" t="s">
        <v>107</v>
      </c>
      <c r="W196" s="8" t="s">
        <v>32</v>
      </c>
      <c r="X196" s="9" t="s">
        <v>108</v>
      </c>
      <c r="Y196" s="13"/>
      <c r="Z196" s="9" t="s">
        <v>1157</v>
      </c>
    </row>
    <row r="197" spans="1:26" x14ac:dyDescent="0.3">
      <c r="A197" s="7" t="s">
        <v>1158</v>
      </c>
      <c r="B197" s="8" t="s">
        <v>47</v>
      </c>
      <c r="C197" s="9"/>
      <c r="D197" s="8" t="s">
        <v>1159</v>
      </c>
      <c r="E197" s="8" t="s">
        <v>1160</v>
      </c>
      <c r="F197" s="8" t="s">
        <v>1161</v>
      </c>
      <c r="G197" s="8" t="s">
        <v>31</v>
      </c>
      <c r="H197" s="8" t="s">
        <v>30</v>
      </c>
      <c r="I197" s="10">
        <v>500</v>
      </c>
      <c r="J197" s="10">
        <v>400</v>
      </c>
      <c r="K197" s="11"/>
      <c r="L197" s="12">
        <f>IF(D197="","",SUMIFS(Movimientos!$D$2:$D$2000,Movimientos!$B$2:$B$2000,A197))</f>
        <v>0</v>
      </c>
      <c r="M197" s="12">
        <f t="shared" si="6"/>
        <v>400</v>
      </c>
      <c r="N197" s="11">
        <v>46143</v>
      </c>
      <c r="O197" s="7" t="str">
        <f t="shared" ca="1" si="7"/>
        <v>VENCIDO</v>
      </c>
      <c r="P197" s="8" t="s">
        <v>1162</v>
      </c>
      <c r="Q197" s="8" t="s">
        <v>115</v>
      </c>
      <c r="R197" s="8" t="s">
        <v>116</v>
      </c>
      <c r="S197" s="8" t="s">
        <v>60</v>
      </c>
      <c r="T197" s="8"/>
      <c r="U197" s="8"/>
      <c r="V197" s="8" t="s">
        <v>107</v>
      </c>
      <c r="W197" s="8" t="s">
        <v>32</v>
      </c>
      <c r="X197" s="9" t="s">
        <v>108</v>
      </c>
      <c r="Y197" s="13"/>
      <c r="Z197" s="9" t="s">
        <v>1163</v>
      </c>
    </row>
    <row r="198" spans="1:26" x14ac:dyDescent="0.3">
      <c r="A198" s="7" t="s">
        <v>1164</v>
      </c>
      <c r="B198" s="8" t="s">
        <v>47</v>
      </c>
      <c r="C198" s="9"/>
      <c r="D198" s="8" t="s">
        <v>1165</v>
      </c>
      <c r="E198" s="8" t="s">
        <v>1166</v>
      </c>
      <c r="F198" s="8" t="s">
        <v>1167</v>
      </c>
      <c r="G198" s="8" t="s">
        <v>31</v>
      </c>
      <c r="H198" s="8" t="s">
        <v>30</v>
      </c>
      <c r="I198" s="10">
        <v>200</v>
      </c>
      <c r="J198" s="10">
        <v>150</v>
      </c>
      <c r="K198" s="11"/>
      <c r="L198" s="12">
        <f>IF(D198="","",SUMIFS(Movimientos!$D$2:$D$2000,Movimientos!$B$2:$B$2000,A198))</f>
        <v>0</v>
      </c>
      <c r="M198" s="12">
        <f t="shared" si="6"/>
        <v>150</v>
      </c>
      <c r="N198" s="11"/>
      <c r="O198" s="7" t="str">
        <f t="shared" ca="1" si="7"/>
        <v>Sin fecha</v>
      </c>
      <c r="P198" s="8" t="s">
        <v>1168</v>
      </c>
      <c r="Q198" s="8" t="s">
        <v>105</v>
      </c>
      <c r="R198" s="8" t="s">
        <v>116</v>
      </c>
      <c r="S198" s="8" t="s">
        <v>72</v>
      </c>
      <c r="T198" s="8"/>
      <c r="U198" s="8"/>
      <c r="V198" s="8" t="s">
        <v>107</v>
      </c>
      <c r="W198" s="8" t="s">
        <v>32</v>
      </c>
      <c r="X198" s="9" t="s">
        <v>108</v>
      </c>
      <c r="Y198" s="13"/>
      <c r="Z198" s="9" t="s">
        <v>1169</v>
      </c>
    </row>
    <row r="199" spans="1:26" x14ac:dyDescent="0.3">
      <c r="A199" s="7" t="s">
        <v>1170</v>
      </c>
      <c r="B199" s="8" t="s">
        <v>47</v>
      </c>
      <c r="C199" s="9"/>
      <c r="D199" s="8" t="s">
        <v>1171</v>
      </c>
      <c r="E199" s="8" t="s">
        <v>1172</v>
      </c>
      <c r="F199" s="8" t="s">
        <v>1173</v>
      </c>
      <c r="G199" s="8" t="s">
        <v>31</v>
      </c>
      <c r="H199" s="8" t="s">
        <v>30</v>
      </c>
      <c r="I199" s="10">
        <v>1500</v>
      </c>
      <c r="J199" s="10">
        <v>1300</v>
      </c>
      <c r="K199" s="11"/>
      <c r="L199" s="12">
        <f>IF(D199="","",SUMIFS(Movimientos!$D$2:$D$2000,Movimientos!$B$2:$B$2000,A199))</f>
        <v>0</v>
      </c>
      <c r="M199" s="12">
        <f t="shared" si="6"/>
        <v>1300</v>
      </c>
      <c r="N199" s="11"/>
      <c r="O199" s="7" t="str">
        <f t="shared" ca="1" si="7"/>
        <v>Sin fecha</v>
      </c>
      <c r="P199" s="8" t="s">
        <v>1174</v>
      </c>
      <c r="Q199" s="8" t="s">
        <v>105</v>
      </c>
      <c r="R199" s="8" t="s">
        <v>116</v>
      </c>
      <c r="S199" s="8" t="s">
        <v>71</v>
      </c>
      <c r="T199" s="8"/>
      <c r="U199" s="8"/>
      <c r="V199" s="8" t="s">
        <v>107</v>
      </c>
      <c r="W199" s="8" t="s">
        <v>32</v>
      </c>
      <c r="X199" s="9" t="s">
        <v>108</v>
      </c>
      <c r="Y199" s="13"/>
      <c r="Z199" s="9" t="s">
        <v>1175</v>
      </c>
    </row>
    <row r="200" spans="1:26" x14ac:dyDescent="0.3">
      <c r="A200" s="7" t="s">
        <v>1176</v>
      </c>
      <c r="B200" s="8" t="s">
        <v>47</v>
      </c>
      <c r="C200" s="9"/>
      <c r="D200" s="8" t="s">
        <v>1177</v>
      </c>
      <c r="E200" s="8" t="s">
        <v>1178</v>
      </c>
      <c r="F200" s="8" t="s">
        <v>1179</v>
      </c>
      <c r="G200" s="8" t="s">
        <v>31</v>
      </c>
      <c r="H200" s="8" t="s">
        <v>30</v>
      </c>
      <c r="I200" s="10">
        <v>1000</v>
      </c>
      <c r="J200" s="10">
        <v>400</v>
      </c>
      <c r="K200" s="11"/>
      <c r="L200" s="12">
        <f>IF(D200="","",SUMIFS(Movimientos!$D$2:$D$2000,Movimientos!$B$2:$B$2000,A200))</f>
        <v>0</v>
      </c>
      <c r="M200" s="12">
        <f t="shared" si="6"/>
        <v>400</v>
      </c>
      <c r="N200" s="11"/>
      <c r="O200" s="7" t="str">
        <f t="shared" ca="1" si="7"/>
        <v>Sin fecha</v>
      </c>
      <c r="P200" s="8" t="s">
        <v>1180</v>
      </c>
      <c r="Q200" s="8" t="s">
        <v>105</v>
      </c>
      <c r="R200" s="8" t="s">
        <v>116</v>
      </c>
      <c r="S200" s="8" t="s">
        <v>60</v>
      </c>
      <c r="T200" s="8"/>
      <c r="U200" s="8"/>
      <c r="V200" s="8" t="s">
        <v>107</v>
      </c>
      <c r="W200" s="8" t="s">
        <v>32</v>
      </c>
      <c r="X200" s="9" t="s">
        <v>108</v>
      </c>
      <c r="Y200" s="13"/>
      <c r="Z200" s="9" t="s">
        <v>1181</v>
      </c>
    </row>
    <row r="201" spans="1:26" x14ac:dyDescent="0.3">
      <c r="A201" s="7" t="s">
        <v>1182</v>
      </c>
      <c r="B201" s="8" t="s">
        <v>47</v>
      </c>
      <c r="C201" s="9"/>
      <c r="D201" s="8" t="s">
        <v>1183</v>
      </c>
      <c r="E201" s="8" t="s">
        <v>1184</v>
      </c>
      <c r="F201" s="8" t="s">
        <v>1185</v>
      </c>
      <c r="G201" s="8" t="s">
        <v>31</v>
      </c>
      <c r="H201" s="8" t="s">
        <v>30</v>
      </c>
      <c r="I201" s="10">
        <v>1000</v>
      </c>
      <c r="J201" s="10">
        <v>150</v>
      </c>
      <c r="K201" s="11"/>
      <c r="L201" s="12">
        <f>IF(D201="","",SUMIFS(Movimientos!$D$2:$D$2000,Movimientos!$B$2:$B$2000,A201))</f>
        <v>0</v>
      </c>
      <c r="M201" s="12">
        <f t="shared" si="6"/>
        <v>150</v>
      </c>
      <c r="N201" s="11"/>
      <c r="O201" s="7" t="str">
        <f t="shared" ca="1" si="7"/>
        <v>Sin fecha</v>
      </c>
      <c r="P201" s="8" t="s">
        <v>1186</v>
      </c>
      <c r="Q201" s="8" t="s">
        <v>105</v>
      </c>
      <c r="R201" s="8" t="s">
        <v>116</v>
      </c>
      <c r="S201" s="8" t="s">
        <v>71</v>
      </c>
      <c r="T201" s="8"/>
      <c r="U201" s="8"/>
      <c r="V201" s="8" t="s">
        <v>107</v>
      </c>
      <c r="W201" s="8" t="s">
        <v>32</v>
      </c>
      <c r="X201" s="9" t="s">
        <v>108</v>
      </c>
      <c r="Y201" s="13"/>
      <c r="Z201" s="9" t="s">
        <v>1187</v>
      </c>
    </row>
    <row r="202" spans="1:26" x14ac:dyDescent="0.3">
      <c r="A202" s="7" t="s">
        <v>1188</v>
      </c>
      <c r="B202" s="8" t="s">
        <v>47</v>
      </c>
      <c r="C202" s="9"/>
      <c r="D202" s="8" t="s">
        <v>1189</v>
      </c>
      <c r="E202" s="8" t="s">
        <v>695</v>
      </c>
      <c r="F202" s="8"/>
      <c r="G202" s="8" t="s">
        <v>31</v>
      </c>
      <c r="H202" s="8" t="s">
        <v>30</v>
      </c>
      <c r="I202" s="10">
        <v>50</v>
      </c>
      <c r="J202" s="10">
        <v>50</v>
      </c>
      <c r="K202" s="11"/>
      <c r="L202" s="12">
        <f>IF(D202="","",SUMIFS(Movimientos!$D$2:$D$2000,Movimientos!$B$2:$B$2000,A202))</f>
        <v>0</v>
      </c>
      <c r="M202" s="12">
        <f t="shared" si="6"/>
        <v>50</v>
      </c>
      <c r="N202" s="11"/>
      <c r="O202" s="7" t="str">
        <f t="shared" ca="1" si="7"/>
        <v>Sin fecha</v>
      </c>
      <c r="P202" s="8"/>
      <c r="Q202" s="8"/>
      <c r="R202" s="8"/>
      <c r="S202" s="8" t="s">
        <v>60</v>
      </c>
      <c r="T202" s="8"/>
      <c r="U202" s="8"/>
      <c r="V202" s="8"/>
      <c r="W202" s="8" t="s">
        <v>43</v>
      </c>
      <c r="X202" s="9" t="s">
        <v>108</v>
      </c>
      <c r="Y202" s="13"/>
      <c r="Z202" s="9" t="s">
        <v>1190</v>
      </c>
    </row>
    <row r="203" spans="1:26" x14ac:dyDescent="0.3">
      <c r="A203" s="7" t="s">
        <v>1191</v>
      </c>
      <c r="B203" s="8" t="s">
        <v>47</v>
      </c>
      <c r="C203" s="9"/>
      <c r="D203" s="8" t="s">
        <v>1192</v>
      </c>
      <c r="E203" s="8"/>
      <c r="F203" s="8"/>
      <c r="G203" s="8" t="s">
        <v>31</v>
      </c>
      <c r="H203" s="8" t="s">
        <v>30</v>
      </c>
      <c r="I203" s="10">
        <v>10</v>
      </c>
      <c r="J203" s="10">
        <v>10</v>
      </c>
      <c r="K203" s="11"/>
      <c r="L203" s="12">
        <f>IF(D203="","",SUMIFS(Movimientos!$D$2:$D$2000,Movimientos!$B$2:$B$2000,A203))</f>
        <v>0</v>
      </c>
      <c r="M203" s="12">
        <f t="shared" si="6"/>
        <v>10</v>
      </c>
      <c r="N203" s="11"/>
      <c r="O203" s="7" t="str">
        <f t="shared" ca="1" si="7"/>
        <v>Sin fecha</v>
      </c>
      <c r="P203" s="8"/>
      <c r="Q203" s="8"/>
      <c r="R203" s="8"/>
      <c r="S203" s="8" t="s">
        <v>60</v>
      </c>
      <c r="T203" s="8"/>
      <c r="U203" s="8"/>
      <c r="V203" s="8"/>
      <c r="W203" s="8" t="s">
        <v>43</v>
      </c>
      <c r="X203" s="9" t="s">
        <v>108</v>
      </c>
      <c r="Y203" s="13"/>
      <c r="Z203" s="9" t="s">
        <v>1193</v>
      </c>
    </row>
    <row r="204" spans="1:26" x14ac:dyDescent="0.3">
      <c r="A204" s="7" t="s">
        <v>1194</v>
      </c>
      <c r="B204" s="8" t="s">
        <v>47</v>
      </c>
      <c r="C204" s="9"/>
      <c r="D204" s="8" t="s">
        <v>1195</v>
      </c>
      <c r="E204" s="8"/>
      <c r="F204" s="8"/>
      <c r="G204" s="8" t="s">
        <v>31</v>
      </c>
      <c r="H204" s="8" t="s">
        <v>30</v>
      </c>
      <c r="I204" s="10">
        <v>250</v>
      </c>
      <c r="J204" s="10">
        <v>250</v>
      </c>
      <c r="K204" s="11"/>
      <c r="L204" s="12">
        <f>IF(D204="","",SUMIFS(Movimientos!$D$2:$D$2000,Movimientos!$B$2:$B$2000,A204))</f>
        <v>0</v>
      </c>
      <c r="M204" s="12">
        <f t="shared" si="6"/>
        <v>250</v>
      </c>
      <c r="N204" s="11"/>
      <c r="O204" s="7" t="str">
        <f t="shared" ca="1" si="7"/>
        <v>Sin fecha</v>
      </c>
      <c r="P204" s="8"/>
      <c r="Q204" s="8"/>
      <c r="R204" s="8"/>
      <c r="S204" s="8" t="s">
        <v>60</v>
      </c>
      <c r="T204" s="8"/>
      <c r="U204" s="8"/>
      <c r="V204" s="8"/>
      <c r="W204" s="8" t="s">
        <v>43</v>
      </c>
      <c r="X204" s="9" t="s">
        <v>108</v>
      </c>
      <c r="Y204" s="13"/>
      <c r="Z204" s="9" t="s">
        <v>1196</v>
      </c>
    </row>
    <row r="205" spans="1:26" x14ac:dyDescent="0.3">
      <c r="A205" s="7" t="s">
        <v>1197</v>
      </c>
      <c r="B205" s="8" t="s">
        <v>47</v>
      </c>
      <c r="C205" s="9"/>
      <c r="D205" s="8" t="s">
        <v>1198</v>
      </c>
      <c r="E205" s="8"/>
      <c r="F205" s="8"/>
      <c r="G205" s="8" t="s">
        <v>31</v>
      </c>
      <c r="H205" s="8" t="s">
        <v>30</v>
      </c>
      <c r="I205" s="10">
        <v>100</v>
      </c>
      <c r="J205" s="10">
        <v>100</v>
      </c>
      <c r="K205" s="11"/>
      <c r="L205" s="12">
        <f>IF(D205="","",SUMIFS(Movimientos!$D$2:$D$2000,Movimientos!$B$2:$B$2000,A205))</f>
        <v>0</v>
      </c>
      <c r="M205" s="12">
        <f t="shared" si="6"/>
        <v>100</v>
      </c>
      <c r="N205" s="11"/>
      <c r="O205" s="7" t="str">
        <f t="shared" ca="1" si="7"/>
        <v>Sin fecha</v>
      </c>
      <c r="P205" s="8"/>
      <c r="Q205" s="8"/>
      <c r="R205" s="8"/>
      <c r="S205" s="8" t="s">
        <v>60</v>
      </c>
      <c r="T205" s="8"/>
      <c r="U205" s="8"/>
      <c r="V205" s="8"/>
      <c r="W205" s="8" t="s">
        <v>43</v>
      </c>
      <c r="X205" s="9" t="s">
        <v>108</v>
      </c>
      <c r="Y205" s="13"/>
      <c r="Z205" s="9" t="s">
        <v>1199</v>
      </c>
    </row>
    <row r="206" spans="1:26" x14ac:dyDescent="0.3">
      <c r="A206" s="7" t="s">
        <v>1200</v>
      </c>
      <c r="B206" s="8" t="s">
        <v>47</v>
      </c>
      <c r="C206" s="9"/>
      <c r="D206" s="8" t="s">
        <v>1171</v>
      </c>
      <c r="E206" s="8" t="s">
        <v>1201</v>
      </c>
      <c r="F206" s="8"/>
      <c r="G206" s="8" t="s">
        <v>31</v>
      </c>
      <c r="H206" s="8" t="s">
        <v>30</v>
      </c>
      <c r="I206" s="10">
        <v>35</v>
      </c>
      <c r="J206" s="10">
        <v>35</v>
      </c>
      <c r="K206" s="11"/>
      <c r="L206" s="12">
        <f>IF(D206="","",SUMIFS(Movimientos!$D$2:$D$2000,Movimientos!$B$2:$B$2000,A206))</f>
        <v>0</v>
      </c>
      <c r="M206" s="12">
        <f t="shared" si="6"/>
        <v>35</v>
      </c>
      <c r="N206" s="11"/>
      <c r="O206" s="7" t="str">
        <f t="shared" ca="1" si="7"/>
        <v>Sin fecha</v>
      </c>
      <c r="P206" s="8"/>
      <c r="Q206" s="8"/>
      <c r="R206" s="8"/>
      <c r="S206" s="8" t="s">
        <v>72</v>
      </c>
      <c r="T206" s="8"/>
      <c r="U206" s="8"/>
      <c r="V206" s="8"/>
      <c r="W206" s="8" t="s">
        <v>43</v>
      </c>
      <c r="X206" s="9" t="s">
        <v>108</v>
      </c>
      <c r="Y206" s="13"/>
      <c r="Z206" s="9" t="s">
        <v>1202</v>
      </c>
    </row>
    <row r="207" spans="1:26" x14ac:dyDescent="0.3">
      <c r="A207" s="7" t="s">
        <v>1203</v>
      </c>
      <c r="B207" s="8" t="s">
        <v>47</v>
      </c>
      <c r="C207" s="9"/>
      <c r="D207" s="8" t="s">
        <v>1204</v>
      </c>
      <c r="E207" s="8"/>
      <c r="F207" s="8"/>
      <c r="G207" s="8" t="s">
        <v>31</v>
      </c>
      <c r="H207" s="8" t="s">
        <v>30</v>
      </c>
      <c r="I207" s="10">
        <v>30</v>
      </c>
      <c r="J207" s="10">
        <v>30</v>
      </c>
      <c r="K207" s="11"/>
      <c r="L207" s="12">
        <f>IF(D207="","",SUMIFS(Movimientos!$D$2:$D$2000,Movimientos!$B$2:$B$2000,A207))</f>
        <v>0</v>
      </c>
      <c r="M207" s="12">
        <f t="shared" si="6"/>
        <v>30</v>
      </c>
      <c r="N207" s="11"/>
      <c r="O207" s="7" t="str">
        <f t="shared" ca="1" si="7"/>
        <v>Sin fecha</v>
      </c>
      <c r="P207" s="8"/>
      <c r="Q207" s="8"/>
      <c r="R207" s="8"/>
      <c r="S207" s="8" t="s">
        <v>60</v>
      </c>
      <c r="T207" s="8"/>
      <c r="U207" s="8"/>
      <c r="V207" s="8"/>
      <c r="W207" s="8" t="s">
        <v>43</v>
      </c>
      <c r="X207" s="9" t="s">
        <v>108</v>
      </c>
      <c r="Y207" s="13"/>
      <c r="Z207" s="9" t="s">
        <v>1205</v>
      </c>
    </row>
    <row r="208" spans="1:26" x14ac:dyDescent="0.3">
      <c r="A208" s="7" t="s">
        <v>1206</v>
      </c>
      <c r="B208" s="8" t="s">
        <v>47</v>
      </c>
      <c r="C208" s="9"/>
      <c r="D208" s="8" t="s">
        <v>1207</v>
      </c>
      <c r="E208" s="8" t="s">
        <v>1208</v>
      </c>
      <c r="F208" s="8"/>
      <c r="G208" s="8" t="s">
        <v>31</v>
      </c>
      <c r="H208" s="8" t="s">
        <v>30</v>
      </c>
      <c r="I208" s="10">
        <v>2000</v>
      </c>
      <c r="J208" s="10">
        <v>2000</v>
      </c>
      <c r="K208" s="11"/>
      <c r="L208" s="12">
        <f>IF(D208="","",SUMIFS(Movimientos!$D$2:$D$2000,Movimientos!$B$2:$B$2000,A208))</f>
        <v>0</v>
      </c>
      <c r="M208" s="12">
        <f t="shared" si="6"/>
        <v>2000</v>
      </c>
      <c r="N208" s="11"/>
      <c r="O208" s="7" t="str">
        <f t="shared" ca="1" si="7"/>
        <v>Sin fecha</v>
      </c>
      <c r="P208" s="8"/>
      <c r="Q208" s="8"/>
      <c r="R208" s="8"/>
      <c r="S208" s="8" t="s">
        <v>60</v>
      </c>
      <c r="T208" s="8"/>
      <c r="U208" s="8"/>
      <c r="V208" s="8"/>
      <c r="W208" s="8" t="s">
        <v>43</v>
      </c>
      <c r="X208" s="9" t="s">
        <v>108</v>
      </c>
      <c r="Y208" s="13"/>
      <c r="Z208" s="9" t="s">
        <v>1209</v>
      </c>
    </row>
    <row r="209" spans="1:26" x14ac:dyDescent="0.3">
      <c r="A209" s="7" t="s">
        <v>1210</v>
      </c>
      <c r="B209" s="8" t="s">
        <v>47</v>
      </c>
      <c r="C209" s="9"/>
      <c r="D209" s="8" t="s">
        <v>1211</v>
      </c>
      <c r="E209" s="8"/>
      <c r="F209" s="8"/>
      <c r="G209" s="8" t="s">
        <v>31</v>
      </c>
      <c r="H209" s="8" t="s">
        <v>30</v>
      </c>
      <c r="I209" s="10">
        <v>20</v>
      </c>
      <c r="J209" s="10">
        <v>20</v>
      </c>
      <c r="K209" s="11"/>
      <c r="L209" s="12">
        <f>IF(D209="","",SUMIFS(Movimientos!$D$2:$D$2000,Movimientos!$B$2:$B$2000,A209))</f>
        <v>0</v>
      </c>
      <c r="M209" s="12">
        <f t="shared" si="6"/>
        <v>20</v>
      </c>
      <c r="N209" s="11"/>
      <c r="O209" s="7" t="str">
        <f t="shared" ca="1" si="7"/>
        <v>Sin fecha</v>
      </c>
      <c r="P209" s="8"/>
      <c r="Q209" s="8"/>
      <c r="R209" s="8"/>
      <c r="S209" s="8" t="s">
        <v>60</v>
      </c>
      <c r="T209" s="8"/>
      <c r="U209" s="8"/>
      <c r="V209" s="8"/>
      <c r="W209" s="8" t="s">
        <v>43</v>
      </c>
      <c r="X209" s="9" t="s">
        <v>108</v>
      </c>
      <c r="Y209" s="13"/>
      <c r="Z209" s="9" t="s">
        <v>1212</v>
      </c>
    </row>
    <row r="210" spans="1:26" x14ac:dyDescent="0.3">
      <c r="A210" s="7" t="s">
        <v>1213</v>
      </c>
      <c r="B210" s="8" t="s">
        <v>47</v>
      </c>
      <c r="C210" s="9"/>
      <c r="D210" s="8" t="s">
        <v>1214</v>
      </c>
      <c r="E210" s="8"/>
      <c r="F210" s="8"/>
      <c r="G210" s="8" t="s">
        <v>31</v>
      </c>
      <c r="H210" s="8" t="s">
        <v>30</v>
      </c>
      <c r="I210" s="10">
        <v>15</v>
      </c>
      <c r="J210" s="10">
        <v>15</v>
      </c>
      <c r="K210" s="11"/>
      <c r="L210" s="12">
        <f>IF(D210="","",SUMIFS(Movimientos!$D$2:$D$2000,Movimientos!$B$2:$B$2000,A210))</f>
        <v>0</v>
      </c>
      <c r="M210" s="12">
        <f t="shared" si="6"/>
        <v>15</v>
      </c>
      <c r="N210" s="11"/>
      <c r="O210" s="7" t="str">
        <f t="shared" ca="1" si="7"/>
        <v>Sin fecha</v>
      </c>
      <c r="P210" s="8"/>
      <c r="Q210" s="8"/>
      <c r="R210" s="8"/>
      <c r="S210" s="8" t="s">
        <v>60</v>
      </c>
      <c r="T210" s="8"/>
      <c r="U210" s="8"/>
      <c r="V210" s="8"/>
      <c r="W210" s="8" t="s">
        <v>43</v>
      </c>
      <c r="X210" s="9" t="s">
        <v>108</v>
      </c>
      <c r="Y210" s="13"/>
      <c r="Z210" s="9" t="s">
        <v>1215</v>
      </c>
    </row>
    <row r="211" spans="1:26" x14ac:dyDescent="0.3">
      <c r="A211" s="7" t="s">
        <v>1216</v>
      </c>
      <c r="B211" s="8" t="s">
        <v>47</v>
      </c>
      <c r="C211" s="9"/>
      <c r="D211" s="8" t="s">
        <v>1217</v>
      </c>
      <c r="E211" s="8"/>
      <c r="F211" s="8"/>
      <c r="G211" s="8" t="s">
        <v>31</v>
      </c>
      <c r="H211" s="8" t="s">
        <v>30</v>
      </c>
      <c r="I211" s="10">
        <v>20</v>
      </c>
      <c r="J211" s="10">
        <v>20</v>
      </c>
      <c r="K211" s="11"/>
      <c r="L211" s="12">
        <f>IF(D211="","",SUMIFS(Movimientos!$D$2:$D$2000,Movimientos!$B$2:$B$2000,A211))</f>
        <v>0</v>
      </c>
      <c r="M211" s="12">
        <f t="shared" si="6"/>
        <v>20</v>
      </c>
      <c r="N211" s="11"/>
      <c r="O211" s="7" t="str">
        <f t="shared" ca="1" si="7"/>
        <v>Sin fecha</v>
      </c>
      <c r="P211" s="8"/>
      <c r="Q211" s="8"/>
      <c r="R211" s="8"/>
      <c r="S211" s="8" t="s">
        <v>60</v>
      </c>
      <c r="T211" s="8"/>
      <c r="U211" s="8"/>
      <c r="V211" s="8"/>
      <c r="W211" s="8" t="s">
        <v>43</v>
      </c>
      <c r="X211" s="9" t="s">
        <v>108</v>
      </c>
      <c r="Y211" s="13"/>
      <c r="Z211" s="9" t="s">
        <v>1218</v>
      </c>
    </row>
    <row r="212" spans="1:26" x14ac:dyDescent="0.3">
      <c r="A212" s="7" t="s">
        <v>1219</v>
      </c>
      <c r="B212" s="8" t="s">
        <v>47</v>
      </c>
      <c r="C212" s="9"/>
      <c r="D212" s="8" t="s">
        <v>1220</v>
      </c>
      <c r="E212" s="8"/>
      <c r="F212" s="8"/>
      <c r="G212" s="8" t="s">
        <v>42</v>
      </c>
      <c r="H212" s="8" t="s">
        <v>41</v>
      </c>
      <c r="I212" s="10">
        <v>50</v>
      </c>
      <c r="J212" s="10">
        <v>50</v>
      </c>
      <c r="K212" s="11"/>
      <c r="L212" s="12">
        <f>IF(D212="","",SUMIFS(Movimientos!$D$2:$D$2000,Movimientos!$B$2:$B$2000,A212))</f>
        <v>0</v>
      </c>
      <c r="M212" s="12">
        <f t="shared" si="6"/>
        <v>50</v>
      </c>
      <c r="N212" s="11"/>
      <c r="O212" s="7" t="str">
        <f t="shared" ca="1" si="7"/>
        <v>Sin fecha</v>
      </c>
      <c r="P212" s="8"/>
      <c r="Q212" s="8"/>
      <c r="R212" s="8"/>
      <c r="S212" s="8" t="s">
        <v>60</v>
      </c>
      <c r="T212" s="8"/>
      <c r="U212" s="8"/>
      <c r="V212" s="8"/>
      <c r="W212" s="8" t="s">
        <v>43</v>
      </c>
      <c r="X212" s="9" t="s">
        <v>108</v>
      </c>
      <c r="Y212" s="13"/>
      <c r="Z212" s="9" t="s">
        <v>1221</v>
      </c>
    </row>
    <row r="213" spans="1:26" x14ac:dyDescent="0.3">
      <c r="A213" s="7" t="s">
        <v>1222</v>
      </c>
      <c r="B213" s="8" t="s">
        <v>47</v>
      </c>
      <c r="C213" s="9"/>
      <c r="D213" s="8" t="s">
        <v>1223</v>
      </c>
      <c r="E213" s="8" t="s">
        <v>643</v>
      </c>
      <c r="F213" s="8"/>
      <c r="G213" s="8" t="s">
        <v>31</v>
      </c>
      <c r="H213" s="8" t="s">
        <v>30</v>
      </c>
      <c r="I213" s="10">
        <v>20</v>
      </c>
      <c r="J213" s="10">
        <v>20</v>
      </c>
      <c r="K213" s="11"/>
      <c r="L213" s="12">
        <f>IF(D213="","",SUMIFS(Movimientos!$D$2:$D$2000,Movimientos!$B$2:$B$2000,A213))</f>
        <v>0</v>
      </c>
      <c r="M213" s="12">
        <f t="shared" si="6"/>
        <v>20</v>
      </c>
      <c r="N213" s="11"/>
      <c r="O213" s="7" t="str">
        <f t="shared" ca="1" si="7"/>
        <v>Sin fecha</v>
      </c>
      <c r="P213" s="8"/>
      <c r="Q213" s="8"/>
      <c r="R213" s="8"/>
      <c r="S213" s="8" t="s">
        <v>60</v>
      </c>
      <c r="T213" s="8"/>
      <c r="U213" s="8"/>
      <c r="V213" s="8"/>
      <c r="W213" s="8" t="s">
        <v>43</v>
      </c>
      <c r="X213" s="9" t="s">
        <v>108</v>
      </c>
      <c r="Y213" s="13"/>
      <c r="Z213" s="9" t="s">
        <v>1224</v>
      </c>
    </row>
    <row r="214" spans="1:26" x14ac:dyDescent="0.3">
      <c r="A214" s="7" t="s">
        <v>1225</v>
      </c>
      <c r="B214" s="8" t="s">
        <v>47</v>
      </c>
      <c r="C214" s="9"/>
      <c r="D214" s="8" t="s">
        <v>1226</v>
      </c>
      <c r="E214" s="8"/>
      <c r="F214" s="8"/>
      <c r="G214" s="8" t="s">
        <v>31</v>
      </c>
      <c r="H214" s="8" t="s">
        <v>30</v>
      </c>
      <c r="I214" s="10">
        <v>36</v>
      </c>
      <c r="J214" s="10">
        <v>36</v>
      </c>
      <c r="K214" s="11"/>
      <c r="L214" s="12">
        <f>IF(D214="","",SUMIFS(Movimientos!$D$2:$D$2000,Movimientos!$B$2:$B$2000,A214))</f>
        <v>0</v>
      </c>
      <c r="M214" s="12">
        <f t="shared" si="6"/>
        <v>36</v>
      </c>
      <c r="N214" s="11"/>
      <c r="O214" s="7" t="str">
        <f t="shared" ca="1" si="7"/>
        <v>Sin fecha</v>
      </c>
      <c r="P214" s="8"/>
      <c r="Q214" s="8"/>
      <c r="R214" s="8"/>
      <c r="S214" s="8" t="s">
        <v>72</v>
      </c>
      <c r="T214" s="8"/>
      <c r="U214" s="8"/>
      <c r="V214" s="8"/>
      <c r="W214" s="8" t="s">
        <v>43</v>
      </c>
      <c r="X214" s="9" t="s">
        <v>108</v>
      </c>
      <c r="Y214" s="13"/>
      <c r="Z214" s="9" t="s">
        <v>1227</v>
      </c>
    </row>
    <row r="215" spans="1:26" x14ac:dyDescent="0.3">
      <c r="A215" s="7" t="s">
        <v>1228</v>
      </c>
      <c r="B215" s="8" t="s">
        <v>47</v>
      </c>
      <c r="C215" s="9"/>
      <c r="D215" s="8" t="s">
        <v>648</v>
      </c>
      <c r="E215" s="8"/>
      <c r="F215" s="8"/>
      <c r="G215" s="8" t="s">
        <v>31</v>
      </c>
      <c r="H215" s="8" t="s">
        <v>30</v>
      </c>
      <c r="I215" s="10">
        <v>15</v>
      </c>
      <c r="J215" s="10">
        <v>15</v>
      </c>
      <c r="K215" s="11"/>
      <c r="L215" s="12">
        <f>IF(D215="","",SUMIFS(Movimientos!$D$2:$D$2000,Movimientos!$B$2:$B$2000,A215))</f>
        <v>0</v>
      </c>
      <c r="M215" s="12">
        <f t="shared" si="6"/>
        <v>15</v>
      </c>
      <c r="N215" s="11"/>
      <c r="O215" s="7" t="str">
        <f t="shared" ca="1" si="7"/>
        <v>Sin fecha</v>
      </c>
      <c r="P215" s="8"/>
      <c r="Q215" s="8"/>
      <c r="R215" s="8"/>
      <c r="S215" s="8" t="s">
        <v>70</v>
      </c>
      <c r="T215" s="8"/>
      <c r="U215" s="8"/>
      <c r="V215" s="8"/>
      <c r="W215" s="8" t="s">
        <v>43</v>
      </c>
      <c r="X215" s="9" t="s">
        <v>108</v>
      </c>
      <c r="Y215" s="13"/>
      <c r="Z215" s="9" t="s">
        <v>1229</v>
      </c>
    </row>
    <row r="216" spans="1:26" x14ac:dyDescent="0.3">
      <c r="A216" s="7" t="s">
        <v>1230</v>
      </c>
      <c r="B216" s="8" t="s">
        <v>47</v>
      </c>
      <c r="C216" s="9"/>
      <c r="D216" s="8" t="s">
        <v>1231</v>
      </c>
      <c r="E216" s="8"/>
      <c r="F216" s="8"/>
      <c r="G216" s="8" t="s">
        <v>42</v>
      </c>
      <c r="H216" s="8" t="s">
        <v>30</v>
      </c>
      <c r="I216" s="10">
        <v>25</v>
      </c>
      <c r="J216" s="10">
        <v>25</v>
      </c>
      <c r="K216" s="11"/>
      <c r="L216" s="12">
        <f>IF(D216="","",SUMIFS(Movimientos!$D$2:$D$2000,Movimientos!$B$2:$B$2000,A216))</f>
        <v>0</v>
      </c>
      <c r="M216" s="12">
        <f t="shared" si="6"/>
        <v>25</v>
      </c>
      <c r="N216" s="11"/>
      <c r="O216" s="7" t="str">
        <f t="shared" ca="1" si="7"/>
        <v>Sin fecha</v>
      </c>
      <c r="P216" s="8"/>
      <c r="Q216" s="8"/>
      <c r="R216" s="8"/>
      <c r="S216" s="8" t="s">
        <v>60</v>
      </c>
      <c r="T216" s="8"/>
      <c r="U216" s="8"/>
      <c r="V216" s="8"/>
      <c r="W216" s="8" t="s">
        <v>43</v>
      </c>
      <c r="X216" s="9" t="s">
        <v>108</v>
      </c>
      <c r="Y216" s="13"/>
      <c r="Z216" s="9" t="s">
        <v>1232</v>
      </c>
    </row>
    <row r="217" spans="1:26" x14ac:dyDescent="0.3">
      <c r="A217" s="7" t="s">
        <v>1233</v>
      </c>
      <c r="B217" s="8" t="s">
        <v>47</v>
      </c>
      <c r="C217" s="9"/>
      <c r="D217" s="8" t="s">
        <v>1234</v>
      </c>
      <c r="E217" s="8"/>
      <c r="F217" s="8"/>
      <c r="G217" s="8" t="s">
        <v>31</v>
      </c>
      <c r="H217" s="8" t="s">
        <v>30</v>
      </c>
      <c r="I217" s="10">
        <v>15</v>
      </c>
      <c r="J217" s="10">
        <v>15</v>
      </c>
      <c r="K217" s="11"/>
      <c r="L217" s="12">
        <f>IF(D217="","",SUMIFS(Movimientos!$D$2:$D$2000,Movimientos!$B$2:$B$2000,A217))</f>
        <v>0</v>
      </c>
      <c r="M217" s="12">
        <f t="shared" si="6"/>
        <v>15</v>
      </c>
      <c r="N217" s="11"/>
      <c r="O217" s="7" t="str">
        <f t="shared" ca="1" si="7"/>
        <v>Sin fecha</v>
      </c>
      <c r="P217" s="8"/>
      <c r="Q217" s="8"/>
      <c r="R217" s="8"/>
      <c r="S217" s="8" t="s">
        <v>60</v>
      </c>
      <c r="T217" s="8"/>
      <c r="U217" s="8"/>
      <c r="V217" s="8"/>
      <c r="W217" s="8" t="s">
        <v>43</v>
      </c>
      <c r="X217" s="9" t="s">
        <v>108</v>
      </c>
      <c r="Y217" s="13"/>
      <c r="Z217" s="9" t="s">
        <v>1235</v>
      </c>
    </row>
    <row r="218" spans="1:26" x14ac:dyDescent="0.3">
      <c r="A218" s="7" t="s">
        <v>1236</v>
      </c>
      <c r="B218" s="8" t="s">
        <v>47</v>
      </c>
      <c r="C218" s="9"/>
      <c r="D218" s="8" t="s">
        <v>1237</v>
      </c>
      <c r="E218" s="8" t="s">
        <v>1238</v>
      </c>
      <c r="F218" s="8"/>
      <c r="G218" s="8" t="s">
        <v>31</v>
      </c>
      <c r="H218" s="8" t="s">
        <v>30</v>
      </c>
      <c r="I218" s="10">
        <v>15</v>
      </c>
      <c r="J218" s="10">
        <v>15</v>
      </c>
      <c r="K218" s="11"/>
      <c r="L218" s="12">
        <f>IF(D218="","",SUMIFS(Movimientos!$D$2:$D$2000,Movimientos!$B$2:$B$2000,A218))</f>
        <v>0</v>
      </c>
      <c r="M218" s="12">
        <f t="shared" si="6"/>
        <v>15</v>
      </c>
      <c r="N218" s="11"/>
      <c r="O218" s="7" t="str">
        <f t="shared" ca="1" si="7"/>
        <v>Sin fecha</v>
      </c>
      <c r="P218" s="8"/>
      <c r="Q218" s="8"/>
      <c r="R218" s="8"/>
      <c r="S218" s="8" t="s">
        <v>60</v>
      </c>
      <c r="T218" s="8"/>
      <c r="U218" s="8"/>
      <c r="V218" s="8"/>
      <c r="W218" s="8" t="s">
        <v>43</v>
      </c>
      <c r="X218" s="9" t="s">
        <v>108</v>
      </c>
      <c r="Y218" s="13"/>
      <c r="Z218" s="9" t="s">
        <v>1239</v>
      </c>
    </row>
    <row r="219" spans="1:26" x14ac:dyDescent="0.3">
      <c r="A219" s="7" t="s">
        <v>1240</v>
      </c>
      <c r="B219" s="8" t="s">
        <v>47</v>
      </c>
      <c r="C219" s="9"/>
      <c r="D219" s="8" t="s">
        <v>1241</v>
      </c>
      <c r="E219" s="8" t="s">
        <v>1242</v>
      </c>
      <c r="F219" s="8"/>
      <c r="G219" s="8" t="s">
        <v>31</v>
      </c>
      <c r="H219" s="8" t="s">
        <v>30</v>
      </c>
      <c r="I219" s="10">
        <v>6</v>
      </c>
      <c r="J219" s="10">
        <v>6</v>
      </c>
      <c r="K219" s="11"/>
      <c r="L219" s="12">
        <f>IF(D219="","",SUMIFS(Movimientos!$D$2:$D$2000,Movimientos!$B$2:$B$2000,A219))</f>
        <v>0</v>
      </c>
      <c r="M219" s="12">
        <f t="shared" si="6"/>
        <v>6</v>
      </c>
      <c r="N219" s="11"/>
      <c r="O219" s="7" t="str">
        <f t="shared" ca="1" si="7"/>
        <v>Sin fecha</v>
      </c>
      <c r="P219" s="8"/>
      <c r="Q219" s="8"/>
      <c r="R219" s="8"/>
      <c r="S219" s="8" t="s">
        <v>74</v>
      </c>
      <c r="T219" s="8"/>
      <c r="U219" s="8"/>
      <c r="V219" s="8"/>
      <c r="W219" s="8" t="s">
        <v>43</v>
      </c>
      <c r="X219" s="9" t="s">
        <v>108</v>
      </c>
      <c r="Y219" s="13"/>
      <c r="Z219" s="9" t="s">
        <v>1243</v>
      </c>
    </row>
    <row r="220" spans="1:26" x14ac:dyDescent="0.3">
      <c r="A220" s="7" t="s">
        <v>1244</v>
      </c>
      <c r="B220" s="8" t="s">
        <v>47</v>
      </c>
      <c r="C220" s="9"/>
      <c r="D220" s="8" t="s">
        <v>943</v>
      </c>
      <c r="E220" s="8"/>
      <c r="F220" s="8"/>
      <c r="G220" s="8" t="s">
        <v>31</v>
      </c>
      <c r="H220" s="8" t="s">
        <v>30</v>
      </c>
      <c r="I220" s="10">
        <v>20</v>
      </c>
      <c r="J220" s="10">
        <v>20</v>
      </c>
      <c r="K220" s="11"/>
      <c r="L220" s="12">
        <f>IF(D220="","",SUMIFS(Movimientos!$D$2:$D$2000,Movimientos!$B$2:$B$2000,A220))</f>
        <v>0</v>
      </c>
      <c r="M220" s="12">
        <f t="shared" si="6"/>
        <v>20</v>
      </c>
      <c r="N220" s="11"/>
      <c r="O220" s="7" t="str">
        <f t="shared" ca="1" si="7"/>
        <v>Sin fecha</v>
      </c>
      <c r="P220" s="8"/>
      <c r="Q220" s="8"/>
      <c r="R220" s="8"/>
      <c r="S220" s="8" t="s">
        <v>60</v>
      </c>
      <c r="T220" s="8"/>
      <c r="U220" s="8"/>
      <c r="V220" s="8"/>
      <c r="W220" s="8" t="s">
        <v>43</v>
      </c>
      <c r="X220" s="9" t="s">
        <v>108</v>
      </c>
      <c r="Y220" s="13"/>
      <c r="Z220" s="9" t="s">
        <v>1245</v>
      </c>
    </row>
    <row r="221" spans="1:26" x14ac:dyDescent="0.3">
      <c r="A221" s="7" t="s">
        <v>1246</v>
      </c>
      <c r="B221" s="8" t="s">
        <v>47</v>
      </c>
      <c r="C221" s="9"/>
      <c r="D221" s="8" t="s">
        <v>1247</v>
      </c>
      <c r="E221" s="8" t="s">
        <v>1248</v>
      </c>
      <c r="F221" s="8"/>
      <c r="G221" s="8" t="s">
        <v>31</v>
      </c>
      <c r="H221" s="8" t="s">
        <v>30</v>
      </c>
      <c r="I221" s="10">
        <v>15</v>
      </c>
      <c r="J221" s="10">
        <v>15</v>
      </c>
      <c r="K221" s="11"/>
      <c r="L221" s="12">
        <f>IF(D221="","",SUMIFS(Movimientos!$D$2:$D$2000,Movimientos!$B$2:$B$2000,A221))</f>
        <v>0</v>
      </c>
      <c r="M221" s="12">
        <f t="shared" si="6"/>
        <v>15</v>
      </c>
      <c r="N221" s="11"/>
      <c r="O221" s="7" t="str">
        <f t="shared" ca="1" si="7"/>
        <v>Sin fecha</v>
      </c>
      <c r="P221" s="8"/>
      <c r="Q221" s="8"/>
      <c r="R221" s="8"/>
      <c r="S221" s="8" t="s">
        <v>74</v>
      </c>
      <c r="T221" s="8"/>
      <c r="U221" s="8"/>
      <c r="V221" s="8"/>
      <c r="W221" s="8" t="s">
        <v>43</v>
      </c>
      <c r="X221" s="9" t="s">
        <v>108</v>
      </c>
      <c r="Y221" s="13"/>
      <c r="Z221" s="9" t="s">
        <v>1249</v>
      </c>
    </row>
    <row r="222" spans="1:26" x14ac:dyDescent="0.3">
      <c r="A222" s="7" t="s">
        <v>1250</v>
      </c>
      <c r="B222" s="8" t="s">
        <v>47</v>
      </c>
      <c r="C222" s="9"/>
      <c r="D222" s="8" t="s">
        <v>1251</v>
      </c>
      <c r="E222" s="8" t="s">
        <v>860</v>
      </c>
      <c r="F222" s="8"/>
      <c r="G222" s="8" t="s">
        <v>31</v>
      </c>
      <c r="H222" s="8" t="s">
        <v>30</v>
      </c>
      <c r="I222" s="10">
        <v>9</v>
      </c>
      <c r="J222" s="10">
        <v>9</v>
      </c>
      <c r="K222" s="11"/>
      <c r="L222" s="12">
        <f>IF(D222="","",SUMIFS(Movimientos!$D$2:$D$2000,Movimientos!$B$2:$B$2000,A222))</f>
        <v>0</v>
      </c>
      <c r="M222" s="12">
        <f t="shared" si="6"/>
        <v>9</v>
      </c>
      <c r="N222" s="11"/>
      <c r="O222" s="7" t="str">
        <f t="shared" ca="1" si="7"/>
        <v>Sin fecha</v>
      </c>
      <c r="P222" s="8"/>
      <c r="Q222" s="8"/>
      <c r="R222" s="8"/>
      <c r="S222" s="8" t="s">
        <v>71</v>
      </c>
      <c r="T222" s="8"/>
      <c r="U222" s="8"/>
      <c r="V222" s="8"/>
      <c r="W222" s="8" t="s">
        <v>43</v>
      </c>
      <c r="X222" s="9" t="s">
        <v>108</v>
      </c>
      <c r="Y222" s="13"/>
      <c r="Z222" s="9" t="s">
        <v>1252</v>
      </c>
    </row>
    <row r="223" spans="1:26" x14ac:dyDescent="0.3">
      <c r="A223" s="7" t="s">
        <v>1253</v>
      </c>
      <c r="B223" s="8" t="s">
        <v>47</v>
      </c>
      <c r="C223" s="9"/>
      <c r="D223" s="8" t="s">
        <v>1254</v>
      </c>
      <c r="E223" s="8"/>
      <c r="F223" s="8"/>
      <c r="G223" s="8" t="s">
        <v>31</v>
      </c>
      <c r="H223" s="8" t="s">
        <v>30</v>
      </c>
      <c r="I223" s="10">
        <v>8</v>
      </c>
      <c r="J223" s="10">
        <v>8</v>
      </c>
      <c r="K223" s="11"/>
      <c r="L223" s="12">
        <f>IF(D223="","",SUMIFS(Movimientos!$D$2:$D$2000,Movimientos!$B$2:$B$2000,A223))</f>
        <v>0</v>
      </c>
      <c r="M223" s="12">
        <f t="shared" si="6"/>
        <v>8</v>
      </c>
      <c r="N223" s="11"/>
      <c r="O223" s="7" t="str">
        <f t="shared" ca="1" si="7"/>
        <v>Sin fecha</v>
      </c>
      <c r="P223" s="8"/>
      <c r="Q223" s="8"/>
      <c r="R223" s="8"/>
      <c r="S223" s="8" t="s">
        <v>60</v>
      </c>
      <c r="T223" s="8"/>
      <c r="U223" s="8"/>
      <c r="V223" s="8"/>
      <c r="W223" s="8" t="s">
        <v>43</v>
      </c>
      <c r="X223" s="9" t="s">
        <v>108</v>
      </c>
      <c r="Y223" s="13"/>
      <c r="Z223" s="9" t="s">
        <v>1255</v>
      </c>
    </row>
    <row r="224" spans="1:26" x14ac:dyDescent="0.3">
      <c r="A224" s="7" t="s">
        <v>1256</v>
      </c>
      <c r="B224" s="8" t="s">
        <v>47</v>
      </c>
      <c r="C224" s="9"/>
      <c r="D224" s="8" t="s">
        <v>1257</v>
      </c>
      <c r="E224" s="8" t="s">
        <v>721</v>
      </c>
      <c r="F224" s="8"/>
      <c r="G224" s="8" t="s">
        <v>31</v>
      </c>
      <c r="H224" s="8" t="s">
        <v>30</v>
      </c>
      <c r="I224" s="10">
        <v>75</v>
      </c>
      <c r="J224" s="10">
        <v>75</v>
      </c>
      <c r="K224" s="11"/>
      <c r="L224" s="12">
        <f>IF(D224="","",SUMIFS(Movimientos!$D$2:$D$2000,Movimientos!$B$2:$B$2000,A224))</f>
        <v>0</v>
      </c>
      <c r="M224" s="12">
        <f t="shared" si="6"/>
        <v>75</v>
      </c>
      <c r="N224" s="11"/>
      <c r="O224" s="7" t="str">
        <f t="shared" ca="1" si="7"/>
        <v>Sin fecha</v>
      </c>
      <c r="P224" s="8"/>
      <c r="Q224" s="8"/>
      <c r="R224" s="8"/>
      <c r="S224" s="8" t="s">
        <v>74</v>
      </c>
      <c r="T224" s="8"/>
      <c r="U224" s="8"/>
      <c r="V224" s="8"/>
      <c r="W224" s="8" t="s">
        <v>43</v>
      </c>
      <c r="X224" s="9" t="s">
        <v>108</v>
      </c>
      <c r="Y224" s="13"/>
      <c r="Z224" s="9" t="s">
        <v>1258</v>
      </c>
    </row>
    <row r="225" spans="1:26" x14ac:dyDescent="0.3">
      <c r="A225" s="7" t="s">
        <v>1259</v>
      </c>
      <c r="B225" s="8" t="s">
        <v>47</v>
      </c>
      <c r="C225" s="9"/>
      <c r="D225" s="8" t="s">
        <v>1260</v>
      </c>
      <c r="E225" s="8" t="s">
        <v>213</v>
      </c>
      <c r="F225" s="8"/>
      <c r="G225" s="8" t="s">
        <v>31</v>
      </c>
      <c r="H225" s="8" t="s">
        <v>30</v>
      </c>
      <c r="I225" s="10">
        <v>42</v>
      </c>
      <c r="J225" s="10">
        <v>42</v>
      </c>
      <c r="K225" s="11"/>
      <c r="L225" s="12">
        <f>IF(D225="","",SUMIFS(Movimientos!$D$2:$D$2000,Movimientos!$B$2:$B$2000,A225))</f>
        <v>0</v>
      </c>
      <c r="M225" s="12">
        <f t="shared" si="6"/>
        <v>42</v>
      </c>
      <c r="N225" s="11"/>
      <c r="O225" s="7" t="str">
        <f t="shared" ca="1" si="7"/>
        <v>Sin fecha</v>
      </c>
      <c r="P225" s="8"/>
      <c r="Q225" s="8"/>
      <c r="R225" s="8"/>
      <c r="S225" s="8" t="s">
        <v>60</v>
      </c>
      <c r="T225" s="8"/>
      <c r="U225" s="8"/>
      <c r="V225" s="8"/>
      <c r="W225" s="8" t="s">
        <v>43</v>
      </c>
      <c r="X225" s="9" t="s">
        <v>108</v>
      </c>
      <c r="Y225" s="13"/>
      <c r="Z225" s="9" t="s">
        <v>1261</v>
      </c>
    </row>
    <row r="226" spans="1:26" x14ac:dyDescent="0.3">
      <c r="A226" s="7" t="s">
        <v>1262</v>
      </c>
      <c r="B226" s="8" t="s">
        <v>47</v>
      </c>
      <c r="C226" s="9"/>
      <c r="D226" s="8" t="s">
        <v>1263</v>
      </c>
      <c r="E226" s="8" t="s">
        <v>492</v>
      </c>
      <c r="F226" s="8"/>
      <c r="G226" s="8" t="s">
        <v>31</v>
      </c>
      <c r="H226" s="8" t="s">
        <v>30</v>
      </c>
      <c r="I226" s="10">
        <v>15</v>
      </c>
      <c r="J226" s="10">
        <v>15</v>
      </c>
      <c r="K226" s="11"/>
      <c r="L226" s="12">
        <f>IF(D226="","",SUMIFS(Movimientos!$D$2:$D$2000,Movimientos!$B$2:$B$2000,A226))</f>
        <v>0</v>
      </c>
      <c r="M226" s="12">
        <f t="shared" si="6"/>
        <v>15</v>
      </c>
      <c r="N226" s="11"/>
      <c r="O226" s="7" t="str">
        <f t="shared" ca="1" si="7"/>
        <v>Sin fecha</v>
      </c>
      <c r="P226" s="8"/>
      <c r="Q226" s="8"/>
      <c r="R226" s="8"/>
      <c r="S226" s="8" t="s">
        <v>60</v>
      </c>
      <c r="T226" s="8"/>
      <c r="U226" s="8"/>
      <c r="V226" s="8"/>
      <c r="W226" s="8" t="s">
        <v>43</v>
      </c>
      <c r="X226" s="9" t="s">
        <v>108</v>
      </c>
      <c r="Y226" s="13"/>
      <c r="Z226" s="9" t="s">
        <v>1264</v>
      </c>
    </row>
    <row r="227" spans="1:26" x14ac:dyDescent="0.3">
      <c r="A227" s="7" t="s">
        <v>1265</v>
      </c>
      <c r="B227" s="8" t="s">
        <v>47</v>
      </c>
      <c r="C227" s="9"/>
      <c r="D227" s="8" t="s">
        <v>1266</v>
      </c>
      <c r="E227" s="8" t="s">
        <v>919</v>
      </c>
      <c r="F227" s="8"/>
      <c r="G227" s="8" t="s">
        <v>31</v>
      </c>
      <c r="H227" s="8" t="s">
        <v>30</v>
      </c>
      <c r="I227" s="10">
        <v>25</v>
      </c>
      <c r="J227" s="10">
        <v>25</v>
      </c>
      <c r="K227" s="11"/>
      <c r="L227" s="12">
        <f>IF(D227="","",SUMIFS(Movimientos!$D$2:$D$2000,Movimientos!$B$2:$B$2000,A227))</f>
        <v>0</v>
      </c>
      <c r="M227" s="12">
        <f t="shared" si="6"/>
        <v>25</v>
      </c>
      <c r="N227" s="11"/>
      <c r="O227" s="7" t="str">
        <f t="shared" ca="1" si="7"/>
        <v>Sin fecha</v>
      </c>
      <c r="P227" s="8"/>
      <c r="Q227" s="8"/>
      <c r="R227" s="8"/>
      <c r="S227" s="8" t="s">
        <v>60</v>
      </c>
      <c r="T227" s="8"/>
      <c r="U227" s="8"/>
      <c r="V227" s="8"/>
      <c r="W227" s="8" t="s">
        <v>43</v>
      </c>
      <c r="X227" s="9" t="s">
        <v>108</v>
      </c>
      <c r="Y227" s="13"/>
      <c r="Z227" s="9" t="s">
        <v>1267</v>
      </c>
    </row>
    <row r="228" spans="1:26" x14ac:dyDescent="0.3">
      <c r="A228" s="7" t="s">
        <v>1268</v>
      </c>
      <c r="B228" s="8" t="s">
        <v>47</v>
      </c>
      <c r="C228" s="9"/>
      <c r="D228" s="8" t="s">
        <v>1269</v>
      </c>
      <c r="E228" s="8"/>
      <c r="F228" s="8"/>
      <c r="G228" s="8" t="s">
        <v>31</v>
      </c>
      <c r="H228" s="8" t="s">
        <v>30</v>
      </c>
      <c r="I228" s="10">
        <v>6</v>
      </c>
      <c r="J228" s="10">
        <v>6</v>
      </c>
      <c r="K228" s="11"/>
      <c r="L228" s="12">
        <f>IF(D228="","",SUMIFS(Movimientos!$D$2:$D$2000,Movimientos!$B$2:$B$2000,A228))</f>
        <v>0</v>
      </c>
      <c r="M228" s="12">
        <f t="shared" si="6"/>
        <v>6</v>
      </c>
      <c r="N228" s="11"/>
      <c r="O228" s="7" t="str">
        <f t="shared" ca="1" si="7"/>
        <v>Sin fecha</v>
      </c>
      <c r="P228" s="8"/>
      <c r="Q228" s="8"/>
      <c r="R228" s="8"/>
      <c r="S228" s="8" t="s">
        <v>60</v>
      </c>
      <c r="T228" s="8"/>
      <c r="U228" s="8"/>
      <c r="V228" s="8"/>
      <c r="W228" s="8" t="s">
        <v>43</v>
      </c>
      <c r="X228" s="9" t="s">
        <v>108</v>
      </c>
      <c r="Y228" s="13"/>
      <c r="Z228" s="9" t="s">
        <v>1270</v>
      </c>
    </row>
    <row r="229" spans="1:26" x14ac:dyDescent="0.3">
      <c r="A229" s="7" t="s">
        <v>1271</v>
      </c>
      <c r="B229" s="8" t="s">
        <v>47</v>
      </c>
      <c r="C229" s="9"/>
      <c r="D229" s="8" t="s">
        <v>400</v>
      </c>
      <c r="E229" s="8" t="s">
        <v>1272</v>
      </c>
      <c r="F229" s="8"/>
      <c r="G229" s="8" t="s">
        <v>31</v>
      </c>
      <c r="H229" s="8" t="s">
        <v>30</v>
      </c>
      <c r="I229" s="10">
        <v>80</v>
      </c>
      <c r="J229" s="10">
        <v>80</v>
      </c>
      <c r="K229" s="11"/>
      <c r="L229" s="12">
        <f>IF(D229="","",SUMIFS(Movimientos!$D$2:$D$2000,Movimientos!$B$2:$B$2000,A229))</f>
        <v>0</v>
      </c>
      <c r="M229" s="12">
        <f t="shared" si="6"/>
        <v>80</v>
      </c>
      <c r="N229" s="11"/>
      <c r="O229" s="7" t="str">
        <f t="shared" ca="1" si="7"/>
        <v>Sin fecha</v>
      </c>
      <c r="P229" s="8"/>
      <c r="Q229" s="8"/>
      <c r="R229" s="8"/>
      <c r="S229" s="8" t="s">
        <v>60</v>
      </c>
      <c r="T229" s="8"/>
      <c r="U229" s="8"/>
      <c r="V229" s="8"/>
      <c r="W229" s="8" t="s">
        <v>43</v>
      </c>
      <c r="X229" s="9" t="s">
        <v>108</v>
      </c>
      <c r="Y229" s="13"/>
      <c r="Z229" s="9" t="s">
        <v>1273</v>
      </c>
    </row>
    <row r="230" spans="1:26" x14ac:dyDescent="0.3">
      <c r="A230" s="7" t="s">
        <v>1274</v>
      </c>
      <c r="B230" s="8" t="s">
        <v>47</v>
      </c>
      <c r="C230" s="9"/>
      <c r="D230" s="8" t="s">
        <v>1275</v>
      </c>
      <c r="E230" s="8"/>
      <c r="F230" s="8"/>
      <c r="G230" s="8" t="s">
        <v>31</v>
      </c>
      <c r="H230" s="8" t="s">
        <v>30</v>
      </c>
      <c r="I230" s="10">
        <v>30</v>
      </c>
      <c r="J230" s="10">
        <v>30</v>
      </c>
      <c r="K230" s="11"/>
      <c r="L230" s="12">
        <f>IF(D230="","",SUMIFS(Movimientos!$D$2:$D$2000,Movimientos!$B$2:$B$2000,A230))</f>
        <v>0</v>
      </c>
      <c r="M230" s="12">
        <f t="shared" si="6"/>
        <v>30</v>
      </c>
      <c r="N230" s="11"/>
      <c r="O230" s="7" t="str">
        <f t="shared" ca="1" si="7"/>
        <v>Sin fecha</v>
      </c>
      <c r="P230" s="8"/>
      <c r="Q230" s="8"/>
      <c r="R230" s="8"/>
      <c r="S230" s="8" t="s">
        <v>60</v>
      </c>
      <c r="T230" s="8"/>
      <c r="U230" s="8"/>
      <c r="V230" s="8"/>
      <c r="W230" s="8" t="s">
        <v>43</v>
      </c>
      <c r="X230" s="9" t="s">
        <v>108</v>
      </c>
      <c r="Y230" s="13"/>
      <c r="Z230" s="9" t="s">
        <v>1276</v>
      </c>
    </row>
    <row r="231" spans="1:26" x14ac:dyDescent="0.3">
      <c r="A231" s="7" t="s">
        <v>1277</v>
      </c>
      <c r="B231" s="8" t="s">
        <v>47</v>
      </c>
      <c r="C231" s="9"/>
      <c r="D231" s="8" t="s">
        <v>1278</v>
      </c>
      <c r="E231" s="8" t="s">
        <v>112</v>
      </c>
      <c r="F231" s="8"/>
      <c r="G231" s="8" t="s">
        <v>31</v>
      </c>
      <c r="H231" s="8" t="s">
        <v>30</v>
      </c>
      <c r="I231" s="10">
        <v>10</v>
      </c>
      <c r="J231" s="10">
        <v>10</v>
      </c>
      <c r="K231" s="11"/>
      <c r="L231" s="12">
        <f>IF(D231="","",SUMIFS(Movimientos!$D$2:$D$2000,Movimientos!$B$2:$B$2000,A231))</f>
        <v>0</v>
      </c>
      <c r="M231" s="12">
        <f t="shared" si="6"/>
        <v>10</v>
      </c>
      <c r="N231" s="11"/>
      <c r="O231" s="7" t="str">
        <f t="shared" ca="1" si="7"/>
        <v>Sin fecha</v>
      </c>
      <c r="P231" s="8"/>
      <c r="Q231" s="8"/>
      <c r="R231" s="8"/>
      <c r="S231" s="8" t="s">
        <v>72</v>
      </c>
      <c r="T231" s="8"/>
      <c r="U231" s="8"/>
      <c r="V231" s="8"/>
      <c r="W231" s="8" t="s">
        <v>43</v>
      </c>
      <c r="X231" s="9" t="s">
        <v>108</v>
      </c>
      <c r="Y231" s="13"/>
      <c r="Z231" s="9" t="s">
        <v>1279</v>
      </c>
    </row>
    <row r="232" spans="1:26" x14ac:dyDescent="0.3">
      <c r="A232" s="7" t="s">
        <v>1280</v>
      </c>
      <c r="B232" s="8" t="s">
        <v>47</v>
      </c>
      <c r="C232" s="9"/>
      <c r="D232" s="8" t="s">
        <v>111</v>
      </c>
      <c r="E232" s="8" t="s">
        <v>112</v>
      </c>
      <c r="F232" s="8"/>
      <c r="G232" s="8" t="s">
        <v>31</v>
      </c>
      <c r="H232" s="8" t="s">
        <v>30</v>
      </c>
      <c r="I232" s="10">
        <v>15</v>
      </c>
      <c r="J232" s="10">
        <v>15</v>
      </c>
      <c r="K232" s="11"/>
      <c r="L232" s="12">
        <f>IF(D232="","",SUMIFS(Movimientos!$D$2:$D$2000,Movimientos!$B$2:$B$2000,A232))</f>
        <v>0</v>
      </c>
      <c r="M232" s="12">
        <f t="shared" si="6"/>
        <v>15</v>
      </c>
      <c r="N232" s="11"/>
      <c r="O232" s="7" t="str">
        <f t="shared" ca="1" si="7"/>
        <v>Sin fecha</v>
      </c>
      <c r="P232" s="8"/>
      <c r="Q232" s="8"/>
      <c r="R232" s="8"/>
      <c r="S232" s="8" t="s">
        <v>72</v>
      </c>
      <c r="T232" s="8"/>
      <c r="U232" s="8"/>
      <c r="V232" s="8"/>
      <c r="W232" s="8" t="s">
        <v>43</v>
      </c>
      <c r="X232" s="9" t="s">
        <v>108</v>
      </c>
      <c r="Y232" s="13"/>
      <c r="Z232" s="9" t="s">
        <v>1281</v>
      </c>
    </row>
    <row r="233" spans="1:26" x14ac:dyDescent="0.3">
      <c r="A233" s="7" t="s">
        <v>1282</v>
      </c>
      <c r="B233" s="8" t="s">
        <v>47</v>
      </c>
      <c r="C233" s="9"/>
      <c r="D233" s="8" t="s">
        <v>1283</v>
      </c>
      <c r="E233" s="8" t="s">
        <v>1284</v>
      </c>
      <c r="F233" s="8"/>
      <c r="G233" s="8" t="s">
        <v>31</v>
      </c>
      <c r="H233" s="8" t="s">
        <v>30</v>
      </c>
      <c r="I233" s="10">
        <v>20</v>
      </c>
      <c r="J233" s="10">
        <v>20</v>
      </c>
      <c r="K233" s="11"/>
      <c r="L233" s="12">
        <f>IF(D233="","",SUMIFS(Movimientos!$D$2:$D$2000,Movimientos!$B$2:$B$2000,A233))</f>
        <v>0</v>
      </c>
      <c r="M233" s="12">
        <f t="shared" si="6"/>
        <v>20</v>
      </c>
      <c r="N233" s="11"/>
      <c r="O233" s="7" t="str">
        <f t="shared" ca="1" si="7"/>
        <v>Sin fecha</v>
      </c>
      <c r="P233" s="8"/>
      <c r="Q233" s="8"/>
      <c r="R233" s="8"/>
      <c r="S233" s="8" t="s">
        <v>72</v>
      </c>
      <c r="T233" s="8"/>
      <c r="U233" s="8"/>
      <c r="V233" s="8"/>
      <c r="W233" s="8" t="s">
        <v>43</v>
      </c>
      <c r="X233" s="9" t="s">
        <v>108</v>
      </c>
      <c r="Y233" s="13"/>
      <c r="Z233" s="9" t="s">
        <v>1285</v>
      </c>
    </row>
    <row r="234" spans="1:26" x14ac:dyDescent="0.3">
      <c r="A234" s="7" t="s">
        <v>1286</v>
      </c>
      <c r="B234" s="8" t="s">
        <v>47</v>
      </c>
      <c r="C234" s="9"/>
      <c r="D234" s="8" t="s">
        <v>1287</v>
      </c>
      <c r="E234" s="8" t="s">
        <v>1288</v>
      </c>
      <c r="F234" s="8"/>
      <c r="G234" s="8" t="s">
        <v>31</v>
      </c>
      <c r="H234" s="8" t="s">
        <v>30</v>
      </c>
      <c r="I234" s="10">
        <v>40</v>
      </c>
      <c r="J234" s="10">
        <v>40</v>
      </c>
      <c r="K234" s="11"/>
      <c r="L234" s="12">
        <f>IF(D234="","",SUMIFS(Movimientos!$D$2:$D$2000,Movimientos!$B$2:$B$2000,A234))</f>
        <v>0</v>
      </c>
      <c r="M234" s="12">
        <f t="shared" si="6"/>
        <v>40</v>
      </c>
      <c r="N234" s="11"/>
      <c r="O234" s="7" t="str">
        <f t="shared" ca="1" si="7"/>
        <v>Sin fecha</v>
      </c>
      <c r="P234" s="8"/>
      <c r="Q234" s="8"/>
      <c r="R234" s="8"/>
      <c r="S234" s="8" t="s">
        <v>60</v>
      </c>
      <c r="T234" s="8"/>
      <c r="U234" s="8"/>
      <c r="V234" s="8"/>
      <c r="W234" s="8" t="s">
        <v>43</v>
      </c>
      <c r="X234" s="9" t="s">
        <v>108</v>
      </c>
      <c r="Y234" s="13"/>
      <c r="Z234" s="9" t="s">
        <v>1289</v>
      </c>
    </row>
    <row r="235" spans="1:26" x14ac:dyDescent="0.3">
      <c r="A235" s="7" t="s">
        <v>1290</v>
      </c>
      <c r="B235" s="8" t="s">
        <v>47</v>
      </c>
      <c r="C235" s="9"/>
      <c r="D235" s="8" t="s">
        <v>1291</v>
      </c>
      <c r="E235" s="8"/>
      <c r="F235" s="8"/>
      <c r="G235" s="8" t="s">
        <v>42</v>
      </c>
      <c r="H235" s="8" t="s">
        <v>41</v>
      </c>
      <c r="I235" s="10">
        <v>70</v>
      </c>
      <c r="J235" s="10">
        <v>70</v>
      </c>
      <c r="K235" s="11"/>
      <c r="L235" s="12">
        <f>IF(D235="","",SUMIFS(Movimientos!$D$2:$D$2000,Movimientos!$B$2:$B$2000,A235))</f>
        <v>0</v>
      </c>
      <c r="M235" s="12">
        <f t="shared" si="6"/>
        <v>70</v>
      </c>
      <c r="N235" s="11"/>
      <c r="O235" s="7" t="str">
        <f t="shared" ca="1" si="7"/>
        <v>Sin fecha</v>
      </c>
      <c r="P235" s="8"/>
      <c r="Q235" s="8"/>
      <c r="R235" s="8"/>
      <c r="S235" s="8" t="s">
        <v>71</v>
      </c>
      <c r="T235" s="8"/>
      <c r="U235" s="8"/>
      <c r="V235" s="8"/>
      <c r="W235" s="8" t="s">
        <v>43</v>
      </c>
      <c r="X235" s="9" t="s">
        <v>108</v>
      </c>
      <c r="Y235" s="13"/>
      <c r="Z235" s="9" t="s">
        <v>1292</v>
      </c>
    </row>
    <row r="236" spans="1:26" x14ac:dyDescent="0.3">
      <c r="A236" s="7" t="s">
        <v>1293</v>
      </c>
      <c r="B236" s="8" t="s">
        <v>47</v>
      </c>
      <c r="C236" s="9"/>
      <c r="D236" s="8" t="s">
        <v>1294</v>
      </c>
      <c r="E236" s="8" t="s">
        <v>1295</v>
      </c>
      <c r="F236" s="8"/>
      <c r="G236" s="8" t="s">
        <v>31</v>
      </c>
      <c r="H236" s="8" t="s">
        <v>30</v>
      </c>
      <c r="I236" s="10">
        <v>15</v>
      </c>
      <c r="J236" s="10">
        <v>15</v>
      </c>
      <c r="K236" s="11"/>
      <c r="L236" s="12">
        <f>IF(D236="","",SUMIFS(Movimientos!$D$2:$D$2000,Movimientos!$B$2:$B$2000,A236))</f>
        <v>0</v>
      </c>
      <c r="M236" s="12">
        <f t="shared" si="6"/>
        <v>15</v>
      </c>
      <c r="N236" s="11"/>
      <c r="O236" s="7" t="str">
        <f t="shared" ca="1" si="7"/>
        <v>Sin fecha</v>
      </c>
      <c r="P236" s="8"/>
      <c r="Q236" s="8"/>
      <c r="R236" s="8"/>
      <c r="S236" s="8" t="s">
        <v>60</v>
      </c>
      <c r="T236" s="8"/>
      <c r="U236" s="8"/>
      <c r="V236" s="8"/>
      <c r="W236" s="8" t="s">
        <v>43</v>
      </c>
      <c r="X236" s="9" t="s">
        <v>108</v>
      </c>
      <c r="Y236" s="13"/>
      <c r="Z236" s="9" t="s">
        <v>1296</v>
      </c>
    </row>
    <row r="237" spans="1:26" x14ac:dyDescent="0.3">
      <c r="A237" s="7" t="s">
        <v>1297</v>
      </c>
      <c r="B237" s="8" t="s">
        <v>47</v>
      </c>
      <c r="C237" s="9"/>
      <c r="D237" s="8" t="s">
        <v>1298</v>
      </c>
      <c r="E237" s="8"/>
      <c r="F237" s="8"/>
      <c r="G237" s="8" t="s">
        <v>31</v>
      </c>
      <c r="H237" s="8" t="s">
        <v>30</v>
      </c>
      <c r="I237" s="10">
        <v>2</v>
      </c>
      <c r="J237" s="10">
        <v>2</v>
      </c>
      <c r="K237" s="11"/>
      <c r="L237" s="12">
        <f>IF(D237="","",SUMIFS(Movimientos!$D$2:$D$2000,Movimientos!$B$2:$B$2000,A237))</f>
        <v>0</v>
      </c>
      <c r="M237" s="12">
        <f t="shared" si="6"/>
        <v>2</v>
      </c>
      <c r="N237" s="11"/>
      <c r="O237" s="7" t="str">
        <f t="shared" ca="1" si="7"/>
        <v>Sin fecha</v>
      </c>
      <c r="P237" s="8"/>
      <c r="Q237" s="8"/>
      <c r="R237" s="8"/>
      <c r="S237" s="8" t="s">
        <v>72</v>
      </c>
      <c r="T237" s="8"/>
      <c r="U237" s="8"/>
      <c r="V237" s="8"/>
      <c r="W237" s="8" t="s">
        <v>43</v>
      </c>
      <c r="X237" s="9" t="s">
        <v>108</v>
      </c>
      <c r="Y237" s="13"/>
      <c r="Z237" s="9" t="s">
        <v>1299</v>
      </c>
    </row>
    <row r="238" spans="1:26" x14ac:dyDescent="0.3">
      <c r="A238" s="7" t="s">
        <v>1300</v>
      </c>
      <c r="B238" s="8" t="s">
        <v>47</v>
      </c>
      <c r="C238" s="9"/>
      <c r="D238" s="8" t="s">
        <v>1301</v>
      </c>
      <c r="E238" s="8" t="s">
        <v>1302</v>
      </c>
      <c r="F238" s="8"/>
      <c r="G238" s="8" t="s">
        <v>31</v>
      </c>
      <c r="H238" s="8" t="s">
        <v>30</v>
      </c>
      <c r="I238" s="10">
        <v>38</v>
      </c>
      <c r="J238" s="10">
        <v>38</v>
      </c>
      <c r="K238" s="11"/>
      <c r="L238" s="12">
        <f>IF(D238="","",SUMIFS(Movimientos!$D$2:$D$2000,Movimientos!$B$2:$B$2000,A238))</f>
        <v>0</v>
      </c>
      <c r="M238" s="12">
        <f t="shared" si="6"/>
        <v>38</v>
      </c>
      <c r="N238" s="11"/>
      <c r="O238" s="7" t="str">
        <f t="shared" ca="1" si="7"/>
        <v>Sin fecha</v>
      </c>
      <c r="P238" s="8"/>
      <c r="Q238" s="8"/>
      <c r="R238" s="8"/>
      <c r="S238" s="8" t="s">
        <v>72</v>
      </c>
      <c r="T238" s="8"/>
      <c r="U238" s="8"/>
      <c r="V238" s="8"/>
      <c r="W238" s="8" t="s">
        <v>43</v>
      </c>
      <c r="X238" s="9" t="s">
        <v>108</v>
      </c>
      <c r="Y238" s="13"/>
      <c r="Z238" s="9" t="s">
        <v>1303</v>
      </c>
    </row>
    <row r="239" spans="1:26" x14ac:dyDescent="0.3">
      <c r="A239" s="7" t="s">
        <v>1304</v>
      </c>
      <c r="B239" s="8" t="s">
        <v>47</v>
      </c>
      <c r="C239" s="9"/>
      <c r="D239" s="8" t="s">
        <v>1305</v>
      </c>
      <c r="E239" s="8" t="s">
        <v>1306</v>
      </c>
      <c r="F239" s="8"/>
      <c r="G239" s="8" t="s">
        <v>31</v>
      </c>
      <c r="H239" s="8" t="s">
        <v>30</v>
      </c>
      <c r="I239" s="10">
        <v>85</v>
      </c>
      <c r="J239" s="10">
        <v>85</v>
      </c>
      <c r="K239" s="11"/>
      <c r="L239" s="12">
        <f>IF(D239="","",SUMIFS(Movimientos!$D$2:$D$2000,Movimientos!$B$2:$B$2000,A239))</f>
        <v>0</v>
      </c>
      <c r="M239" s="12">
        <f t="shared" si="6"/>
        <v>85</v>
      </c>
      <c r="N239" s="11"/>
      <c r="O239" s="7" t="str">
        <f t="shared" ca="1" si="7"/>
        <v>Sin fecha</v>
      </c>
      <c r="P239" s="8"/>
      <c r="Q239" s="8"/>
      <c r="R239" s="8"/>
      <c r="S239" s="8" t="s">
        <v>72</v>
      </c>
      <c r="T239" s="8"/>
      <c r="U239" s="8"/>
      <c r="V239" s="8"/>
      <c r="W239" s="8" t="s">
        <v>43</v>
      </c>
      <c r="X239" s="9" t="s">
        <v>108</v>
      </c>
      <c r="Y239" s="13"/>
      <c r="Z239" s="9" t="s">
        <v>1307</v>
      </c>
    </row>
    <row r="240" spans="1:26" x14ac:dyDescent="0.3">
      <c r="A240" s="7" t="s">
        <v>1308</v>
      </c>
      <c r="B240" s="8" t="s">
        <v>47</v>
      </c>
      <c r="C240" s="9"/>
      <c r="D240" s="8" t="s">
        <v>1309</v>
      </c>
      <c r="E240" s="8" t="s">
        <v>1310</v>
      </c>
      <c r="F240" s="8"/>
      <c r="G240" s="8" t="s">
        <v>31</v>
      </c>
      <c r="H240" s="8" t="s">
        <v>30</v>
      </c>
      <c r="I240" s="10">
        <v>23</v>
      </c>
      <c r="J240" s="10">
        <v>23</v>
      </c>
      <c r="K240" s="11"/>
      <c r="L240" s="12">
        <f>IF(D240="","",SUMIFS(Movimientos!$D$2:$D$2000,Movimientos!$B$2:$B$2000,A240))</f>
        <v>0</v>
      </c>
      <c r="M240" s="12">
        <f t="shared" si="6"/>
        <v>23</v>
      </c>
      <c r="N240" s="11"/>
      <c r="O240" s="7" t="str">
        <f t="shared" ca="1" si="7"/>
        <v>Sin fecha</v>
      </c>
      <c r="P240" s="8"/>
      <c r="Q240" s="8"/>
      <c r="R240" s="8"/>
      <c r="S240" s="8" t="s">
        <v>60</v>
      </c>
      <c r="T240" s="8"/>
      <c r="U240" s="8"/>
      <c r="V240" s="8"/>
      <c r="W240" s="8" t="s">
        <v>43</v>
      </c>
      <c r="X240" s="9" t="s">
        <v>108</v>
      </c>
      <c r="Y240" s="13"/>
      <c r="Z240" s="9" t="s">
        <v>1311</v>
      </c>
    </row>
    <row r="241" spans="1:26" x14ac:dyDescent="0.3">
      <c r="A241" s="7" t="s">
        <v>1312</v>
      </c>
      <c r="B241" s="8" t="s">
        <v>47</v>
      </c>
      <c r="C241" s="9"/>
      <c r="D241" s="8" t="s">
        <v>1313</v>
      </c>
      <c r="E241" s="8" t="s">
        <v>1314</v>
      </c>
      <c r="F241" s="8"/>
      <c r="G241" s="8" t="s">
        <v>31</v>
      </c>
      <c r="H241" s="8" t="s">
        <v>30</v>
      </c>
      <c r="I241" s="10">
        <v>10</v>
      </c>
      <c r="J241" s="10">
        <v>10</v>
      </c>
      <c r="K241" s="11"/>
      <c r="L241" s="12">
        <f>IF(D241="","",SUMIFS(Movimientos!$D$2:$D$2000,Movimientos!$B$2:$B$2000,A241))</f>
        <v>0</v>
      </c>
      <c r="M241" s="12">
        <f t="shared" si="6"/>
        <v>10</v>
      </c>
      <c r="N241" s="11"/>
      <c r="O241" s="7" t="str">
        <f t="shared" ca="1" si="7"/>
        <v>Sin fecha</v>
      </c>
      <c r="P241" s="8"/>
      <c r="Q241" s="8"/>
      <c r="R241" s="8"/>
      <c r="S241" s="8" t="s">
        <v>60</v>
      </c>
      <c r="T241" s="8"/>
      <c r="U241" s="8"/>
      <c r="V241" s="8"/>
      <c r="W241" s="8" t="s">
        <v>43</v>
      </c>
      <c r="X241" s="9" t="s">
        <v>108</v>
      </c>
      <c r="Y241" s="13"/>
      <c r="Z241" s="9" t="s">
        <v>1315</v>
      </c>
    </row>
    <row r="242" spans="1:26" x14ac:dyDescent="0.3">
      <c r="A242" s="7" t="s">
        <v>1316</v>
      </c>
      <c r="B242" s="8" t="s">
        <v>47</v>
      </c>
      <c r="C242" s="9"/>
      <c r="D242" s="8" t="s">
        <v>1317</v>
      </c>
      <c r="E242" s="8" t="s">
        <v>1318</v>
      </c>
      <c r="F242" s="8"/>
      <c r="G242" s="8" t="s">
        <v>31</v>
      </c>
      <c r="H242" s="8" t="s">
        <v>30</v>
      </c>
      <c r="I242" s="10">
        <v>350</v>
      </c>
      <c r="J242" s="10">
        <v>350</v>
      </c>
      <c r="K242" s="11"/>
      <c r="L242" s="12">
        <f>IF(D242="","",SUMIFS(Movimientos!$D$2:$D$2000,Movimientos!$B$2:$B$2000,A242))</f>
        <v>0</v>
      </c>
      <c r="M242" s="12">
        <f t="shared" si="6"/>
        <v>350</v>
      </c>
      <c r="N242" s="11"/>
      <c r="O242" s="7" t="str">
        <f t="shared" ca="1" si="7"/>
        <v>Sin fecha</v>
      </c>
      <c r="P242" s="8"/>
      <c r="Q242" s="8"/>
      <c r="R242" s="8"/>
      <c r="S242" s="8" t="s">
        <v>60</v>
      </c>
      <c r="T242" s="8"/>
      <c r="U242" s="8"/>
      <c r="V242" s="8"/>
      <c r="W242" s="8" t="s">
        <v>43</v>
      </c>
      <c r="X242" s="9" t="s">
        <v>108</v>
      </c>
      <c r="Y242" s="13"/>
      <c r="Z242" s="9" t="s">
        <v>1319</v>
      </c>
    </row>
    <row r="243" spans="1:26" x14ac:dyDescent="0.3">
      <c r="A243" s="7" t="s">
        <v>1320</v>
      </c>
      <c r="B243" s="8" t="s">
        <v>47</v>
      </c>
      <c r="C243" s="9"/>
      <c r="D243" s="8" t="s">
        <v>1321</v>
      </c>
      <c r="E243" s="8"/>
      <c r="F243" s="8"/>
      <c r="G243" s="8" t="s">
        <v>31</v>
      </c>
      <c r="H243" s="8" t="s">
        <v>30</v>
      </c>
      <c r="I243" s="10">
        <v>150</v>
      </c>
      <c r="J243" s="10">
        <v>150</v>
      </c>
      <c r="K243" s="11"/>
      <c r="L243" s="12">
        <f>IF(D243="","",SUMIFS(Movimientos!$D$2:$D$2000,Movimientos!$B$2:$B$2000,A243))</f>
        <v>0</v>
      </c>
      <c r="M243" s="12">
        <f t="shared" si="6"/>
        <v>150</v>
      </c>
      <c r="N243" s="11"/>
      <c r="O243" s="7" t="str">
        <f t="shared" ca="1" si="7"/>
        <v>Sin fecha</v>
      </c>
      <c r="P243" s="8"/>
      <c r="Q243" s="8"/>
      <c r="R243" s="8"/>
      <c r="S243" s="8" t="s">
        <v>60</v>
      </c>
      <c r="T243" s="8"/>
      <c r="U243" s="8"/>
      <c r="V243" s="8"/>
      <c r="W243" s="8" t="s">
        <v>43</v>
      </c>
      <c r="X243" s="9" t="s">
        <v>108</v>
      </c>
      <c r="Y243" s="13"/>
      <c r="Z243" s="9" t="s">
        <v>1322</v>
      </c>
    </row>
    <row r="244" spans="1:26" x14ac:dyDescent="0.3">
      <c r="A244" s="7" t="s">
        <v>1323</v>
      </c>
      <c r="B244" s="8" t="s">
        <v>47</v>
      </c>
      <c r="C244" s="9"/>
      <c r="D244" s="8" t="s">
        <v>1324</v>
      </c>
      <c r="E244" s="8"/>
      <c r="F244" s="8"/>
      <c r="G244" s="8" t="s">
        <v>31</v>
      </c>
      <c r="H244" s="8" t="s">
        <v>30</v>
      </c>
      <c r="I244" s="10">
        <v>30</v>
      </c>
      <c r="J244" s="10">
        <v>30</v>
      </c>
      <c r="K244" s="11"/>
      <c r="L244" s="12">
        <f>IF(D244="","",SUMIFS(Movimientos!$D$2:$D$2000,Movimientos!$B$2:$B$2000,A244))</f>
        <v>0</v>
      </c>
      <c r="M244" s="12">
        <f t="shared" si="6"/>
        <v>30</v>
      </c>
      <c r="N244" s="11"/>
      <c r="O244" s="7" t="str">
        <f t="shared" ca="1" si="7"/>
        <v>Sin fecha</v>
      </c>
      <c r="P244" s="8"/>
      <c r="Q244" s="8"/>
      <c r="R244" s="8"/>
      <c r="S244" s="8" t="s">
        <v>74</v>
      </c>
      <c r="T244" s="8"/>
      <c r="U244" s="8"/>
      <c r="V244" s="8"/>
      <c r="W244" s="8" t="s">
        <v>43</v>
      </c>
      <c r="X244" s="9" t="s">
        <v>108</v>
      </c>
      <c r="Y244" s="13"/>
      <c r="Z244" s="9" t="s">
        <v>1325</v>
      </c>
    </row>
    <row r="245" spans="1:26" x14ac:dyDescent="0.3">
      <c r="A245" s="7" t="s">
        <v>1326</v>
      </c>
      <c r="B245" s="8" t="s">
        <v>47</v>
      </c>
      <c r="C245" s="9"/>
      <c r="D245" s="8" t="s">
        <v>485</v>
      </c>
      <c r="E245" s="8"/>
      <c r="F245" s="8"/>
      <c r="G245" s="8" t="s">
        <v>31</v>
      </c>
      <c r="H245" s="8" t="s">
        <v>30</v>
      </c>
      <c r="I245" s="10">
        <v>100</v>
      </c>
      <c r="J245" s="10">
        <v>100</v>
      </c>
      <c r="K245" s="11"/>
      <c r="L245" s="12">
        <f>IF(D245="","",SUMIFS(Movimientos!$D$2:$D$2000,Movimientos!$B$2:$B$2000,A245))</f>
        <v>0</v>
      </c>
      <c r="M245" s="12">
        <f t="shared" si="6"/>
        <v>100</v>
      </c>
      <c r="N245" s="11"/>
      <c r="O245" s="7" t="str">
        <f t="shared" ca="1" si="7"/>
        <v>Sin fecha</v>
      </c>
      <c r="P245" s="8"/>
      <c r="Q245" s="8"/>
      <c r="R245" s="8"/>
      <c r="S245" s="8" t="s">
        <v>60</v>
      </c>
      <c r="T245" s="8"/>
      <c r="U245" s="8"/>
      <c r="V245" s="8"/>
      <c r="W245" s="8" t="s">
        <v>43</v>
      </c>
      <c r="X245" s="9" t="s">
        <v>108</v>
      </c>
      <c r="Y245" s="13"/>
      <c r="Z245" s="9" t="s">
        <v>1327</v>
      </c>
    </row>
    <row r="246" spans="1:26" x14ac:dyDescent="0.3">
      <c r="A246" s="7" t="s">
        <v>1328</v>
      </c>
      <c r="B246" s="8" t="s">
        <v>47</v>
      </c>
      <c r="C246" s="9"/>
      <c r="D246" s="8" t="s">
        <v>1329</v>
      </c>
      <c r="E246" s="8"/>
      <c r="F246" s="8"/>
      <c r="G246" s="8" t="s">
        <v>31</v>
      </c>
      <c r="H246" s="8" t="s">
        <v>30</v>
      </c>
      <c r="I246" s="10">
        <v>35</v>
      </c>
      <c r="J246" s="10">
        <v>35</v>
      </c>
      <c r="K246" s="11"/>
      <c r="L246" s="12">
        <f>IF(D246="","",SUMIFS(Movimientos!$D$2:$D$2000,Movimientos!$B$2:$B$2000,A246))</f>
        <v>0</v>
      </c>
      <c r="M246" s="12">
        <f t="shared" si="6"/>
        <v>35</v>
      </c>
      <c r="N246" s="11"/>
      <c r="O246" s="7" t="str">
        <f t="shared" ca="1" si="7"/>
        <v>Sin fecha</v>
      </c>
      <c r="P246" s="8"/>
      <c r="Q246" s="8"/>
      <c r="R246" s="8"/>
      <c r="S246" s="8" t="s">
        <v>60</v>
      </c>
      <c r="T246" s="8"/>
      <c r="U246" s="8"/>
      <c r="V246" s="8"/>
      <c r="W246" s="8" t="s">
        <v>43</v>
      </c>
      <c r="X246" s="9" t="s">
        <v>108</v>
      </c>
      <c r="Y246" s="13"/>
      <c r="Z246" s="9" t="s">
        <v>1330</v>
      </c>
    </row>
    <row r="247" spans="1:26" x14ac:dyDescent="0.3">
      <c r="A247" s="7" t="s">
        <v>1331</v>
      </c>
      <c r="B247" s="8" t="s">
        <v>47</v>
      </c>
      <c r="C247" s="9"/>
      <c r="D247" s="8" t="s">
        <v>1332</v>
      </c>
      <c r="E247" s="8"/>
      <c r="F247" s="8"/>
      <c r="G247" s="8" t="s">
        <v>31</v>
      </c>
      <c r="H247" s="8" t="s">
        <v>30</v>
      </c>
      <c r="I247" s="10">
        <v>80</v>
      </c>
      <c r="J247" s="10">
        <v>80</v>
      </c>
      <c r="K247" s="11"/>
      <c r="L247" s="12">
        <f>IF(D247="","",SUMIFS(Movimientos!$D$2:$D$2000,Movimientos!$B$2:$B$2000,A247))</f>
        <v>0</v>
      </c>
      <c r="M247" s="12">
        <f t="shared" si="6"/>
        <v>80</v>
      </c>
      <c r="N247" s="11"/>
      <c r="O247" s="7" t="str">
        <f t="shared" ca="1" si="7"/>
        <v>Sin fecha</v>
      </c>
      <c r="P247" s="8"/>
      <c r="Q247" s="8"/>
      <c r="R247" s="8"/>
      <c r="S247" s="8" t="s">
        <v>60</v>
      </c>
      <c r="T247" s="8"/>
      <c r="U247" s="8"/>
      <c r="V247" s="8"/>
      <c r="W247" s="8" t="s">
        <v>43</v>
      </c>
      <c r="X247" s="9" t="s">
        <v>108</v>
      </c>
      <c r="Y247" s="13"/>
      <c r="Z247" s="9" t="s">
        <v>1333</v>
      </c>
    </row>
    <row r="248" spans="1:26" x14ac:dyDescent="0.3">
      <c r="A248" s="7" t="s">
        <v>1334</v>
      </c>
      <c r="B248" s="8" t="s">
        <v>47</v>
      </c>
      <c r="C248" s="9"/>
      <c r="D248" s="8" t="s">
        <v>1335</v>
      </c>
      <c r="E248" s="8"/>
      <c r="F248" s="8"/>
      <c r="G248" s="8" t="s">
        <v>42</v>
      </c>
      <c r="H248" s="8" t="s">
        <v>41</v>
      </c>
      <c r="I248" s="10">
        <v>35</v>
      </c>
      <c r="J248" s="10">
        <v>35</v>
      </c>
      <c r="K248" s="11"/>
      <c r="L248" s="12">
        <f>IF(D248="","",SUMIFS(Movimientos!$D$2:$D$2000,Movimientos!$B$2:$B$2000,A248))</f>
        <v>0</v>
      </c>
      <c r="M248" s="12">
        <f t="shared" si="6"/>
        <v>35</v>
      </c>
      <c r="N248" s="11"/>
      <c r="O248" s="7" t="str">
        <f t="shared" ca="1" si="7"/>
        <v>Sin fecha</v>
      </c>
      <c r="P248" s="8"/>
      <c r="Q248" s="8"/>
      <c r="R248" s="8"/>
      <c r="S248" s="8" t="s">
        <v>60</v>
      </c>
      <c r="T248" s="8"/>
      <c r="U248" s="8"/>
      <c r="V248" s="8"/>
      <c r="W248" s="8" t="s">
        <v>43</v>
      </c>
      <c r="X248" s="9" t="s">
        <v>108</v>
      </c>
      <c r="Y248" s="13"/>
      <c r="Z248" s="9" t="s">
        <v>1336</v>
      </c>
    </row>
    <row r="249" spans="1:26" x14ac:dyDescent="0.3">
      <c r="A249" s="7" t="s">
        <v>1337</v>
      </c>
      <c r="B249" s="8" t="s">
        <v>47</v>
      </c>
      <c r="C249" s="9"/>
      <c r="D249" s="8" t="s">
        <v>1338</v>
      </c>
      <c r="E249" s="8"/>
      <c r="F249" s="8"/>
      <c r="G249" s="8" t="s">
        <v>42</v>
      </c>
      <c r="H249" s="8" t="s">
        <v>41</v>
      </c>
      <c r="I249" s="10">
        <v>42</v>
      </c>
      <c r="J249" s="10">
        <v>42</v>
      </c>
      <c r="K249" s="11"/>
      <c r="L249" s="12">
        <f>IF(D249="","",SUMIFS(Movimientos!$D$2:$D$2000,Movimientos!$B$2:$B$2000,A249))</f>
        <v>0</v>
      </c>
      <c r="M249" s="12">
        <f t="shared" si="6"/>
        <v>42</v>
      </c>
      <c r="N249" s="11"/>
      <c r="O249" s="7" t="str">
        <f t="shared" ca="1" si="7"/>
        <v>Sin fecha</v>
      </c>
      <c r="P249" s="8"/>
      <c r="Q249" s="8"/>
      <c r="R249" s="8"/>
      <c r="S249" s="8" t="s">
        <v>60</v>
      </c>
      <c r="T249" s="8"/>
      <c r="U249" s="8"/>
      <c r="V249" s="8"/>
      <c r="W249" s="8" t="s">
        <v>43</v>
      </c>
      <c r="X249" s="9" t="s">
        <v>108</v>
      </c>
      <c r="Y249" s="13"/>
      <c r="Z249" s="9" t="s">
        <v>1339</v>
      </c>
    </row>
    <row r="250" spans="1:26" x14ac:dyDescent="0.3">
      <c r="A250" s="7" t="s">
        <v>1340</v>
      </c>
      <c r="B250" s="8" t="s">
        <v>47</v>
      </c>
      <c r="C250" s="9"/>
      <c r="D250" s="8" t="s">
        <v>1341</v>
      </c>
      <c r="E250" s="8"/>
      <c r="F250" s="8"/>
      <c r="G250" s="8" t="s">
        <v>42</v>
      </c>
      <c r="H250" s="8" t="s">
        <v>41</v>
      </c>
      <c r="I250" s="10">
        <v>250</v>
      </c>
      <c r="J250" s="10">
        <v>250</v>
      </c>
      <c r="K250" s="11"/>
      <c r="L250" s="12">
        <f>IF(D250="","",SUMIFS(Movimientos!$D$2:$D$2000,Movimientos!$B$2:$B$2000,A250))</f>
        <v>0</v>
      </c>
      <c r="M250" s="12">
        <f t="shared" si="6"/>
        <v>250</v>
      </c>
      <c r="N250" s="11"/>
      <c r="O250" s="7" t="str">
        <f t="shared" ca="1" si="7"/>
        <v>Sin fecha</v>
      </c>
      <c r="P250" s="8"/>
      <c r="Q250" s="8"/>
      <c r="R250" s="8"/>
      <c r="S250" s="8" t="s">
        <v>74</v>
      </c>
      <c r="T250" s="8"/>
      <c r="U250" s="8"/>
      <c r="V250" s="8"/>
      <c r="W250" s="8" t="s">
        <v>43</v>
      </c>
      <c r="X250" s="9" t="s">
        <v>108</v>
      </c>
      <c r="Y250" s="13"/>
      <c r="Z250" s="9" t="s">
        <v>1342</v>
      </c>
    </row>
    <row r="251" spans="1:26" x14ac:dyDescent="0.3">
      <c r="A251" s="7" t="s">
        <v>1343</v>
      </c>
      <c r="B251" s="8" t="s">
        <v>47</v>
      </c>
      <c r="C251" s="9"/>
      <c r="D251" s="8" t="s">
        <v>1344</v>
      </c>
      <c r="E251" s="8"/>
      <c r="F251" s="8"/>
      <c r="G251" s="8" t="s">
        <v>42</v>
      </c>
      <c r="H251" s="8" t="s">
        <v>41</v>
      </c>
      <c r="I251" s="10">
        <v>200</v>
      </c>
      <c r="J251" s="10">
        <v>200</v>
      </c>
      <c r="K251" s="11"/>
      <c r="L251" s="12">
        <f>IF(D251="","",SUMIFS(Movimientos!$D$2:$D$2000,Movimientos!$B$2:$B$2000,A251))</f>
        <v>0</v>
      </c>
      <c r="M251" s="12">
        <f t="shared" si="6"/>
        <v>200</v>
      </c>
      <c r="N251" s="11"/>
      <c r="O251" s="7" t="str">
        <f t="shared" ca="1" si="7"/>
        <v>Sin fecha</v>
      </c>
      <c r="P251" s="8"/>
      <c r="Q251" s="8"/>
      <c r="R251" s="8"/>
      <c r="S251" s="8" t="s">
        <v>60</v>
      </c>
      <c r="T251" s="8"/>
      <c r="U251" s="8"/>
      <c r="V251" s="8"/>
      <c r="W251" s="8" t="s">
        <v>43</v>
      </c>
      <c r="X251" s="9" t="s">
        <v>108</v>
      </c>
      <c r="Y251" s="13"/>
      <c r="Z251" s="9" t="s">
        <v>1345</v>
      </c>
    </row>
    <row r="252" spans="1:26" x14ac:dyDescent="0.3">
      <c r="A252" s="7" t="s">
        <v>1346</v>
      </c>
      <c r="B252" s="8" t="s">
        <v>47</v>
      </c>
      <c r="C252" s="9"/>
      <c r="D252" s="8" t="s">
        <v>1347</v>
      </c>
      <c r="E252" s="8"/>
      <c r="F252" s="8"/>
      <c r="G252" s="8" t="s">
        <v>31</v>
      </c>
      <c r="H252" s="8" t="s">
        <v>41</v>
      </c>
      <c r="I252" s="10">
        <v>300</v>
      </c>
      <c r="J252" s="10">
        <v>300</v>
      </c>
      <c r="K252" s="11"/>
      <c r="L252" s="12">
        <f>IF(D252="","",SUMIFS(Movimientos!$D$2:$D$2000,Movimientos!$B$2:$B$2000,A252))</f>
        <v>0</v>
      </c>
      <c r="M252" s="12">
        <f t="shared" si="6"/>
        <v>300</v>
      </c>
      <c r="N252" s="11"/>
      <c r="O252" s="7" t="str">
        <f t="shared" ca="1" si="7"/>
        <v>Sin fecha</v>
      </c>
      <c r="P252" s="8"/>
      <c r="Q252" s="8"/>
      <c r="R252" s="8"/>
      <c r="S252" s="8" t="s">
        <v>60</v>
      </c>
      <c r="T252" s="8"/>
      <c r="U252" s="8"/>
      <c r="V252" s="8"/>
      <c r="W252" s="8" t="s">
        <v>43</v>
      </c>
      <c r="X252" s="9" t="s">
        <v>108</v>
      </c>
      <c r="Y252" s="13"/>
      <c r="Z252" s="9" t="s">
        <v>1348</v>
      </c>
    </row>
    <row r="253" spans="1:26" x14ac:dyDescent="0.3">
      <c r="A253" s="7" t="s">
        <v>1349</v>
      </c>
      <c r="B253" s="8" t="s">
        <v>47</v>
      </c>
      <c r="C253" s="9"/>
      <c r="D253" s="8" t="s">
        <v>1350</v>
      </c>
      <c r="E253" s="8"/>
      <c r="F253" s="8"/>
      <c r="G253" s="8" t="s">
        <v>42</v>
      </c>
      <c r="H253" s="8" t="s">
        <v>41</v>
      </c>
      <c r="I253" s="10">
        <v>600</v>
      </c>
      <c r="J253" s="10">
        <v>600</v>
      </c>
      <c r="K253" s="11"/>
      <c r="L253" s="12">
        <f>IF(D253="","",SUMIFS(Movimientos!$D$2:$D$2000,Movimientos!$B$2:$B$2000,A253))</f>
        <v>0</v>
      </c>
      <c r="M253" s="12">
        <f t="shared" si="6"/>
        <v>600</v>
      </c>
      <c r="N253" s="11"/>
      <c r="O253" s="7" t="str">
        <f t="shared" ca="1" si="7"/>
        <v>Sin fecha</v>
      </c>
      <c r="P253" s="8"/>
      <c r="Q253" s="8"/>
      <c r="R253" s="8"/>
      <c r="S253" s="8" t="s">
        <v>60</v>
      </c>
      <c r="T253" s="8"/>
      <c r="U253" s="8"/>
      <c r="V253" s="8"/>
      <c r="W253" s="8" t="s">
        <v>43</v>
      </c>
      <c r="X253" s="9" t="s">
        <v>108</v>
      </c>
      <c r="Y253" s="13"/>
      <c r="Z253" s="9" t="s">
        <v>1351</v>
      </c>
    </row>
    <row r="254" spans="1:26" x14ac:dyDescent="0.3">
      <c r="A254" s="7" t="s">
        <v>1352</v>
      </c>
      <c r="B254" s="8" t="s">
        <v>47</v>
      </c>
      <c r="C254" s="9"/>
      <c r="D254" s="8" t="s">
        <v>1353</v>
      </c>
      <c r="E254" s="8" t="s">
        <v>591</v>
      </c>
      <c r="F254" s="8"/>
      <c r="G254" s="8" t="s">
        <v>31</v>
      </c>
      <c r="H254" s="8" t="s">
        <v>30</v>
      </c>
      <c r="I254" s="10">
        <v>48</v>
      </c>
      <c r="J254" s="10">
        <v>48</v>
      </c>
      <c r="K254" s="11"/>
      <c r="L254" s="12">
        <f>IF(D254="","",SUMIFS(Movimientos!$D$2:$D$2000,Movimientos!$B$2:$B$2000,A254))</f>
        <v>0</v>
      </c>
      <c r="M254" s="12">
        <f t="shared" si="6"/>
        <v>48</v>
      </c>
      <c r="N254" s="11"/>
      <c r="O254" s="7" t="str">
        <f t="shared" ca="1" si="7"/>
        <v>Sin fecha</v>
      </c>
      <c r="P254" s="8"/>
      <c r="Q254" s="8"/>
      <c r="R254" s="8"/>
      <c r="S254" s="8" t="s">
        <v>60</v>
      </c>
      <c r="T254" s="8"/>
      <c r="U254" s="8"/>
      <c r="V254" s="8"/>
      <c r="W254" s="8" t="s">
        <v>43</v>
      </c>
      <c r="X254" s="9" t="s">
        <v>108</v>
      </c>
      <c r="Y254" s="13"/>
      <c r="Z254" s="9" t="s">
        <v>1354</v>
      </c>
    </row>
    <row r="255" spans="1:26" x14ac:dyDescent="0.3">
      <c r="A255" s="7" t="s">
        <v>1355</v>
      </c>
      <c r="B255" s="8" t="s">
        <v>47</v>
      </c>
      <c r="C255" s="9"/>
      <c r="D255" s="8" t="s">
        <v>1356</v>
      </c>
      <c r="E255" s="8" t="s">
        <v>1357</v>
      </c>
      <c r="F255" s="8"/>
      <c r="G255" s="8" t="s">
        <v>31</v>
      </c>
      <c r="H255" s="8" t="s">
        <v>30</v>
      </c>
      <c r="I255" s="10">
        <v>30</v>
      </c>
      <c r="J255" s="10">
        <v>30</v>
      </c>
      <c r="K255" s="11"/>
      <c r="L255" s="12">
        <f>IF(D255="","",SUMIFS(Movimientos!$D$2:$D$2000,Movimientos!$B$2:$B$2000,A255))</f>
        <v>0</v>
      </c>
      <c r="M255" s="12">
        <f t="shared" si="6"/>
        <v>30</v>
      </c>
      <c r="N255" s="11"/>
      <c r="O255" s="7" t="str">
        <f t="shared" ca="1" si="7"/>
        <v>Sin fecha</v>
      </c>
      <c r="P255" s="8"/>
      <c r="Q255" s="8"/>
      <c r="R255" s="8"/>
      <c r="S255" s="8" t="s">
        <v>60</v>
      </c>
      <c r="T255" s="8"/>
      <c r="U255" s="8"/>
      <c r="V255" s="8"/>
      <c r="W255" s="8" t="s">
        <v>43</v>
      </c>
      <c r="X255" s="9" t="s">
        <v>108</v>
      </c>
      <c r="Y255" s="13"/>
      <c r="Z255" s="9" t="s">
        <v>1358</v>
      </c>
    </row>
    <row r="256" spans="1:26" x14ac:dyDescent="0.3">
      <c r="A256" s="7" t="s">
        <v>1359</v>
      </c>
      <c r="B256" s="8" t="s">
        <v>47</v>
      </c>
      <c r="C256" s="9"/>
      <c r="D256" s="8" t="s">
        <v>1360</v>
      </c>
      <c r="E256" s="8"/>
      <c r="F256" s="8"/>
      <c r="G256" s="8" t="s">
        <v>31</v>
      </c>
      <c r="H256" s="8" t="s">
        <v>30</v>
      </c>
      <c r="I256" s="10">
        <v>30</v>
      </c>
      <c r="J256" s="10">
        <v>30</v>
      </c>
      <c r="K256" s="11"/>
      <c r="L256" s="12">
        <f>IF(D256="","",SUMIFS(Movimientos!$D$2:$D$2000,Movimientos!$B$2:$B$2000,A256))</f>
        <v>0</v>
      </c>
      <c r="M256" s="12">
        <f t="shared" si="6"/>
        <v>30</v>
      </c>
      <c r="N256" s="11"/>
      <c r="O256" s="7" t="str">
        <f t="shared" ca="1" si="7"/>
        <v>Sin fecha</v>
      </c>
      <c r="P256" s="8"/>
      <c r="Q256" s="8"/>
      <c r="R256" s="8"/>
      <c r="S256" s="8" t="s">
        <v>60</v>
      </c>
      <c r="T256" s="8"/>
      <c r="U256" s="8"/>
      <c r="V256" s="8"/>
      <c r="W256" s="8" t="s">
        <v>43</v>
      </c>
      <c r="X256" s="9" t="s">
        <v>108</v>
      </c>
      <c r="Y256" s="13"/>
      <c r="Z256" s="9" t="s">
        <v>1361</v>
      </c>
    </row>
    <row r="257" spans="1:26" x14ac:dyDescent="0.3">
      <c r="A257" s="7" t="s">
        <v>1362</v>
      </c>
      <c r="B257" s="8" t="s">
        <v>47</v>
      </c>
      <c r="C257" s="9"/>
      <c r="D257" s="8" t="s">
        <v>1363</v>
      </c>
      <c r="E257" s="8"/>
      <c r="F257" s="8"/>
      <c r="G257" s="8" t="s">
        <v>42</v>
      </c>
      <c r="H257" s="8" t="s">
        <v>41</v>
      </c>
      <c r="I257" s="10">
        <v>150</v>
      </c>
      <c r="J257" s="10">
        <v>150</v>
      </c>
      <c r="K257" s="11"/>
      <c r="L257" s="12">
        <f>IF(D257="","",SUMIFS(Movimientos!$D$2:$D$2000,Movimientos!$B$2:$B$2000,A257))</f>
        <v>0</v>
      </c>
      <c r="M257" s="12">
        <f t="shared" si="6"/>
        <v>150</v>
      </c>
      <c r="N257" s="11"/>
      <c r="O257" s="7" t="str">
        <f t="shared" ca="1" si="7"/>
        <v>Sin fecha</v>
      </c>
      <c r="P257" s="8"/>
      <c r="Q257" s="8"/>
      <c r="R257" s="8"/>
      <c r="S257" s="8" t="s">
        <v>74</v>
      </c>
      <c r="T257" s="8"/>
      <c r="U257" s="8"/>
      <c r="V257" s="8"/>
      <c r="W257" s="8" t="s">
        <v>43</v>
      </c>
      <c r="X257" s="9" t="s">
        <v>108</v>
      </c>
      <c r="Y257" s="13"/>
      <c r="Z257" s="9" t="s">
        <v>1364</v>
      </c>
    </row>
    <row r="258" spans="1:26" x14ac:dyDescent="0.3">
      <c r="A258" s="7" t="s">
        <v>1365</v>
      </c>
      <c r="B258" s="8" t="s">
        <v>47</v>
      </c>
      <c r="C258" s="9"/>
      <c r="D258" s="8" t="s">
        <v>950</v>
      </c>
      <c r="E258" s="8" t="s">
        <v>1366</v>
      </c>
      <c r="F258" s="8"/>
      <c r="G258" s="8" t="s">
        <v>42</v>
      </c>
      <c r="H258" s="8" t="s">
        <v>41</v>
      </c>
      <c r="I258" s="10">
        <v>150</v>
      </c>
      <c r="J258" s="10">
        <v>150</v>
      </c>
      <c r="K258" s="11"/>
      <c r="L258" s="12">
        <f>IF(D258="","",SUMIFS(Movimientos!$D$2:$D$2000,Movimientos!$B$2:$B$2000,A258))</f>
        <v>0</v>
      </c>
      <c r="M258" s="12">
        <f t="shared" ref="M258:M321" si="8">IF(J258="","",J258-L258)</f>
        <v>150</v>
      </c>
      <c r="N258" s="11"/>
      <c r="O258" s="7" t="str">
        <f t="shared" ref="O258:O321" ca="1" si="9">IF(D258="","",IF(N258="","Sin fecha",IF(N258&lt;TODAY(),"VENCIDO",IF(N258&lt;TODAY()+90,"Por vencer","Vigente"))))</f>
        <v>Sin fecha</v>
      </c>
      <c r="P258" s="8"/>
      <c r="Q258" s="8"/>
      <c r="R258" s="8"/>
      <c r="S258" s="8" t="s">
        <v>60</v>
      </c>
      <c r="T258" s="8"/>
      <c r="U258" s="8"/>
      <c r="V258" s="8"/>
      <c r="W258" s="8" t="s">
        <v>43</v>
      </c>
      <c r="X258" s="9" t="s">
        <v>108</v>
      </c>
      <c r="Y258" s="13"/>
      <c r="Z258" s="9" t="s">
        <v>1367</v>
      </c>
    </row>
    <row r="259" spans="1:26" x14ac:dyDescent="0.3">
      <c r="A259" s="7" t="s">
        <v>1368</v>
      </c>
      <c r="B259" s="8" t="s">
        <v>47</v>
      </c>
      <c r="C259" s="9"/>
      <c r="D259" s="8" t="s">
        <v>1369</v>
      </c>
      <c r="E259" s="8"/>
      <c r="F259" s="8"/>
      <c r="G259" s="8" t="s">
        <v>42</v>
      </c>
      <c r="H259" s="8" t="s">
        <v>41</v>
      </c>
      <c r="I259" s="10">
        <v>235</v>
      </c>
      <c r="J259" s="10">
        <v>235</v>
      </c>
      <c r="K259" s="11"/>
      <c r="L259" s="12">
        <f>IF(D259="","",SUMIFS(Movimientos!$D$2:$D$2000,Movimientos!$B$2:$B$2000,A259))</f>
        <v>0</v>
      </c>
      <c r="M259" s="12">
        <f t="shared" si="8"/>
        <v>235</v>
      </c>
      <c r="N259" s="11"/>
      <c r="O259" s="7" t="str">
        <f t="shared" ca="1" si="9"/>
        <v>Sin fecha</v>
      </c>
      <c r="P259" s="8"/>
      <c r="Q259" s="8"/>
      <c r="R259" s="8" t="s">
        <v>1370</v>
      </c>
      <c r="S259" s="8" t="s">
        <v>72</v>
      </c>
      <c r="T259" s="8"/>
      <c r="U259" s="8"/>
      <c r="V259" s="8"/>
      <c r="W259" s="8" t="s">
        <v>43</v>
      </c>
      <c r="X259" s="9" t="s">
        <v>108</v>
      </c>
      <c r="Y259" s="13"/>
      <c r="Z259" s="9" t="s">
        <v>1371</v>
      </c>
    </row>
    <row r="260" spans="1:26" x14ac:dyDescent="0.3">
      <c r="A260" s="7" t="s">
        <v>1372</v>
      </c>
      <c r="B260" s="8" t="s">
        <v>47</v>
      </c>
      <c r="C260" s="9"/>
      <c r="D260" s="8" t="s">
        <v>1373</v>
      </c>
      <c r="E260" s="8"/>
      <c r="F260" s="8"/>
      <c r="G260" s="8" t="s">
        <v>42</v>
      </c>
      <c r="H260" s="8" t="s">
        <v>41</v>
      </c>
      <c r="I260" s="10">
        <v>150</v>
      </c>
      <c r="J260" s="10">
        <v>150</v>
      </c>
      <c r="K260" s="11"/>
      <c r="L260" s="12">
        <f>IF(D260="","",SUMIFS(Movimientos!$D$2:$D$2000,Movimientos!$B$2:$B$2000,A260))</f>
        <v>0</v>
      </c>
      <c r="M260" s="12">
        <f t="shared" si="8"/>
        <v>150</v>
      </c>
      <c r="N260" s="11"/>
      <c r="O260" s="7" t="str">
        <f t="shared" ca="1" si="9"/>
        <v>Sin fecha</v>
      </c>
      <c r="P260" s="8"/>
      <c r="Q260" s="8"/>
      <c r="R260" s="8"/>
      <c r="S260" s="8" t="s">
        <v>72</v>
      </c>
      <c r="T260" s="8"/>
      <c r="U260" s="8"/>
      <c r="V260" s="8"/>
      <c r="W260" s="8" t="s">
        <v>43</v>
      </c>
      <c r="X260" s="9" t="s">
        <v>108</v>
      </c>
      <c r="Y260" s="13"/>
      <c r="Z260" s="9" t="s">
        <v>1374</v>
      </c>
    </row>
    <row r="261" spans="1:26" x14ac:dyDescent="0.3">
      <c r="A261" s="7" t="s">
        <v>1375</v>
      </c>
      <c r="B261" s="8" t="s">
        <v>47</v>
      </c>
      <c r="C261" s="9"/>
      <c r="D261" s="8" t="s">
        <v>1192</v>
      </c>
      <c r="E261" s="8"/>
      <c r="F261" s="8"/>
      <c r="G261" s="8" t="s">
        <v>42</v>
      </c>
      <c r="H261" s="8" t="s">
        <v>41</v>
      </c>
      <c r="I261" s="10">
        <v>150</v>
      </c>
      <c r="J261" s="10">
        <v>150</v>
      </c>
      <c r="K261" s="11"/>
      <c r="L261" s="12">
        <f>IF(D261="","",SUMIFS(Movimientos!$D$2:$D$2000,Movimientos!$B$2:$B$2000,A261))</f>
        <v>0</v>
      </c>
      <c r="M261" s="12">
        <f t="shared" si="8"/>
        <v>150</v>
      </c>
      <c r="N261" s="11"/>
      <c r="O261" s="7" t="str">
        <f t="shared" ca="1" si="9"/>
        <v>Sin fecha</v>
      </c>
      <c r="P261" s="8"/>
      <c r="Q261" s="8"/>
      <c r="R261" s="8"/>
      <c r="S261" s="8" t="s">
        <v>60</v>
      </c>
      <c r="T261" s="8"/>
      <c r="U261" s="8"/>
      <c r="V261" s="8"/>
      <c r="W261" s="8" t="s">
        <v>43</v>
      </c>
      <c r="X261" s="9" t="s">
        <v>108</v>
      </c>
      <c r="Y261" s="13"/>
      <c r="Z261" s="9" t="s">
        <v>1376</v>
      </c>
    </row>
    <row r="262" spans="1:26" x14ac:dyDescent="0.3">
      <c r="A262" s="7" t="s">
        <v>1377</v>
      </c>
      <c r="B262" s="8" t="s">
        <v>47</v>
      </c>
      <c r="C262" s="9"/>
      <c r="D262" s="8" t="s">
        <v>1378</v>
      </c>
      <c r="E262" s="8"/>
      <c r="F262" s="8"/>
      <c r="G262" s="8" t="s">
        <v>42</v>
      </c>
      <c r="H262" s="8" t="s">
        <v>41</v>
      </c>
      <c r="I262" s="10">
        <v>120</v>
      </c>
      <c r="J262" s="10">
        <v>120</v>
      </c>
      <c r="K262" s="11"/>
      <c r="L262" s="12">
        <f>IF(D262="","",SUMIFS(Movimientos!$D$2:$D$2000,Movimientos!$B$2:$B$2000,A262))</f>
        <v>0</v>
      </c>
      <c r="M262" s="12">
        <f t="shared" si="8"/>
        <v>120</v>
      </c>
      <c r="N262" s="11"/>
      <c r="O262" s="7" t="str">
        <f t="shared" ca="1" si="9"/>
        <v>Sin fecha</v>
      </c>
      <c r="P262" s="8"/>
      <c r="Q262" s="8"/>
      <c r="R262" s="8"/>
      <c r="S262" s="8" t="s">
        <v>72</v>
      </c>
      <c r="T262" s="8"/>
      <c r="U262" s="8"/>
      <c r="V262" s="8"/>
      <c r="W262" s="8" t="s">
        <v>43</v>
      </c>
      <c r="X262" s="9" t="s">
        <v>108</v>
      </c>
      <c r="Y262" s="13"/>
      <c r="Z262" s="9" t="s">
        <v>1379</v>
      </c>
    </row>
    <row r="263" spans="1:26" x14ac:dyDescent="0.3">
      <c r="A263" s="7" t="s">
        <v>1380</v>
      </c>
      <c r="B263" s="8" t="s">
        <v>47</v>
      </c>
      <c r="C263" s="9"/>
      <c r="D263" s="8" t="s">
        <v>1381</v>
      </c>
      <c r="E263" s="8"/>
      <c r="F263" s="8"/>
      <c r="G263" s="8" t="s">
        <v>42</v>
      </c>
      <c r="H263" s="8" t="s">
        <v>41</v>
      </c>
      <c r="I263" s="10">
        <v>30</v>
      </c>
      <c r="J263" s="10">
        <v>30</v>
      </c>
      <c r="K263" s="11"/>
      <c r="L263" s="12">
        <f>IF(D263="","",SUMIFS(Movimientos!$D$2:$D$2000,Movimientos!$B$2:$B$2000,A263))</f>
        <v>0</v>
      </c>
      <c r="M263" s="12">
        <f t="shared" si="8"/>
        <v>30</v>
      </c>
      <c r="N263" s="11"/>
      <c r="O263" s="7" t="str">
        <f t="shared" ca="1" si="9"/>
        <v>Sin fecha</v>
      </c>
      <c r="P263" s="8"/>
      <c r="Q263" s="8"/>
      <c r="R263" s="8"/>
      <c r="S263" s="8" t="s">
        <v>60</v>
      </c>
      <c r="T263" s="8"/>
      <c r="U263" s="8"/>
      <c r="V263" s="8"/>
      <c r="W263" s="8" t="s">
        <v>43</v>
      </c>
      <c r="X263" s="9" t="s">
        <v>108</v>
      </c>
      <c r="Y263" s="13"/>
      <c r="Z263" s="9" t="s">
        <v>1382</v>
      </c>
    </row>
    <row r="264" spans="1:26" x14ac:dyDescent="0.3">
      <c r="A264" s="7" t="s">
        <v>1383</v>
      </c>
      <c r="B264" s="8" t="s">
        <v>47</v>
      </c>
      <c r="C264" s="9"/>
      <c r="D264" s="8" t="s">
        <v>1384</v>
      </c>
      <c r="E264" s="8"/>
      <c r="F264" s="8"/>
      <c r="G264" s="8" t="s">
        <v>42</v>
      </c>
      <c r="H264" s="8" t="s">
        <v>41</v>
      </c>
      <c r="I264" s="10">
        <v>50</v>
      </c>
      <c r="J264" s="10">
        <v>50</v>
      </c>
      <c r="K264" s="11"/>
      <c r="L264" s="12">
        <f>IF(D264="","",SUMIFS(Movimientos!$D$2:$D$2000,Movimientos!$B$2:$B$2000,A264))</f>
        <v>0</v>
      </c>
      <c r="M264" s="12">
        <f t="shared" si="8"/>
        <v>50</v>
      </c>
      <c r="N264" s="11"/>
      <c r="O264" s="7" t="str">
        <f t="shared" ca="1" si="9"/>
        <v>Sin fecha</v>
      </c>
      <c r="P264" s="8"/>
      <c r="Q264" s="8"/>
      <c r="R264" s="8"/>
      <c r="S264" s="8" t="s">
        <v>60</v>
      </c>
      <c r="T264" s="8"/>
      <c r="U264" s="8"/>
      <c r="V264" s="8"/>
      <c r="W264" s="8" t="s">
        <v>43</v>
      </c>
      <c r="X264" s="9" t="s">
        <v>108</v>
      </c>
      <c r="Y264" s="13"/>
      <c r="Z264" s="9" t="s">
        <v>1385</v>
      </c>
    </row>
    <row r="265" spans="1:26" x14ac:dyDescent="0.3">
      <c r="A265" s="7" t="s">
        <v>1386</v>
      </c>
      <c r="B265" s="8" t="s">
        <v>47</v>
      </c>
      <c r="C265" s="9"/>
      <c r="D265" s="8" t="s">
        <v>1387</v>
      </c>
      <c r="E265" s="8"/>
      <c r="F265" s="8"/>
      <c r="G265" s="8" t="s">
        <v>31</v>
      </c>
      <c r="H265" s="8" t="s">
        <v>30</v>
      </c>
      <c r="I265" s="10">
        <v>50</v>
      </c>
      <c r="J265" s="10">
        <v>50</v>
      </c>
      <c r="K265" s="11"/>
      <c r="L265" s="12">
        <f>IF(D265="","",SUMIFS(Movimientos!$D$2:$D$2000,Movimientos!$B$2:$B$2000,A265))</f>
        <v>0</v>
      </c>
      <c r="M265" s="12">
        <f t="shared" si="8"/>
        <v>50</v>
      </c>
      <c r="N265" s="11"/>
      <c r="O265" s="7" t="str">
        <f t="shared" ca="1" si="9"/>
        <v>Sin fecha</v>
      </c>
      <c r="P265" s="8"/>
      <c r="Q265" s="8"/>
      <c r="R265" s="8"/>
      <c r="S265" s="8" t="s">
        <v>60</v>
      </c>
      <c r="T265" s="8"/>
      <c r="U265" s="8"/>
      <c r="V265" s="8"/>
      <c r="W265" s="8" t="s">
        <v>43</v>
      </c>
      <c r="X265" s="9" t="s">
        <v>108</v>
      </c>
      <c r="Y265" s="13"/>
      <c r="Z265" s="9" t="s">
        <v>1388</v>
      </c>
    </row>
    <row r="266" spans="1:26" x14ac:dyDescent="0.3">
      <c r="A266" s="7" t="s">
        <v>1389</v>
      </c>
      <c r="B266" s="8" t="s">
        <v>47</v>
      </c>
      <c r="C266" s="9"/>
      <c r="D266" s="8" t="s">
        <v>1390</v>
      </c>
      <c r="E266" s="8"/>
      <c r="F266" s="8"/>
      <c r="G266" s="8" t="s">
        <v>42</v>
      </c>
      <c r="H266" s="8" t="s">
        <v>41</v>
      </c>
      <c r="I266" s="10">
        <v>110</v>
      </c>
      <c r="J266" s="10">
        <v>110</v>
      </c>
      <c r="K266" s="11"/>
      <c r="L266" s="12">
        <f>IF(D266="","",SUMIFS(Movimientos!$D$2:$D$2000,Movimientos!$B$2:$B$2000,A266))</f>
        <v>0</v>
      </c>
      <c r="M266" s="12">
        <f t="shared" si="8"/>
        <v>110</v>
      </c>
      <c r="N266" s="11"/>
      <c r="O266" s="7" t="str">
        <f t="shared" ca="1" si="9"/>
        <v>Sin fecha</v>
      </c>
      <c r="P266" s="8"/>
      <c r="Q266" s="8"/>
      <c r="R266" s="8"/>
      <c r="S266" s="8" t="s">
        <v>69</v>
      </c>
      <c r="T266" s="8"/>
      <c r="U266" s="8"/>
      <c r="V266" s="8"/>
      <c r="W266" s="8" t="s">
        <v>43</v>
      </c>
      <c r="X266" s="9" t="s">
        <v>108</v>
      </c>
      <c r="Y266" s="13"/>
      <c r="Z266" s="9" t="s">
        <v>1391</v>
      </c>
    </row>
    <row r="267" spans="1:26" x14ac:dyDescent="0.3">
      <c r="A267" s="7" t="s">
        <v>1392</v>
      </c>
      <c r="B267" s="8" t="s">
        <v>47</v>
      </c>
      <c r="C267" s="9"/>
      <c r="D267" s="8" t="s">
        <v>1393</v>
      </c>
      <c r="E267" s="8"/>
      <c r="F267" s="8"/>
      <c r="G267" s="8" t="s">
        <v>42</v>
      </c>
      <c r="H267" s="8" t="s">
        <v>41</v>
      </c>
      <c r="I267" s="10">
        <v>60</v>
      </c>
      <c r="J267" s="10">
        <v>60</v>
      </c>
      <c r="K267" s="11"/>
      <c r="L267" s="12">
        <f>IF(D267="","",SUMIFS(Movimientos!$D$2:$D$2000,Movimientos!$B$2:$B$2000,A267))</f>
        <v>0</v>
      </c>
      <c r="M267" s="12">
        <f t="shared" si="8"/>
        <v>60</v>
      </c>
      <c r="N267" s="11"/>
      <c r="O267" s="7" t="str">
        <f t="shared" ca="1" si="9"/>
        <v>Sin fecha</v>
      </c>
      <c r="P267" s="8"/>
      <c r="Q267" s="8"/>
      <c r="R267" s="8"/>
      <c r="S267" s="8" t="s">
        <v>60</v>
      </c>
      <c r="T267" s="8"/>
      <c r="U267" s="8"/>
      <c r="V267" s="8"/>
      <c r="W267" s="8" t="s">
        <v>43</v>
      </c>
      <c r="X267" s="9" t="s">
        <v>108</v>
      </c>
      <c r="Y267" s="13"/>
      <c r="Z267" s="9" t="s">
        <v>1394</v>
      </c>
    </row>
    <row r="268" spans="1:26" x14ac:dyDescent="0.3">
      <c r="A268" s="7" t="s">
        <v>1395</v>
      </c>
      <c r="B268" s="8" t="s">
        <v>47</v>
      </c>
      <c r="C268" s="9"/>
      <c r="D268" s="8" t="s">
        <v>1396</v>
      </c>
      <c r="E268" s="8"/>
      <c r="F268" s="8"/>
      <c r="G268" s="8" t="s">
        <v>42</v>
      </c>
      <c r="H268" s="8" t="s">
        <v>41</v>
      </c>
      <c r="I268" s="10">
        <v>50</v>
      </c>
      <c r="J268" s="10">
        <v>50</v>
      </c>
      <c r="K268" s="11"/>
      <c r="L268" s="12">
        <f>IF(D268="","",SUMIFS(Movimientos!$D$2:$D$2000,Movimientos!$B$2:$B$2000,A268))</f>
        <v>0</v>
      </c>
      <c r="M268" s="12">
        <f t="shared" si="8"/>
        <v>50</v>
      </c>
      <c r="N268" s="11"/>
      <c r="O268" s="7" t="str">
        <f t="shared" ca="1" si="9"/>
        <v>Sin fecha</v>
      </c>
      <c r="P268" s="8"/>
      <c r="Q268" s="8"/>
      <c r="R268" s="8"/>
      <c r="S268" s="8" t="s">
        <v>72</v>
      </c>
      <c r="T268" s="8"/>
      <c r="U268" s="8"/>
      <c r="V268" s="8"/>
      <c r="W268" s="8" t="s">
        <v>43</v>
      </c>
      <c r="X268" s="9" t="s">
        <v>108</v>
      </c>
      <c r="Y268" s="13"/>
      <c r="Z268" s="9" t="s">
        <v>1397</v>
      </c>
    </row>
    <row r="269" spans="1:26" x14ac:dyDescent="0.3">
      <c r="A269" s="7" t="s">
        <v>1398</v>
      </c>
      <c r="B269" s="8" t="s">
        <v>47</v>
      </c>
      <c r="C269" s="9"/>
      <c r="D269" s="8" t="s">
        <v>1399</v>
      </c>
      <c r="E269" s="8"/>
      <c r="F269" s="8"/>
      <c r="G269" s="8" t="s">
        <v>42</v>
      </c>
      <c r="H269" s="8" t="s">
        <v>41</v>
      </c>
      <c r="I269" s="10">
        <v>40</v>
      </c>
      <c r="J269" s="10">
        <v>40</v>
      </c>
      <c r="K269" s="11"/>
      <c r="L269" s="12">
        <f>IF(D269="","",SUMIFS(Movimientos!$D$2:$D$2000,Movimientos!$B$2:$B$2000,A269))</f>
        <v>0</v>
      </c>
      <c r="M269" s="12">
        <f t="shared" si="8"/>
        <v>40</v>
      </c>
      <c r="N269" s="11"/>
      <c r="O269" s="7" t="str">
        <f t="shared" ca="1" si="9"/>
        <v>Sin fecha</v>
      </c>
      <c r="P269" s="8"/>
      <c r="Q269" s="8"/>
      <c r="R269" s="8"/>
      <c r="S269" s="8" t="s">
        <v>72</v>
      </c>
      <c r="T269" s="8"/>
      <c r="U269" s="8"/>
      <c r="V269" s="8"/>
      <c r="W269" s="8" t="s">
        <v>43</v>
      </c>
      <c r="X269" s="9" t="s">
        <v>108</v>
      </c>
      <c r="Y269" s="13"/>
      <c r="Z269" s="9" t="s">
        <v>1400</v>
      </c>
    </row>
    <row r="270" spans="1:26" x14ac:dyDescent="0.3">
      <c r="A270" s="7" t="s">
        <v>1401</v>
      </c>
      <c r="B270" s="8" t="s">
        <v>47</v>
      </c>
      <c r="C270" s="9"/>
      <c r="D270" s="8" t="s">
        <v>1402</v>
      </c>
      <c r="E270" s="8"/>
      <c r="F270" s="8"/>
      <c r="G270" s="8" t="s">
        <v>42</v>
      </c>
      <c r="H270" s="8" t="s">
        <v>41</v>
      </c>
      <c r="I270" s="10">
        <v>350</v>
      </c>
      <c r="J270" s="10">
        <v>350</v>
      </c>
      <c r="K270" s="11"/>
      <c r="L270" s="12">
        <f>IF(D270="","",SUMIFS(Movimientos!$D$2:$D$2000,Movimientos!$B$2:$B$2000,A270))</f>
        <v>0</v>
      </c>
      <c r="M270" s="12">
        <f t="shared" si="8"/>
        <v>350</v>
      </c>
      <c r="N270" s="11"/>
      <c r="O270" s="7" t="str">
        <f t="shared" ca="1" si="9"/>
        <v>Sin fecha</v>
      </c>
      <c r="P270" s="8"/>
      <c r="Q270" s="8"/>
      <c r="R270" s="8"/>
      <c r="S270" s="8" t="s">
        <v>69</v>
      </c>
      <c r="T270" s="8"/>
      <c r="U270" s="8"/>
      <c r="V270" s="8"/>
      <c r="W270" s="8" t="s">
        <v>43</v>
      </c>
      <c r="X270" s="9" t="s">
        <v>108</v>
      </c>
      <c r="Y270" s="13"/>
      <c r="Z270" s="9" t="s">
        <v>1403</v>
      </c>
    </row>
    <row r="271" spans="1:26" x14ac:dyDescent="0.3">
      <c r="A271" s="7" t="s">
        <v>1404</v>
      </c>
      <c r="B271" s="8" t="s">
        <v>47</v>
      </c>
      <c r="C271" s="9"/>
      <c r="D271" s="8" t="s">
        <v>1405</v>
      </c>
      <c r="E271" s="8"/>
      <c r="F271" s="8"/>
      <c r="G271" s="8" t="s">
        <v>42</v>
      </c>
      <c r="H271" s="8" t="s">
        <v>41</v>
      </c>
      <c r="I271" s="10">
        <v>40</v>
      </c>
      <c r="J271" s="10">
        <v>40</v>
      </c>
      <c r="K271" s="11"/>
      <c r="L271" s="12">
        <f>IF(D271="","",SUMIFS(Movimientos!$D$2:$D$2000,Movimientos!$B$2:$B$2000,A271))</f>
        <v>0</v>
      </c>
      <c r="M271" s="12">
        <f t="shared" si="8"/>
        <v>40</v>
      </c>
      <c r="N271" s="11"/>
      <c r="O271" s="7" t="str">
        <f t="shared" ca="1" si="9"/>
        <v>Sin fecha</v>
      </c>
      <c r="P271" s="8"/>
      <c r="Q271" s="8"/>
      <c r="R271" s="8"/>
      <c r="S271" s="8" t="s">
        <v>72</v>
      </c>
      <c r="T271" s="8"/>
      <c r="U271" s="8"/>
      <c r="V271" s="8"/>
      <c r="W271" s="8" t="s">
        <v>43</v>
      </c>
      <c r="X271" s="9" t="s">
        <v>108</v>
      </c>
      <c r="Y271" s="13"/>
      <c r="Z271" s="9" t="s">
        <v>1406</v>
      </c>
    </row>
    <row r="272" spans="1:26" x14ac:dyDescent="0.3">
      <c r="A272" s="7" t="s">
        <v>1407</v>
      </c>
      <c r="B272" s="8" t="s">
        <v>47</v>
      </c>
      <c r="C272" s="9"/>
      <c r="D272" s="8" t="s">
        <v>1408</v>
      </c>
      <c r="E272" s="8"/>
      <c r="F272" s="8"/>
      <c r="G272" s="8" t="s">
        <v>42</v>
      </c>
      <c r="H272" s="8" t="s">
        <v>41</v>
      </c>
      <c r="I272" s="10">
        <v>30</v>
      </c>
      <c r="J272" s="10">
        <v>30</v>
      </c>
      <c r="K272" s="11"/>
      <c r="L272" s="12">
        <f>IF(D272="","",SUMIFS(Movimientos!$D$2:$D$2000,Movimientos!$B$2:$B$2000,A272))</f>
        <v>0</v>
      </c>
      <c r="M272" s="12">
        <f t="shared" si="8"/>
        <v>30</v>
      </c>
      <c r="N272" s="11"/>
      <c r="O272" s="7" t="str">
        <f t="shared" ca="1" si="9"/>
        <v>Sin fecha</v>
      </c>
      <c r="P272" s="8"/>
      <c r="Q272" s="8"/>
      <c r="R272" s="8"/>
      <c r="S272" s="8" t="s">
        <v>60</v>
      </c>
      <c r="T272" s="8"/>
      <c r="U272" s="8"/>
      <c r="V272" s="8"/>
      <c r="W272" s="8" t="s">
        <v>43</v>
      </c>
      <c r="X272" s="9" t="s">
        <v>108</v>
      </c>
      <c r="Y272" s="13"/>
      <c r="Z272" s="9" t="s">
        <v>1409</v>
      </c>
    </row>
    <row r="273" spans="1:26" x14ac:dyDescent="0.3">
      <c r="A273" s="7" t="s">
        <v>1410</v>
      </c>
      <c r="B273" s="8" t="s">
        <v>47</v>
      </c>
      <c r="C273" s="9"/>
      <c r="D273" s="8" t="s">
        <v>1411</v>
      </c>
      <c r="E273" s="8"/>
      <c r="F273" s="8"/>
      <c r="G273" s="8" t="s">
        <v>42</v>
      </c>
      <c r="H273" s="8" t="s">
        <v>41</v>
      </c>
      <c r="I273" s="10">
        <v>26</v>
      </c>
      <c r="J273" s="10">
        <v>26</v>
      </c>
      <c r="K273" s="11"/>
      <c r="L273" s="12">
        <f>IF(D273="","",SUMIFS(Movimientos!$D$2:$D$2000,Movimientos!$B$2:$B$2000,A273))</f>
        <v>0</v>
      </c>
      <c r="M273" s="12">
        <f t="shared" si="8"/>
        <v>26</v>
      </c>
      <c r="N273" s="11"/>
      <c r="O273" s="7" t="str">
        <f t="shared" ca="1" si="9"/>
        <v>Sin fecha</v>
      </c>
      <c r="P273" s="8"/>
      <c r="Q273" s="8"/>
      <c r="R273" s="8"/>
      <c r="S273" s="8" t="s">
        <v>69</v>
      </c>
      <c r="T273" s="8"/>
      <c r="U273" s="8"/>
      <c r="V273" s="8"/>
      <c r="W273" s="8" t="s">
        <v>43</v>
      </c>
      <c r="X273" s="9" t="s">
        <v>108</v>
      </c>
      <c r="Y273" s="13"/>
      <c r="Z273" s="9" t="s">
        <v>1412</v>
      </c>
    </row>
    <row r="274" spans="1:26" x14ac:dyDescent="0.3">
      <c r="A274" s="7" t="s">
        <v>1413</v>
      </c>
      <c r="B274" s="8" t="s">
        <v>47</v>
      </c>
      <c r="C274" s="9"/>
      <c r="D274" s="8" t="s">
        <v>1414</v>
      </c>
      <c r="E274" s="8"/>
      <c r="F274" s="8"/>
      <c r="G274" s="8" t="s">
        <v>31</v>
      </c>
      <c r="H274" s="8" t="s">
        <v>30</v>
      </c>
      <c r="I274" s="10">
        <v>10</v>
      </c>
      <c r="J274" s="10">
        <v>10</v>
      </c>
      <c r="K274" s="11"/>
      <c r="L274" s="12">
        <f>IF(D274="","",SUMIFS(Movimientos!$D$2:$D$2000,Movimientos!$B$2:$B$2000,A274))</f>
        <v>0</v>
      </c>
      <c r="M274" s="12">
        <f t="shared" si="8"/>
        <v>10</v>
      </c>
      <c r="N274" s="11"/>
      <c r="O274" s="7" t="str">
        <f t="shared" ca="1" si="9"/>
        <v>Sin fecha</v>
      </c>
      <c r="P274" s="8"/>
      <c r="Q274" s="8"/>
      <c r="R274" s="8"/>
      <c r="S274" s="8" t="s">
        <v>60</v>
      </c>
      <c r="T274" s="8"/>
      <c r="U274" s="8"/>
      <c r="V274" s="8"/>
      <c r="W274" s="8" t="s">
        <v>43</v>
      </c>
      <c r="X274" s="9" t="s">
        <v>108</v>
      </c>
      <c r="Y274" s="13"/>
      <c r="Z274" s="9" t="s">
        <v>1415</v>
      </c>
    </row>
    <row r="275" spans="1:26" x14ac:dyDescent="0.3">
      <c r="A275" s="7" t="s">
        <v>1416</v>
      </c>
      <c r="B275" s="8" t="s">
        <v>47</v>
      </c>
      <c r="C275" s="9"/>
      <c r="D275" s="8" t="s">
        <v>1417</v>
      </c>
      <c r="E275" s="8"/>
      <c r="F275" s="8"/>
      <c r="G275" s="8" t="s">
        <v>42</v>
      </c>
      <c r="H275" s="8" t="s">
        <v>41</v>
      </c>
      <c r="I275" s="10">
        <v>17</v>
      </c>
      <c r="J275" s="10">
        <v>17</v>
      </c>
      <c r="K275" s="11"/>
      <c r="L275" s="12">
        <f>IF(D275="","",SUMIFS(Movimientos!$D$2:$D$2000,Movimientos!$B$2:$B$2000,A275))</f>
        <v>0</v>
      </c>
      <c r="M275" s="12">
        <f t="shared" si="8"/>
        <v>17</v>
      </c>
      <c r="N275" s="11"/>
      <c r="O275" s="7" t="str">
        <f t="shared" ca="1" si="9"/>
        <v>Sin fecha</v>
      </c>
      <c r="P275" s="8"/>
      <c r="Q275" s="8"/>
      <c r="R275" s="8"/>
      <c r="S275" s="8" t="s">
        <v>60</v>
      </c>
      <c r="T275" s="8"/>
      <c r="U275" s="8"/>
      <c r="V275" s="8"/>
      <c r="W275" s="8" t="s">
        <v>43</v>
      </c>
      <c r="X275" s="9" t="s">
        <v>108</v>
      </c>
      <c r="Y275" s="13"/>
      <c r="Z275" s="9" t="s">
        <v>1418</v>
      </c>
    </row>
    <row r="276" spans="1:26" x14ac:dyDescent="0.3">
      <c r="A276" s="7" t="s">
        <v>1419</v>
      </c>
      <c r="B276" s="8" t="s">
        <v>47</v>
      </c>
      <c r="C276" s="9"/>
      <c r="D276" s="8" t="s">
        <v>1420</v>
      </c>
      <c r="E276" s="8"/>
      <c r="F276" s="8"/>
      <c r="G276" s="8" t="s">
        <v>31</v>
      </c>
      <c r="H276" s="8" t="s">
        <v>30</v>
      </c>
      <c r="I276" s="10">
        <v>5</v>
      </c>
      <c r="J276" s="10">
        <v>5</v>
      </c>
      <c r="K276" s="11"/>
      <c r="L276" s="12">
        <f>IF(D276="","",SUMIFS(Movimientos!$D$2:$D$2000,Movimientos!$B$2:$B$2000,A276))</f>
        <v>0</v>
      </c>
      <c r="M276" s="12">
        <f t="shared" si="8"/>
        <v>5</v>
      </c>
      <c r="N276" s="11"/>
      <c r="O276" s="7" t="str">
        <f t="shared" ca="1" si="9"/>
        <v>Sin fecha</v>
      </c>
      <c r="P276" s="8"/>
      <c r="Q276" s="8"/>
      <c r="R276" s="8"/>
      <c r="S276" s="8" t="s">
        <v>60</v>
      </c>
      <c r="T276" s="8"/>
      <c r="U276" s="8"/>
      <c r="V276" s="8"/>
      <c r="W276" s="8" t="s">
        <v>43</v>
      </c>
      <c r="X276" s="9" t="s">
        <v>108</v>
      </c>
      <c r="Y276" s="13"/>
      <c r="Z276" s="9" t="s">
        <v>1421</v>
      </c>
    </row>
    <row r="277" spans="1:26" x14ac:dyDescent="0.3">
      <c r="A277" s="7" t="s">
        <v>1422</v>
      </c>
      <c r="B277" s="8" t="s">
        <v>47</v>
      </c>
      <c r="C277" s="9"/>
      <c r="D277" s="8" t="s">
        <v>1423</v>
      </c>
      <c r="E277" s="8"/>
      <c r="F277" s="8"/>
      <c r="G277" s="8" t="s">
        <v>42</v>
      </c>
      <c r="H277" s="8" t="s">
        <v>41</v>
      </c>
      <c r="I277" s="10">
        <v>650</v>
      </c>
      <c r="J277" s="10">
        <v>650</v>
      </c>
      <c r="K277" s="11"/>
      <c r="L277" s="12">
        <f>IF(D277="","",SUMIFS(Movimientos!$D$2:$D$2000,Movimientos!$B$2:$B$2000,A277))</f>
        <v>0</v>
      </c>
      <c r="M277" s="12">
        <f t="shared" si="8"/>
        <v>650</v>
      </c>
      <c r="N277" s="11"/>
      <c r="O277" s="7" t="str">
        <f t="shared" ca="1" si="9"/>
        <v>Sin fecha</v>
      </c>
      <c r="P277" s="8"/>
      <c r="Q277" s="8"/>
      <c r="R277" s="8"/>
      <c r="S277" s="8" t="s">
        <v>60</v>
      </c>
      <c r="T277" s="8"/>
      <c r="U277" s="8"/>
      <c r="V277" s="8"/>
      <c r="W277" s="8" t="s">
        <v>43</v>
      </c>
      <c r="X277" s="9" t="s">
        <v>108</v>
      </c>
      <c r="Y277" s="13"/>
      <c r="Z277" s="9" t="s">
        <v>1424</v>
      </c>
    </row>
    <row r="278" spans="1:26" x14ac:dyDescent="0.3">
      <c r="A278" s="7" t="s">
        <v>1425</v>
      </c>
      <c r="B278" s="8" t="s">
        <v>47</v>
      </c>
      <c r="C278" s="9"/>
      <c r="D278" s="8" t="s">
        <v>126</v>
      </c>
      <c r="E278" s="8"/>
      <c r="F278" s="8"/>
      <c r="G278" s="8" t="s">
        <v>42</v>
      </c>
      <c r="H278" s="8" t="s">
        <v>41</v>
      </c>
      <c r="I278" s="10">
        <v>80</v>
      </c>
      <c r="J278" s="10">
        <v>80</v>
      </c>
      <c r="K278" s="11"/>
      <c r="L278" s="12">
        <f>IF(D278="","",SUMIFS(Movimientos!$D$2:$D$2000,Movimientos!$B$2:$B$2000,A278))</f>
        <v>0</v>
      </c>
      <c r="M278" s="12">
        <f t="shared" si="8"/>
        <v>80</v>
      </c>
      <c r="N278" s="11"/>
      <c r="O278" s="7" t="str">
        <f t="shared" ca="1" si="9"/>
        <v>Sin fecha</v>
      </c>
      <c r="P278" s="8"/>
      <c r="Q278" s="8"/>
      <c r="R278" s="8"/>
      <c r="S278" s="8" t="s">
        <v>69</v>
      </c>
      <c r="T278" s="8"/>
      <c r="U278" s="8"/>
      <c r="V278" s="8"/>
      <c r="W278" s="8" t="s">
        <v>43</v>
      </c>
      <c r="X278" s="9" t="s">
        <v>108</v>
      </c>
      <c r="Y278" s="13"/>
      <c r="Z278" s="9" t="s">
        <v>1426</v>
      </c>
    </row>
    <row r="279" spans="1:26" x14ac:dyDescent="0.3">
      <c r="A279" s="7" t="s">
        <v>1427</v>
      </c>
      <c r="B279" s="8" t="s">
        <v>47</v>
      </c>
      <c r="C279" s="9"/>
      <c r="D279" s="8" t="s">
        <v>1428</v>
      </c>
      <c r="E279" s="8"/>
      <c r="F279" s="8"/>
      <c r="G279" s="8" t="s">
        <v>42</v>
      </c>
      <c r="H279" s="8" t="s">
        <v>41</v>
      </c>
      <c r="I279" s="10">
        <v>120</v>
      </c>
      <c r="J279" s="10">
        <v>120</v>
      </c>
      <c r="K279" s="11"/>
      <c r="L279" s="12">
        <f>IF(D279="","",SUMIFS(Movimientos!$D$2:$D$2000,Movimientos!$B$2:$B$2000,A279))</f>
        <v>0</v>
      </c>
      <c r="M279" s="12">
        <f t="shared" si="8"/>
        <v>120</v>
      </c>
      <c r="N279" s="11"/>
      <c r="O279" s="7" t="str">
        <f t="shared" ca="1" si="9"/>
        <v>Sin fecha</v>
      </c>
      <c r="P279" s="8"/>
      <c r="Q279" s="8"/>
      <c r="R279" s="8"/>
      <c r="S279" s="8" t="s">
        <v>70</v>
      </c>
      <c r="T279" s="8"/>
      <c r="U279" s="8"/>
      <c r="V279" s="8"/>
      <c r="W279" s="8" t="s">
        <v>43</v>
      </c>
      <c r="X279" s="9" t="s">
        <v>108</v>
      </c>
      <c r="Y279" s="13"/>
      <c r="Z279" s="9" t="s">
        <v>1429</v>
      </c>
    </row>
    <row r="280" spans="1:26" x14ac:dyDescent="0.3">
      <c r="A280" s="7" t="s">
        <v>1430</v>
      </c>
      <c r="B280" s="8" t="s">
        <v>47</v>
      </c>
      <c r="C280" s="9"/>
      <c r="D280" s="8" t="s">
        <v>1428</v>
      </c>
      <c r="E280" s="8"/>
      <c r="F280" s="8"/>
      <c r="G280" s="8" t="s">
        <v>31</v>
      </c>
      <c r="H280" s="8" t="s">
        <v>30</v>
      </c>
      <c r="I280" s="10">
        <v>2</v>
      </c>
      <c r="J280" s="10">
        <v>2</v>
      </c>
      <c r="K280" s="11"/>
      <c r="L280" s="12">
        <f>IF(D280="","",SUMIFS(Movimientos!$D$2:$D$2000,Movimientos!$B$2:$B$2000,A280))</f>
        <v>0</v>
      </c>
      <c r="M280" s="12">
        <f t="shared" si="8"/>
        <v>2</v>
      </c>
      <c r="N280" s="11"/>
      <c r="O280" s="7" t="str">
        <f t="shared" ca="1" si="9"/>
        <v>Sin fecha</v>
      </c>
      <c r="P280" s="8"/>
      <c r="Q280" s="8"/>
      <c r="R280" s="8"/>
      <c r="S280" s="8" t="s">
        <v>70</v>
      </c>
      <c r="T280" s="8"/>
      <c r="U280" s="8"/>
      <c r="V280" s="8"/>
      <c r="W280" s="8" t="s">
        <v>43</v>
      </c>
      <c r="X280" s="9" t="s">
        <v>108</v>
      </c>
      <c r="Y280" s="13"/>
      <c r="Z280" s="9" t="s">
        <v>1431</v>
      </c>
    </row>
    <row r="281" spans="1:26" x14ac:dyDescent="0.3">
      <c r="A281" s="7" t="s">
        <v>1432</v>
      </c>
      <c r="B281" s="8" t="s">
        <v>47</v>
      </c>
      <c r="C281" s="9"/>
      <c r="D281" s="8" t="s">
        <v>1433</v>
      </c>
      <c r="E281" s="8" t="s">
        <v>1434</v>
      </c>
      <c r="F281" s="8"/>
      <c r="G281" s="8" t="s">
        <v>31</v>
      </c>
      <c r="H281" s="8" t="s">
        <v>30</v>
      </c>
      <c r="I281" s="10">
        <v>125</v>
      </c>
      <c r="J281" s="10">
        <v>125</v>
      </c>
      <c r="K281" s="11"/>
      <c r="L281" s="12">
        <f>IF(D281="","",SUMIFS(Movimientos!$D$2:$D$2000,Movimientos!$B$2:$B$2000,A281))</f>
        <v>0</v>
      </c>
      <c r="M281" s="12">
        <f t="shared" si="8"/>
        <v>125</v>
      </c>
      <c r="N281" s="11"/>
      <c r="O281" s="7" t="str">
        <f t="shared" ca="1" si="9"/>
        <v>Sin fecha</v>
      </c>
      <c r="P281" s="8"/>
      <c r="Q281" s="8"/>
      <c r="R281" s="8"/>
      <c r="S281" s="8" t="s">
        <v>74</v>
      </c>
      <c r="T281" s="8"/>
      <c r="U281" s="8"/>
      <c r="V281" s="8"/>
      <c r="W281" s="8" t="s">
        <v>43</v>
      </c>
      <c r="X281" s="9" t="s">
        <v>108</v>
      </c>
      <c r="Y281" s="13"/>
      <c r="Z281" s="9" t="s">
        <v>1435</v>
      </c>
    </row>
    <row r="282" spans="1:26" x14ac:dyDescent="0.3">
      <c r="A282" s="7" t="s">
        <v>1436</v>
      </c>
      <c r="B282" s="8" t="s">
        <v>47</v>
      </c>
      <c r="C282" s="9"/>
      <c r="D282" s="8" t="s">
        <v>1437</v>
      </c>
      <c r="E282" s="8"/>
      <c r="F282" s="8"/>
      <c r="G282" s="8" t="s">
        <v>31</v>
      </c>
      <c r="H282" s="8" t="s">
        <v>30</v>
      </c>
      <c r="I282" s="10">
        <v>15</v>
      </c>
      <c r="J282" s="10">
        <v>15</v>
      </c>
      <c r="K282" s="11"/>
      <c r="L282" s="12">
        <f>IF(D282="","",SUMIFS(Movimientos!$D$2:$D$2000,Movimientos!$B$2:$B$2000,A282))</f>
        <v>0</v>
      </c>
      <c r="M282" s="12">
        <f t="shared" si="8"/>
        <v>15</v>
      </c>
      <c r="N282" s="11"/>
      <c r="O282" s="7" t="str">
        <f t="shared" ca="1" si="9"/>
        <v>Sin fecha</v>
      </c>
      <c r="P282" s="8"/>
      <c r="Q282" s="8"/>
      <c r="R282" s="8"/>
      <c r="S282" s="8" t="s">
        <v>60</v>
      </c>
      <c r="T282" s="8"/>
      <c r="U282" s="8"/>
      <c r="V282" s="8"/>
      <c r="W282" s="8" t="s">
        <v>43</v>
      </c>
      <c r="X282" s="9" t="s">
        <v>108</v>
      </c>
      <c r="Y282" s="13"/>
      <c r="Z282" s="9" t="s">
        <v>1438</v>
      </c>
    </row>
    <row r="283" spans="1:26" x14ac:dyDescent="0.3">
      <c r="A283" s="7" t="s">
        <v>1439</v>
      </c>
      <c r="B283" s="8" t="s">
        <v>47</v>
      </c>
      <c r="C283" s="9"/>
      <c r="D283" s="8" t="s">
        <v>1440</v>
      </c>
      <c r="E283" s="8" t="s">
        <v>1441</v>
      </c>
      <c r="F283" s="8"/>
      <c r="G283" s="8" t="s">
        <v>31</v>
      </c>
      <c r="H283" s="8" t="s">
        <v>30</v>
      </c>
      <c r="I283" s="10">
        <v>10</v>
      </c>
      <c r="J283" s="10">
        <v>10</v>
      </c>
      <c r="K283" s="11"/>
      <c r="L283" s="12">
        <f>IF(D283="","",SUMIFS(Movimientos!$D$2:$D$2000,Movimientos!$B$2:$B$2000,A283))</f>
        <v>0</v>
      </c>
      <c r="M283" s="12">
        <f t="shared" si="8"/>
        <v>10</v>
      </c>
      <c r="N283" s="11"/>
      <c r="O283" s="7" t="str">
        <f t="shared" ca="1" si="9"/>
        <v>Sin fecha</v>
      </c>
      <c r="P283" s="8"/>
      <c r="Q283" s="8"/>
      <c r="R283" s="8"/>
      <c r="S283" s="8" t="s">
        <v>60</v>
      </c>
      <c r="T283" s="8"/>
      <c r="U283" s="8"/>
      <c r="V283" s="8"/>
      <c r="W283" s="8" t="s">
        <v>43</v>
      </c>
      <c r="X283" s="9" t="s">
        <v>108</v>
      </c>
      <c r="Y283" s="13"/>
      <c r="Z283" s="9" t="s">
        <v>1442</v>
      </c>
    </row>
    <row r="284" spans="1:26" x14ac:dyDescent="0.3">
      <c r="A284" s="7" t="s">
        <v>1443</v>
      </c>
      <c r="B284" s="8" t="s">
        <v>47</v>
      </c>
      <c r="C284" s="9"/>
      <c r="D284" s="8" t="s">
        <v>1444</v>
      </c>
      <c r="E284" s="8"/>
      <c r="F284" s="8"/>
      <c r="G284" s="8" t="s">
        <v>31</v>
      </c>
      <c r="H284" s="8" t="s">
        <v>30</v>
      </c>
      <c r="I284" s="10">
        <v>8</v>
      </c>
      <c r="J284" s="10">
        <v>8</v>
      </c>
      <c r="K284" s="11"/>
      <c r="L284" s="12">
        <f>IF(D284="","",SUMIFS(Movimientos!$D$2:$D$2000,Movimientos!$B$2:$B$2000,A284))</f>
        <v>0</v>
      </c>
      <c r="M284" s="12">
        <f t="shared" si="8"/>
        <v>8</v>
      </c>
      <c r="N284" s="11"/>
      <c r="O284" s="7" t="str">
        <f t="shared" ca="1" si="9"/>
        <v>Sin fecha</v>
      </c>
      <c r="P284" s="8"/>
      <c r="Q284" s="8"/>
      <c r="R284" s="8"/>
      <c r="S284" s="8" t="s">
        <v>60</v>
      </c>
      <c r="T284" s="8"/>
      <c r="U284" s="8"/>
      <c r="V284" s="8"/>
      <c r="W284" s="8" t="s">
        <v>43</v>
      </c>
      <c r="X284" s="9" t="s">
        <v>108</v>
      </c>
      <c r="Y284" s="13"/>
      <c r="Z284" s="9" t="s">
        <v>1445</v>
      </c>
    </row>
    <row r="285" spans="1:26" x14ac:dyDescent="0.3">
      <c r="A285" s="7" t="s">
        <v>1446</v>
      </c>
      <c r="B285" s="8" t="s">
        <v>47</v>
      </c>
      <c r="C285" s="9"/>
      <c r="D285" s="8" t="s">
        <v>1447</v>
      </c>
      <c r="E285" s="8" t="s">
        <v>1448</v>
      </c>
      <c r="F285" s="8"/>
      <c r="G285" s="8" t="s">
        <v>31</v>
      </c>
      <c r="H285" s="8" t="s">
        <v>30</v>
      </c>
      <c r="I285" s="10">
        <v>40</v>
      </c>
      <c r="J285" s="10">
        <v>40</v>
      </c>
      <c r="K285" s="11"/>
      <c r="L285" s="12">
        <f>IF(D285="","",SUMIFS(Movimientos!$D$2:$D$2000,Movimientos!$B$2:$B$2000,A285))</f>
        <v>0</v>
      </c>
      <c r="M285" s="12">
        <f t="shared" si="8"/>
        <v>40</v>
      </c>
      <c r="N285" s="11"/>
      <c r="O285" s="7" t="str">
        <f t="shared" ca="1" si="9"/>
        <v>Sin fecha</v>
      </c>
      <c r="P285" s="8"/>
      <c r="Q285" s="8"/>
      <c r="R285" s="8"/>
      <c r="S285" s="8" t="s">
        <v>72</v>
      </c>
      <c r="T285" s="8"/>
      <c r="U285" s="8"/>
      <c r="V285" s="8"/>
      <c r="W285" s="8" t="s">
        <v>43</v>
      </c>
      <c r="X285" s="9" t="s">
        <v>108</v>
      </c>
      <c r="Y285" s="13"/>
      <c r="Z285" s="9" t="s">
        <v>1449</v>
      </c>
    </row>
    <row r="286" spans="1:26" x14ac:dyDescent="0.3">
      <c r="A286" s="7" t="s">
        <v>1450</v>
      </c>
      <c r="B286" s="8" t="s">
        <v>47</v>
      </c>
      <c r="C286" s="9"/>
      <c r="D286" s="8" t="s">
        <v>1451</v>
      </c>
      <c r="E286" s="8"/>
      <c r="F286" s="8"/>
      <c r="G286" s="8" t="s">
        <v>31</v>
      </c>
      <c r="H286" s="8" t="s">
        <v>30</v>
      </c>
      <c r="I286" s="10">
        <v>25</v>
      </c>
      <c r="J286" s="10">
        <v>25</v>
      </c>
      <c r="K286" s="11"/>
      <c r="L286" s="12">
        <f>IF(D286="","",SUMIFS(Movimientos!$D$2:$D$2000,Movimientos!$B$2:$B$2000,A286))</f>
        <v>0</v>
      </c>
      <c r="M286" s="12">
        <f t="shared" si="8"/>
        <v>25</v>
      </c>
      <c r="N286" s="11"/>
      <c r="O286" s="7" t="str">
        <f t="shared" ca="1" si="9"/>
        <v>Sin fecha</v>
      </c>
      <c r="P286" s="8"/>
      <c r="Q286" s="8"/>
      <c r="R286" s="8"/>
      <c r="S286" s="8" t="s">
        <v>65</v>
      </c>
      <c r="T286" s="8"/>
      <c r="U286" s="8"/>
      <c r="V286" s="8"/>
      <c r="W286" s="8" t="s">
        <v>43</v>
      </c>
      <c r="X286" s="9" t="s">
        <v>108</v>
      </c>
      <c r="Y286" s="13"/>
      <c r="Z286" s="9" t="s">
        <v>1452</v>
      </c>
    </row>
    <row r="287" spans="1:26" x14ac:dyDescent="0.3">
      <c r="A287" s="7" t="s">
        <v>1453</v>
      </c>
      <c r="B287" s="8" t="s">
        <v>47</v>
      </c>
      <c r="C287" s="9"/>
      <c r="D287" s="8" t="s">
        <v>1159</v>
      </c>
      <c r="E287" s="8" t="s">
        <v>1454</v>
      </c>
      <c r="F287" s="8"/>
      <c r="G287" s="8" t="s">
        <v>31</v>
      </c>
      <c r="H287" s="8" t="s">
        <v>30</v>
      </c>
      <c r="I287" s="10">
        <v>45</v>
      </c>
      <c r="J287" s="10">
        <v>45</v>
      </c>
      <c r="K287" s="11"/>
      <c r="L287" s="12">
        <f>IF(D287="","",SUMIFS(Movimientos!$D$2:$D$2000,Movimientos!$B$2:$B$2000,A287))</f>
        <v>0</v>
      </c>
      <c r="M287" s="12">
        <f t="shared" si="8"/>
        <v>45</v>
      </c>
      <c r="N287" s="11"/>
      <c r="O287" s="7" t="str">
        <f t="shared" ca="1" si="9"/>
        <v>Sin fecha</v>
      </c>
      <c r="P287" s="8"/>
      <c r="Q287" s="8"/>
      <c r="R287" s="8"/>
      <c r="S287" s="8" t="s">
        <v>74</v>
      </c>
      <c r="T287" s="8"/>
      <c r="U287" s="8"/>
      <c r="V287" s="8"/>
      <c r="W287" s="8" t="s">
        <v>43</v>
      </c>
      <c r="X287" s="9" t="s">
        <v>108</v>
      </c>
      <c r="Y287" s="13"/>
      <c r="Z287" s="9" t="s">
        <v>1455</v>
      </c>
    </row>
    <row r="288" spans="1:26" x14ac:dyDescent="0.3">
      <c r="A288" s="7" t="s">
        <v>1456</v>
      </c>
      <c r="B288" s="8" t="s">
        <v>47</v>
      </c>
      <c r="C288" s="9"/>
      <c r="D288" s="8" t="s">
        <v>1457</v>
      </c>
      <c r="E288" s="8" t="s">
        <v>112</v>
      </c>
      <c r="F288" s="8"/>
      <c r="G288" s="8" t="s">
        <v>31</v>
      </c>
      <c r="H288" s="8" t="s">
        <v>30</v>
      </c>
      <c r="I288" s="10">
        <v>30</v>
      </c>
      <c r="J288" s="10">
        <v>30</v>
      </c>
      <c r="K288" s="11"/>
      <c r="L288" s="12">
        <f>IF(D288="","",SUMIFS(Movimientos!$D$2:$D$2000,Movimientos!$B$2:$B$2000,A288))</f>
        <v>0</v>
      </c>
      <c r="M288" s="12">
        <f t="shared" si="8"/>
        <v>30</v>
      </c>
      <c r="N288" s="11"/>
      <c r="O288" s="7" t="str">
        <f t="shared" ca="1" si="9"/>
        <v>Sin fecha</v>
      </c>
      <c r="P288" s="8"/>
      <c r="Q288" s="8"/>
      <c r="R288" s="8"/>
      <c r="S288" s="8" t="s">
        <v>69</v>
      </c>
      <c r="T288" s="8"/>
      <c r="U288" s="8"/>
      <c r="V288" s="8"/>
      <c r="W288" s="8" t="s">
        <v>43</v>
      </c>
      <c r="X288" s="9" t="s">
        <v>108</v>
      </c>
      <c r="Y288" s="13"/>
      <c r="Z288" s="9" t="s">
        <v>1458</v>
      </c>
    </row>
    <row r="289" spans="1:26" x14ac:dyDescent="0.3">
      <c r="A289" s="7" t="s">
        <v>1459</v>
      </c>
      <c r="B289" s="8" t="s">
        <v>36</v>
      </c>
      <c r="C289" s="9" t="s">
        <v>1460</v>
      </c>
      <c r="D289" s="8" t="s">
        <v>1461</v>
      </c>
      <c r="E289" s="8"/>
      <c r="F289" s="8"/>
      <c r="G289" s="8" t="s">
        <v>31</v>
      </c>
      <c r="H289" s="8" t="s">
        <v>30</v>
      </c>
      <c r="I289" s="10"/>
      <c r="J289" s="10"/>
      <c r="K289" s="11"/>
      <c r="L289" s="12">
        <f>IF(D289="","",SUMIFS(Movimientos!$D$2:$D$2000,Movimientos!$B$2:$B$2000,A289))</f>
        <v>0</v>
      </c>
      <c r="M289" s="12" t="str">
        <f t="shared" si="8"/>
        <v/>
      </c>
      <c r="N289" s="11"/>
      <c r="O289" s="7" t="str">
        <f t="shared" ca="1" si="9"/>
        <v>Sin fecha</v>
      </c>
      <c r="P289" s="8"/>
      <c r="Q289" s="8"/>
      <c r="R289" s="8"/>
      <c r="S289" s="8" t="s">
        <v>60</v>
      </c>
      <c r="T289" s="8"/>
      <c r="U289" s="8"/>
      <c r="V289" s="8"/>
      <c r="W289" s="8" t="s">
        <v>43</v>
      </c>
      <c r="X289" s="9" t="s">
        <v>108</v>
      </c>
      <c r="Y289" s="13"/>
      <c r="Z289" s="9" t="s">
        <v>1462</v>
      </c>
    </row>
    <row r="290" spans="1:26" x14ac:dyDescent="0.3">
      <c r="A290" s="7" t="s">
        <v>1463</v>
      </c>
      <c r="B290" s="8" t="s">
        <v>36</v>
      </c>
      <c r="C290" s="9" t="s">
        <v>1460</v>
      </c>
      <c r="D290" s="8" t="s">
        <v>1464</v>
      </c>
      <c r="E290" s="8"/>
      <c r="F290" s="8"/>
      <c r="G290" s="8" t="s">
        <v>31</v>
      </c>
      <c r="H290" s="8" t="s">
        <v>30</v>
      </c>
      <c r="I290" s="10"/>
      <c r="J290" s="10"/>
      <c r="K290" s="11"/>
      <c r="L290" s="12">
        <f>IF(D290="","",SUMIFS(Movimientos!$D$2:$D$2000,Movimientos!$B$2:$B$2000,A290))</f>
        <v>0</v>
      </c>
      <c r="M290" s="12" t="str">
        <f t="shared" si="8"/>
        <v/>
      </c>
      <c r="N290" s="11"/>
      <c r="O290" s="7" t="str">
        <f t="shared" ca="1" si="9"/>
        <v>Sin fecha</v>
      </c>
      <c r="P290" s="8"/>
      <c r="Q290" s="8"/>
      <c r="R290" s="8"/>
      <c r="S290" s="8" t="s">
        <v>60</v>
      </c>
      <c r="T290" s="8"/>
      <c r="U290" s="8"/>
      <c r="V290" s="8"/>
      <c r="W290" s="8" t="s">
        <v>43</v>
      </c>
      <c r="X290" s="9" t="s">
        <v>108</v>
      </c>
      <c r="Y290" s="13"/>
      <c r="Z290" s="9" t="s">
        <v>1465</v>
      </c>
    </row>
    <row r="291" spans="1:26" x14ac:dyDescent="0.3">
      <c r="A291" s="7" t="s">
        <v>1466</v>
      </c>
      <c r="B291" s="8" t="s">
        <v>47</v>
      </c>
      <c r="C291" s="9"/>
      <c r="D291" s="8" t="s">
        <v>1467</v>
      </c>
      <c r="E291" s="8" t="s">
        <v>246</v>
      </c>
      <c r="F291" s="8"/>
      <c r="G291" s="8" t="s">
        <v>42</v>
      </c>
      <c r="H291" s="8" t="s">
        <v>41</v>
      </c>
      <c r="I291" s="10">
        <v>200</v>
      </c>
      <c r="J291" s="10">
        <v>200</v>
      </c>
      <c r="K291" s="11"/>
      <c r="L291" s="12">
        <f>IF(D291="","",SUMIFS(Movimientos!$D$2:$D$2000,Movimientos!$B$2:$B$2000,A291))</f>
        <v>0</v>
      </c>
      <c r="M291" s="12">
        <f t="shared" si="8"/>
        <v>200</v>
      </c>
      <c r="N291" s="11"/>
      <c r="O291" s="7" t="str">
        <f t="shared" ca="1" si="9"/>
        <v>Sin fecha</v>
      </c>
      <c r="P291" s="8"/>
      <c r="Q291" s="8"/>
      <c r="R291" s="8"/>
      <c r="S291" s="8" t="s">
        <v>71</v>
      </c>
      <c r="T291" s="8"/>
      <c r="U291" s="8"/>
      <c r="V291" s="8"/>
      <c r="W291" s="8" t="s">
        <v>43</v>
      </c>
      <c r="X291" s="9" t="s">
        <v>108</v>
      </c>
      <c r="Y291" s="13"/>
      <c r="Z291" s="9" t="s">
        <v>1468</v>
      </c>
    </row>
    <row r="292" spans="1:26" x14ac:dyDescent="0.3">
      <c r="A292" s="7" t="s">
        <v>1469</v>
      </c>
      <c r="B292" s="8" t="s">
        <v>47</v>
      </c>
      <c r="C292" s="9"/>
      <c r="D292" s="8" t="s">
        <v>1470</v>
      </c>
      <c r="E292" s="8" t="s">
        <v>1471</v>
      </c>
      <c r="F292" s="8"/>
      <c r="G292" s="8" t="s">
        <v>31</v>
      </c>
      <c r="H292" s="8" t="s">
        <v>30</v>
      </c>
      <c r="I292" s="10">
        <v>15</v>
      </c>
      <c r="J292" s="10">
        <v>15</v>
      </c>
      <c r="K292" s="11"/>
      <c r="L292" s="12">
        <f>IF(D292="","",SUMIFS(Movimientos!$D$2:$D$2000,Movimientos!$B$2:$B$2000,A292))</f>
        <v>0</v>
      </c>
      <c r="M292" s="12">
        <f t="shared" si="8"/>
        <v>15</v>
      </c>
      <c r="N292" s="11"/>
      <c r="O292" s="7" t="str">
        <f t="shared" ca="1" si="9"/>
        <v>Sin fecha</v>
      </c>
      <c r="P292" s="8"/>
      <c r="Q292" s="8"/>
      <c r="R292" s="8"/>
      <c r="S292" s="8" t="s">
        <v>71</v>
      </c>
      <c r="T292" s="8"/>
      <c r="U292" s="8"/>
      <c r="V292" s="8"/>
      <c r="W292" s="8" t="s">
        <v>43</v>
      </c>
      <c r="X292" s="9" t="s">
        <v>108</v>
      </c>
      <c r="Y292" s="13"/>
      <c r="Z292" s="9" t="s">
        <v>1472</v>
      </c>
    </row>
    <row r="293" spans="1:26" x14ac:dyDescent="0.3">
      <c r="A293" s="7" t="s">
        <v>1473</v>
      </c>
      <c r="B293" s="8" t="s">
        <v>47</v>
      </c>
      <c r="C293" s="9"/>
      <c r="D293" s="8" t="s">
        <v>1474</v>
      </c>
      <c r="E293" s="8" t="s">
        <v>836</v>
      </c>
      <c r="F293" s="8"/>
      <c r="G293" s="8" t="s">
        <v>31</v>
      </c>
      <c r="H293" s="8" t="s">
        <v>30</v>
      </c>
      <c r="I293" s="10">
        <v>30</v>
      </c>
      <c r="J293" s="10">
        <v>30</v>
      </c>
      <c r="K293" s="11"/>
      <c r="L293" s="12">
        <f>IF(D293="","",SUMIFS(Movimientos!$D$2:$D$2000,Movimientos!$B$2:$B$2000,A293))</f>
        <v>0</v>
      </c>
      <c r="M293" s="12">
        <f t="shared" si="8"/>
        <v>30</v>
      </c>
      <c r="N293" s="11"/>
      <c r="O293" s="7" t="str">
        <f t="shared" ca="1" si="9"/>
        <v>Sin fecha</v>
      </c>
      <c r="P293" s="8"/>
      <c r="Q293" s="8"/>
      <c r="R293" s="8"/>
      <c r="S293" s="8" t="s">
        <v>71</v>
      </c>
      <c r="T293" s="8"/>
      <c r="U293" s="8"/>
      <c r="V293" s="8"/>
      <c r="W293" s="8" t="s">
        <v>43</v>
      </c>
      <c r="X293" s="9" t="s">
        <v>108</v>
      </c>
      <c r="Y293" s="13"/>
      <c r="Z293" s="9" t="s">
        <v>1475</v>
      </c>
    </row>
    <row r="294" spans="1:26" x14ac:dyDescent="0.3">
      <c r="A294" s="7" t="s">
        <v>1476</v>
      </c>
      <c r="B294" s="8" t="s">
        <v>36</v>
      </c>
      <c r="C294" s="9" t="s">
        <v>1460</v>
      </c>
      <c r="D294" s="8" t="s">
        <v>1477</v>
      </c>
      <c r="E294" s="8" t="s">
        <v>522</v>
      </c>
      <c r="F294" s="8"/>
      <c r="G294" s="8" t="s">
        <v>31</v>
      </c>
      <c r="H294" s="8" t="s">
        <v>30</v>
      </c>
      <c r="I294" s="10"/>
      <c r="J294" s="10"/>
      <c r="K294" s="11"/>
      <c r="L294" s="12">
        <f>IF(D294="","",SUMIFS(Movimientos!$D$2:$D$2000,Movimientos!$B$2:$B$2000,A294))</f>
        <v>0</v>
      </c>
      <c r="M294" s="12" t="str">
        <f t="shared" si="8"/>
        <v/>
      </c>
      <c r="N294" s="11"/>
      <c r="O294" s="7" t="str">
        <f t="shared" ca="1" si="9"/>
        <v>Sin fecha</v>
      </c>
      <c r="P294" s="8"/>
      <c r="Q294" s="8"/>
      <c r="R294" s="8"/>
      <c r="S294" s="8" t="s">
        <v>70</v>
      </c>
      <c r="T294" s="8"/>
      <c r="U294" s="8"/>
      <c r="V294" s="8"/>
      <c r="W294" s="8" t="s">
        <v>43</v>
      </c>
      <c r="X294" s="9" t="s">
        <v>108</v>
      </c>
      <c r="Y294" s="13"/>
      <c r="Z294" s="9" t="s">
        <v>1478</v>
      </c>
    </row>
    <row r="295" spans="1:26" x14ac:dyDescent="0.3">
      <c r="A295" s="7" t="s">
        <v>1479</v>
      </c>
      <c r="B295" s="8" t="s">
        <v>47</v>
      </c>
      <c r="C295" s="9"/>
      <c r="D295" s="8" t="s">
        <v>1480</v>
      </c>
      <c r="E295" s="8" t="s">
        <v>896</v>
      </c>
      <c r="F295" s="8"/>
      <c r="G295" s="8" t="s">
        <v>42</v>
      </c>
      <c r="H295" s="8" t="s">
        <v>41</v>
      </c>
      <c r="I295" s="10">
        <v>60</v>
      </c>
      <c r="J295" s="10">
        <v>60</v>
      </c>
      <c r="K295" s="11"/>
      <c r="L295" s="12">
        <f>IF(D295="","",SUMIFS(Movimientos!$D$2:$D$2000,Movimientos!$B$2:$B$2000,A295))</f>
        <v>0</v>
      </c>
      <c r="M295" s="12">
        <f t="shared" si="8"/>
        <v>60</v>
      </c>
      <c r="N295" s="11"/>
      <c r="O295" s="7" t="str">
        <f t="shared" ca="1" si="9"/>
        <v>Sin fecha</v>
      </c>
      <c r="P295" s="8"/>
      <c r="Q295" s="8"/>
      <c r="R295" s="8"/>
      <c r="S295" s="8" t="s">
        <v>71</v>
      </c>
      <c r="T295" s="8"/>
      <c r="U295" s="8"/>
      <c r="V295" s="8"/>
      <c r="W295" s="8" t="s">
        <v>43</v>
      </c>
      <c r="X295" s="9" t="s">
        <v>108</v>
      </c>
      <c r="Y295" s="13"/>
      <c r="Z295" s="9" t="s">
        <v>1481</v>
      </c>
    </row>
    <row r="296" spans="1:26" x14ac:dyDescent="0.3">
      <c r="A296" s="7" t="s">
        <v>1482</v>
      </c>
      <c r="B296" s="8" t="s">
        <v>47</v>
      </c>
      <c r="C296" s="9"/>
      <c r="D296" s="8" t="s">
        <v>1483</v>
      </c>
      <c r="E296" s="8"/>
      <c r="F296" s="8"/>
      <c r="G296" s="8" t="s">
        <v>31</v>
      </c>
      <c r="H296" s="8" t="s">
        <v>30</v>
      </c>
      <c r="I296" s="10">
        <v>2</v>
      </c>
      <c r="J296" s="10">
        <v>2</v>
      </c>
      <c r="K296" s="11"/>
      <c r="L296" s="12">
        <f>IF(D296="","",SUMIFS(Movimientos!$D$2:$D$2000,Movimientos!$B$2:$B$2000,A296))</f>
        <v>0</v>
      </c>
      <c r="M296" s="12">
        <f t="shared" si="8"/>
        <v>2</v>
      </c>
      <c r="N296" s="11"/>
      <c r="O296" s="7" t="str">
        <f t="shared" ca="1" si="9"/>
        <v>Sin fecha</v>
      </c>
      <c r="P296" s="8"/>
      <c r="Q296" s="8"/>
      <c r="R296" s="8"/>
      <c r="S296" s="8" t="s">
        <v>60</v>
      </c>
      <c r="T296" s="8"/>
      <c r="U296" s="8"/>
      <c r="V296" s="8"/>
      <c r="W296" s="8" t="s">
        <v>43</v>
      </c>
      <c r="X296" s="9" t="s">
        <v>108</v>
      </c>
      <c r="Y296" s="13"/>
      <c r="Z296" s="9" t="s">
        <v>1484</v>
      </c>
    </row>
    <row r="297" spans="1:26" x14ac:dyDescent="0.3">
      <c r="A297" s="7" t="s">
        <v>1485</v>
      </c>
      <c r="B297" s="8" t="s">
        <v>47</v>
      </c>
      <c r="C297" s="9"/>
      <c r="D297" s="8" t="s">
        <v>1486</v>
      </c>
      <c r="E297" s="8" t="s">
        <v>1487</v>
      </c>
      <c r="F297" s="8"/>
      <c r="G297" s="8" t="s">
        <v>31</v>
      </c>
      <c r="H297" s="8" t="s">
        <v>30</v>
      </c>
      <c r="I297" s="10">
        <v>20</v>
      </c>
      <c r="J297" s="10">
        <v>20</v>
      </c>
      <c r="K297" s="11"/>
      <c r="L297" s="12">
        <f>IF(D297="","",SUMIFS(Movimientos!$D$2:$D$2000,Movimientos!$B$2:$B$2000,A297))</f>
        <v>0</v>
      </c>
      <c r="M297" s="12">
        <f t="shared" si="8"/>
        <v>20</v>
      </c>
      <c r="N297" s="11"/>
      <c r="O297" s="7" t="str">
        <f t="shared" ca="1" si="9"/>
        <v>Sin fecha</v>
      </c>
      <c r="P297" s="8"/>
      <c r="Q297" s="8"/>
      <c r="R297" s="8"/>
      <c r="S297" s="8" t="s">
        <v>72</v>
      </c>
      <c r="T297" s="8"/>
      <c r="U297" s="8"/>
      <c r="V297" s="8"/>
      <c r="W297" s="8" t="s">
        <v>43</v>
      </c>
      <c r="X297" s="9" t="s">
        <v>108</v>
      </c>
      <c r="Y297" s="13"/>
      <c r="Z297" s="9" t="s">
        <v>1488</v>
      </c>
    </row>
    <row r="298" spans="1:26" x14ac:dyDescent="0.3">
      <c r="A298" s="7" t="s">
        <v>1489</v>
      </c>
      <c r="B298" s="8" t="s">
        <v>47</v>
      </c>
      <c r="C298" s="9"/>
      <c r="D298" s="8" t="s">
        <v>1490</v>
      </c>
      <c r="E298" s="8"/>
      <c r="F298" s="8"/>
      <c r="G298" s="8" t="s">
        <v>42</v>
      </c>
      <c r="H298" s="8" t="s">
        <v>41</v>
      </c>
      <c r="I298" s="10">
        <v>650</v>
      </c>
      <c r="J298" s="10">
        <v>650</v>
      </c>
      <c r="K298" s="11"/>
      <c r="L298" s="12">
        <f>IF(D298="","",SUMIFS(Movimientos!$D$2:$D$2000,Movimientos!$B$2:$B$2000,A298))</f>
        <v>0</v>
      </c>
      <c r="M298" s="12">
        <f t="shared" si="8"/>
        <v>650</v>
      </c>
      <c r="N298" s="11"/>
      <c r="O298" s="7" t="str">
        <f t="shared" ca="1" si="9"/>
        <v>Sin fecha</v>
      </c>
      <c r="P298" s="8"/>
      <c r="Q298" s="8"/>
      <c r="R298" s="8"/>
      <c r="S298" s="8" t="s">
        <v>60</v>
      </c>
      <c r="T298" s="8"/>
      <c r="U298" s="8"/>
      <c r="V298" s="8"/>
      <c r="W298" s="8" t="s">
        <v>43</v>
      </c>
      <c r="X298" s="9" t="s">
        <v>108</v>
      </c>
      <c r="Y298" s="13"/>
      <c r="Z298" s="9" t="s">
        <v>1491</v>
      </c>
    </row>
    <row r="299" spans="1:26" x14ac:dyDescent="0.3">
      <c r="A299" s="7" t="s">
        <v>1492</v>
      </c>
      <c r="B299" s="8" t="s">
        <v>47</v>
      </c>
      <c r="C299" s="9"/>
      <c r="D299" s="8" t="s">
        <v>1493</v>
      </c>
      <c r="E299" s="8" t="s">
        <v>267</v>
      </c>
      <c r="F299" s="8"/>
      <c r="G299" s="8" t="s">
        <v>42</v>
      </c>
      <c r="H299" s="8" t="s">
        <v>41</v>
      </c>
      <c r="I299" s="10">
        <v>200</v>
      </c>
      <c r="J299" s="10">
        <v>200</v>
      </c>
      <c r="K299" s="11"/>
      <c r="L299" s="12">
        <f>IF(D299="","",SUMIFS(Movimientos!$D$2:$D$2000,Movimientos!$B$2:$B$2000,A299))</f>
        <v>0</v>
      </c>
      <c r="M299" s="12">
        <f t="shared" si="8"/>
        <v>200</v>
      </c>
      <c r="N299" s="11"/>
      <c r="O299" s="7" t="str">
        <f t="shared" ca="1" si="9"/>
        <v>Sin fecha</v>
      </c>
      <c r="P299" s="8"/>
      <c r="Q299" s="8"/>
      <c r="R299" s="8" t="s">
        <v>270</v>
      </c>
      <c r="S299" s="8" t="s">
        <v>74</v>
      </c>
      <c r="T299" s="8"/>
      <c r="U299" s="8"/>
      <c r="V299" s="8"/>
      <c r="W299" s="8" t="s">
        <v>43</v>
      </c>
      <c r="X299" s="9" t="s">
        <v>108</v>
      </c>
      <c r="Y299" s="13"/>
      <c r="Z299" s="9" t="s">
        <v>1494</v>
      </c>
    </row>
    <row r="300" spans="1:26" x14ac:dyDescent="0.3">
      <c r="A300" s="7" t="s">
        <v>1495</v>
      </c>
      <c r="B300" s="8" t="s">
        <v>47</v>
      </c>
      <c r="C300" s="9"/>
      <c r="D300" s="8" t="s">
        <v>1062</v>
      </c>
      <c r="E300" s="8" t="s">
        <v>1496</v>
      </c>
      <c r="F300" s="8"/>
      <c r="G300" s="8" t="s">
        <v>31</v>
      </c>
      <c r="H300" s="8" t="s">
        <v>30</v>
      </c>
      <c r="I300" s="10">
        <v>40</v>
      </c>
      <c r="J300" s="10">
        <v>40</v>
      </c>
      <c r="K300" s="11"/>
      <c r="L300" s="12">
        <f>IF(D300="","",SUMIFS(Movimientos!$D$2:$D$2000,Movimientos!$B$2:$B$2000,A300))</f>
        <v>0</v>
      </c>
      <c r="M300" s="12">
        <f t="shared" si="8"/>
        <v>40</v>
      </c>
      <c r="N300" s="11"/>
      <c r="O300" s="7" t="str">
        <f t="shared" ca="1" si="9"/>
        <v>Sin fecha</v>
      </c>
      <c r="P300" s="8"/>
      <c r="Q300" s="8"/>
      <c r="R300" s="8"/>
      <c r="S300" s="8" t="s">
        <v>74</v>
      </c>
      <c r="T300" s="8"/>
      <c r="U300" s="8"/>
      <c r="V300" s="8"/>
      <c r="W300" s="8" t="s">
        <v>43</v>
      </c>
      <c r="X300" s="9" t="s">
        <v>108</v>
      </c>
      <c r="Y300" s="13"/>
      <c r="Z300" s="9" t="s">
        <v>1497</v>
      </c>
    </row>
    <row r="301" spans="1:26" x14ac:dyDescent="0.3">
      <c r="A301" s="7" t="s">
        <v>1498</v>
      </c>
      <c r="B301" s="8" t="s">
        <v>47</v>
      </c>
      <c r="C301" s="9"/>
      <c r="D301" s="8" t="s">
        <v>1499</v>
      </c>
      <c r="E301" s="8" t="s">
        <v>1500</v>
      </c>
      <c r="F301" s="8"/>
      <c r="G301" s="8" t="s">
        <v>42</v>
      </c>
      <c r="H301" s="8" t="s">
        <v>41</v>
      </c>
      <c r="I301" s="10">
        <v>15</v>
      </c>
      <c r="J301" s="10">
        <v>15</v>
      </c>
      <c r="K301" s="11"/>
      <c r="L301" s="12">
        <f>IF(D301="","",SUMIFS(Movimientos!$D$2:$D$2000,Movimientos!$B$2:$B$2000,A301))</f>
        <v>0</v>
      </c>
      <c r="M301" s="12">
        <f t="shared" si="8"/>
        <v>15</v>
      </c>
      <c r="N301" s="11"/>
      <c r="O301" s="7" t="str">
        <f t="shared" ca="1" si="9"/>
        <v>Sin fecha</v>
      </c>
      <c r="P301" s="8"/>
      <c r="Q301" s="8"/>
      <c r="R301" s="8"/>
      <c r="S301" s="8" t="s">
        <v>74</v>
      </c>
      <c r="T301" s="8"/>
      <c r="U301" s="8"/>
      <c r="V301" s="8"/>
      <c r="W301" s="8" t="s">
        <v>43</v>
      </c>
      <c r="X301" s="9" t="s">
        <v>108</v>
      </c>
      <c r="Y301" s="13"/>
      <c r="Z301" s="9" t="s">
        <v>1501</v>
      </c>
    </row>
    <row r="302" spans="1:26" x14ac:dyDescent="0.3">
      <c r="A302" s="7" t="s">
        <v>1502</v>
      </c>
      <c r="B302" s="8" t="s">
        <v>47</v>
      </c>
      <c r="C302" s="9"/>
      <c r="D302" s="8" t="s">
        <v>1503</v>
      </c>
      <c r="E302" s="8" t="s">
        <v>1504</v>
      </c>
      <c r="F302" s="8"/>
      <c r="G302" s="8" t="s">
        <v>42</v>
      </c>
      <c r="H302" s="8" t="s">
        <v>41</v>
      </c>
      <c r="I302" s="10">
        <v>150</v>
      </c>
      <c r="J302" s="10">
        <v>150</v>
      </c>
      <c r="K302" s="11"/>
      <c r="L302" s="12">
        <f>IF(D302="","",SUMIFS(Movimientos!$D$2:$D$2000,Movimientos!$B$2:$B$2000,A302))</f>
        <v>0</v>
      </c>
      <c r="M302" s="12">
        <f t="shared" si="8"/>
        <v>150</v>
      </c>
      <c r="N302" s="11"/>
      <c r="O302" s="7" t="str">
        <f t="shared" ca="1" si="9"/>
        <v>Sin fecha</v>
      </c>
      <c r="P302" s="8"/>
      <c r="Q302" s="8"/>
      <c r="R302" s="8"/>
      <c r="S302" s="8" t="s">
        <v>74</v>
      </c>
      <c r="T302" s="8"/>
      <c r="U302" s="8"/>
      <c r="V302" s="8"/>
      <c r="W302" s="8" t="s">
        <v>43</v>
      </c>
      <c r="X302" s="9" t="s">
        <v>108</v>
      </c>
      <c r="Y302" s="13"/>
      <c r="Z302" s="9" t="s">
        <v>1505</v>
      </c>
    </row>
    <row r="303" spans="1:26" x14ac:dyDescent="0.3">
      <c r="A303" s="7" t="s">
        <v>1506</v>
      </c>
      <c r="B303" s="8" t="s">
        <v>47</v>
      </c>
      <c r="C303" s="9"/>
      <c r="D303" s="8" t="s">
        <v>1507</v>
      </c>
      <c r="E303" s="8" t="s">
        <v>254</v>
      </c>
      <c r="F303" s="8"/>
      <c r="G303" s="8" t="s">
        <v>42</v>
      </c>
      <c r="H303" s="8" t="s">
        <v>41</v>
      </c>
      <c r="I303" s="10">
        <v>15</v>
      </c>
      <c r="J303" s="10">
        <v>15</v>
      </c>
      <c r="K303" s="11"/>
      <c r="L303" s="12">
        <f>IF(D303="","",SUMIFS(Movimientos!$D$2:$D$2000,Movimientos!$B$2:$B$2000,A303))</f>
        <v>0</v>
      </c>
      <c r="M303" s="12">
        <f t="shared" si="8"/>
        <v>15</v>
      </c>
      <c r="N303" s="11"/>
      <c r="O303" s="7" t="str">
        <f t="shared" ca="1" si="9"/>
        <v>Sin fecha</v>
      </c>
      <c r="P303" s="8"/>
      <c r="Q303" s="8"/>
      <c r="R303" s="8"/>
      <c r="S303" s="8" t="s">
        <v>74</v>
      </c>
      <c r="T303" s="8"/>
      <c r="U303" s="8"/>
      <c r="V303" s="8"/>
      <c r="W303" s="8" t="s">
        <v>43</v>
      </c>
      <c r="X303" s="9" t="s">
        <v>108</v>
      </c>
      <c r="Y303" s="13"/>
      <c r="Z303" s="9" t="s">
        <v>1508</v>
      </c>
    </row>
    <row r="304" spans="1:26" x14ac:dyDescent="0.3">
      <c r="A304" s="7" t="s">
        <v>1509</v>
      </c>
      <c r="B304" s="8" t="s">
        <v>47</v>
      </c>
      <c r="C304" s="9"/>
      <c r="D304" s="8" t="s">
        <v>1510</v>
      </c>
      <c r="E304" s="8"/>
      <c r="F304" s="8"/>
      <c r="G304" s="8" t="s">
        <v>31</v>
      </c>
      <c r="H304" s="8" t="s">
        <v>30</v>
      </c>
      <c r="I304" s="10">
        <v>80</v>
      </c>
      <c r="J304" s="10">
        <v>80</v>
      </c>
      <c r="K304" s="11"/>
      <c r="L304" s="12">
        <f>IF(D304="","",SUMIFS(Movimientos!$D$2:$D$2000,Movimientos!$B$2:$B$2000,A304))</f>
        <v>0</v>
      </c>
      <c r="M304" s="12">
        <f t="shared" si="8"/>
        <v>80</v>
      </c>
      <c r="N304" s="11"/>
      <c r="O304" s="7" t="str">
        <f t="shared" ca="1" si="9"/>
        <v>Sin fecha</v>
      </c>
      <c r="P304" s="8"/>
      <c r="Q304" s="8"/>
      <c r="R304" s="8"/>
      <c r="S304" s="8" t="s">
        <v>69</v>
      </c>
      <c r="T304" s="8"/>
      <c r="U304" s="8"/>
      <c r="V304" s="8"/>
      <c r="W304" s="8" t="s">
        <v>43</v>
      </c>
      <c r="X304" s="9" t="s">
        <v>108</v>
      </c>
      <c r="Y304" s="13"/>
      <c r="Z304" s="9" t="s">
        <v>1511</v>
      </c>
    </row>
    <row r="305" spans="1:26" x14ac:dyDescent="0.3">
      <c r="A305" s="7" t="s">
        <v>1512</v>
      </c>
      <c r="B305" s="8" t="s">
        <v>47</v>
      </c>
      <c r="C305" s="9"/>
      <c r="D305" s="8" t="s">
        <v>1513</v>
      </c>
      <c r="E305" s="8"/>
      <c r="F305" s="8"/>
      <c r="G305" s="8" t="s">
        <v>42</v>
      </c>
      <c r="H305" s="8" t="s">
        <v>41</v>
      </c>
      <c r="I305" s="10">
        <v>500</v>
      </c>
      <c r="J305" s="10">
        <v>500</v>
      </c>
      <c r="K305" s="11"/>
      <c r="L305" s="12">
        <f>IF(D305="","",SUMIFS(Movimientos!$D$2:$D$2000,Movimientos!$B$2:$B$2000,A305))</f>
        <v>0</v>
      </c>
      <c r="M305" s="12">
        <f t="shared" si="8"/>
        <v>500</v>
      </c>
      <c r="N305" s="11"/>
      <c r="O305" s="7" t="str">
        <f t="shared" ca="1" si="9"/>
        <v>Sin fecha</v>
      </c>
      <c r="P305" s="8"/>
      <c r="Q305" s="8"/>
      <c r="R305" s="8"/>
      <c r="S305" s="8" t="s">
        <v>69</v>
      </c>
      <c r="T305" s="8"/>
      <c r="U305" s="8"/>
      <c r="V305" s="8"/>
      <c r="W305" s="8" t="s">
        <v>43</v>
      </c>
      <c r="X305" s="9" t="s">
        <v>108</v>
      </c>
      <c r="Y305" s="13"/>
      <c r="Z305" s="9" t="s">
        <v>1514</v>
      </c>
    </row>
    <row r="306" spans="1:26" x14ac:dyDescent="0.3">
      <c r="A306" s="7" t="s">
        <v>1515</v>
      </c>
      <c r="B306" s="8" t="s">
        <v>47</v>
      </c>
      <c r="C306" s="9"/>
      <c r="D306" s="8" t="s">
        <v>1516</v>
      </c>
      <c r="E306" s="8" t="s">
        <v>275</v>
      </c>
      <c r="F306" s="8"/>
      <c r="G306" s="8" t="s">
        <v>42</v>
      </c>
      <c r="H306" s="8" t="s">
        <v>41</v>
      </c>
      <c r="I306" s="10">
        <v>100</v>
      </c>
      <c r="J306" s="10">
        <v>100</v>
      </c>
      <c r="K306" s="11"/>
      <c r="L306" s="12">
        <f>IF(D306="","",SUMIFS(Movimientos!$D$2:$D$2000,Movimientos!$B$2:$B$2000,A306))</f>
        <v>0</v>
      </c>
      <c r="M306" s="12">
        <f t="shared" si="8"/>
        <v>100</v>
      </c>
      <c r="N306" s="11"/>
      <c r="O306" s="7" t="str">
        <f t="shared" ca="1" si="9"/>
        <v>Sin fecha</v>
      </c>
      <c r="P306" s="8"/>
      <c r="Q306" s="8"/>
      <c r="R306" s="8"/>
      <c r="S306" s="8" t="s">
        <v>74</v>
      </c>
      <c r="T306" s="8"/>
      <c r="U306" s="8"/>
      <c r="V306" s="8"/>
      <c r="W306" s="8" t="s">
        <v>43</v>
      </c>
      <c r="X306" s="9" t="s">
        <v>108</v>
      </c>
      <c r="Y306" s="13"/>
      <c r="Z306" s="9" t="s">
        <v>1517</v>
      </c>
    </row>
    <row r="307" spans="1:26" x14ac:dyDescent="0.3">
      <c r="A307" s="7" t="s">
        <v>1518</v>
      </c>
      <c r="B307" s="8" t="s">
        <v>47</v>
      </c>
      <c r="C307" s="9"/>
      <c r="D307" s="8" t="s">
        <v>1519</v>
      </c>
      <c r="E307" s="8" t="s">
        <v>1520</v>
      </c>
      <c r="F307" s="8"/>
      <c r="G307" s="8" t="s">
        <v>31</v>
      </c>
      <c r="H307" s="8" t="s">
        <v>30</v>
      </c>
      <c r="I307" s="10">
        <v>90</v>
      </c>
      <c r="J307" s="10">
        <v>90</v>
      </c>
      <c r="K307" s="11"/>
      <c r="L307" s="12">
        <f>IF(D307="","",SUMIFS(Movimientos!$D$2:$D$2000,Movimientos!$B$2:$B$2000,A307))</f>
        <v>0</v>
      </c>
      <c r="M307" s="12">
        <f t="shared" si="8"/>
        <v>90</v>
      </c>
      <c r="N307" s="11"/>
      <c r="O307" s="7" t="str">
        <f t="shared" ca="1" si="9"/>
        <v>Sin fecha</v>
      </c>
      <c r="P307" s="8"/>
      <c r="Q307" s="8"/>
      <c r="R307" s="8"/>
      <c r="S307" s="8" t="s">
        <v>74</v>
      </c>
      <c r="T307" s="8"/>
      <c r="U307" s="8"/>
      <c r="V307" s="8"/>
      <c r="W307" s="8" t="s">
        <v>43</v>
      </c>
      <c r="X307" s="9" t="s">
        <v>108</v>
      </c>
      <c r="Y307" s="13"/>
      <c r="Z307" s="9" t="s">
        <v>1521</v>
      </c>
    </row>
    <row r="308" spans="1:26" x14ac:dyDescent="0.3">
      <c r="A308" s="7" t="s">
        <v>1522</v>
      </c>
      <c r="B308" s="8" t="s">
        <v>47</v>
      </c>
      <c r="C308" s="9"/>
      <c r="D308" s="8" t="s">
        <v>1523</v>
      </c>
      <c r="E308" s="8" t="s">
        <v>1524</v>
      </c>
      <c r="F308" s="8"/>
      <c r="G308" s="8" t="s">
        <v>31</v>
      </c>
      <c r="H308" s="8" t="s">
        <v>30</v>
      </c>
      <c r="I308" s="10">
        <v>50</v>
      </c>
      <c r="J308" s="10">
        <v>50</v>
      </c>
      <c r="K308" s="11"/>
      <c r="L308" s="12">
        <f>IF(D308="","",SUMIFS(Movimientos!$D$2:$D$2000,Movimientos!$B$2:$B$2000,A308))</f>
        <v>0</v>
      </c>
      <c r="M308" s="12">
        <f t="shared" si="8"/>
        <v>50</v>
      </c>
      <c r="N308" s="11"/>
      <c r="O308" s="7" t="str">
        <f t="shared" ca="1" si="9"/>
        <v>Sin fecha</v>
      </c>
      <c r="P308" s="8"/>
      <c r="Q308" s="8"/>
      <c r="R308" s="8"/>
      <c r="S308" s="8" t="s">
        <v>74</v>
      </c>
      <c r="T308" s="8"/>
      <c r="U308" s="8"/>
      <c r="V308" s="8"/>
      <c r="W308" s="8" t="s">
        <v>43</v>
      </c>
      <c r="X308" s="9" t="s">
        <v>108</v>
      </c>
      <c r="Y308" s="13"/>
      <c r="Z308" s="9" t="s">
        <v>1525</v>
      </c>
    </row>
    <row r="309" spans="1:26" x14ac:dyDescent="0.3">
      <c r="A309" s="7" t="s">
        <v>1526</v>
      </c>
      <c r="B309" s="8" t="s">
        <v>47</v>
      </c>
      <c r="C309" s="9"/>
      <c r="D309" s="8" t="s">
        <v>979</v>
      </c>
      <c r="E309" s="8" t="s">
        <v>980</v>
      </c>
      <c r="F309" s="8"/>
      <c r="G309" s="8" t="s">
        <v>31</v>
      </c>
      <c r="H309" s="8" t="s">
        <v>30</v>
      </c>
      <c r="I309" s="10">
        <v>20</v>
      </c>
      <c r="J309" s="10">
        <v>20</v>
      </c>
      <c r="K309" s="11"/>
      <c r="L309" s="12">
        <f>IF(D309="","",SUMIFS(Movimientos!$D$2:$D$2000,Movimientos!$B$2:$B$2000,A309))</f>
        <v>0</v>
      </c>
      <c r="M309" s="12">
        <f t="shared" si="8"/>
        <v>20</v>
      </c>
      <c r="N309" s="11"/>
      <c r="O309" s="7" t="str">
        <f t="shared" ca="1" si="9"/>
        <v>Sin fecha</v>
      </c>
      <c r="P309" s="8"/>
      <c r="Q309" s="8"/>
      <c r="R309" s="8"/>
      <c r="S309" s="8" t="s">
        <v>74</v>
      </c>
      <c r="T309" s="8"/>
      <c r="U309" s="8"/>
      <c r="V309" s="8"/>
      <c r="W309" s="8" t="s">
        <v>43</v>
      </c>
      <c r="X309" s="9" t="s">
        <v>108</v>
      </c>
      <c r="Y309" s="13"/>
      <c r="Z309" s="9" t="s">
        <v>1527</v>
      </c>
    </row>
    <row r="310" spans="1:26" x14ac:dyDescent="0.3">
      <c r="A310" s="7" t="s">
        <v>1528</v>
      </c>
      <c r="B310" s="8" t="s">
        <v>47</v>
      </c>
      <c r="C310" s="9"/>
      <c r="D310" s="8" t="s">
        <v>1529</v>
      </c>
      <c r="E310" s="8"/>
      <c r="F310" s="8"/>
      <c r="G310" s="8" t="s">
        <v>42</v>
      </c>
      <c r="H310" s="8" t="s">
        <v>41</v>
      </c>
      <c r="I310" s="10">
        <v>65</v>
      </c>
      <c r="J310" s="10">
        <v>65</v>
      </c>
      <c r="K310" s="11"/>
      <c r="L310" s="12">
        <f>IF(D310="","",SUMIFS(Movimientos!$D$2:$D$2000,Movimientos!$B$2:$B$2000,A310))</f>
        <v>0</v>
      </c>
      <c r="M310" s="12">
        <f t="shared" si="8"/>
        <v>65</v>
      </c>
      <c r="N310" s="11"/>
      <c r="O310" s="7" t="str">
        <f t="shared" ca="1" si="9"/>
        <v>Sin fecha</v>
      </c>
      <c r="P310" s="8"/>
      <c r="Q310" s="8"/>
      <c r="R310" s="8" t="s">
        <v>1530</v>
      </c>
      <c r="S310" s="8" t="s">
        <v>74</v>
      </c>
      <c r="T310" s="8"/>
      <c r="U310" s="8"/>
      <c r="V310" s="8"/>
      <c r="W310" s="8" t="s">
        <v>43</v>
      </c>
      <c r="X310" s="9" t="s">
        <v>108</v>
      </c>
      <c r="Y310" s="13"/>
      <c r="Z310" s="9" t="s">
        <v>1531</v>
      </c>
    </row>
    <row r="311" spans="1:26" x14ac:dyDescent="0.3">
      <c r="A311" s="7" t="s">
        <v>1532</v>
      </c>
      <c r="B311" s="8" t="s">
        <v>47</v>
      </c>
      <c r="C311" s="9"/>
      <c r="D311" s="8" t="s">
        <v>1533</v>
      </c>
      <c r="E311" s="8" t="s">
        <v>1534</v>
      </c>
      <c r="F311" s="8"/>
      <c r="G311" s="8" t="s">
        <v>42</v>
      </c>
      <c r="H311" s="8" t="s">
        <v>41</v>
      </c>
      <c r="I311" s="10">
        <v>20</v>
      </c>
      <c r="J311" s="10">
        <v>20</v>
      </c>
      <c r="K311" s="11"/>
      <c r="L311" s="12">
        <f>IF(D311="","",SUMIFS(Movimientos!$D$2:$D$2000,Movimientos!$B$2:$B$2000,A311))</f>
        <v>0</v>
      </c>
      <c r="M311" s="12">
        <f t="shared" si="8"/>
        <v>20</v>
      </c>
      <c r="N311" s="11"/>
      <c r="O311" s="7" t="str">
        <f t="shared" ca="1" si="9"/>
        <v>Sin fecha</v>
      </c>
      <c r="P311" s="8"/>
      <c r="Q311" s="8"/>
      <c r="R311" s="8" t="s">
        <v>1530</v>
      </c>
      <c r="S311" s="8" t="s">
        <v>74</v>
      </c>
      <c r="T311" s="8"/>
      <c r="U311" s="8"/>
      <c r="V311" s="8"/>
      <c r="W311" s="8" t="s">
        <v>43</v>
      </c>
      <c r="X311" s="9" t="s">
        <v>108</v>
      </c>
      <c r="Y311" s="13"/>
      <c r="Z311" s="9" t="s">
        <v>1535</v>
      </c>
    </row>
    <row r="312" spans="1:26" x14ac:dyDescent="0.3">
      <c r="A312" s="7" t="s">
        <v>1536</v>
      </c>
      <c r="B312" s="8" t="s">
        <v>47</v>
      </c>
      <c r="C312" s="9"/>
      <c r="D312" s="8" t="s">
        <v>260</v>
      </c>
      <c r="E312" s="8"/>
      <c r="F312" s="8"/>
      <c r="G312" s="8" t="s">
        <v>31</v>
      </c>
      <c r="H312" s="8" t="s">
        <v>30</v>
      </c>
      <c r="I312" s="10">
        <v>20</v>
      </c>
      <c r="J312" s="10">
        <v>20</v>
      </c>
      <c r="K312" s="11"/>
      <c r="L312" s="12">
        <f>IF(D312="","",SUMIFS(Movimientos!$D$2:$D$2000,Movimientos!$B$2:$B$2000,A312))</f>
        <v>0</v>
      </c>
      <c r="M312" s="12">
        <f t="shared" si="8"/>
        <v>20</v>
      </c>
      <c r="N312" s="11"/>
      <c r="O312" s="7" t="str">
        <f t="shared" ca="1" si="9"/>
        <v>Sin fecha</v>
      </c>
      <c r="P312" s="8"/>
      <c r="Q312" s="8"/>
      <c r="R312" s="8"/>
      <c r="S312" s="8" t="s">
        <v>72</v>
      </c>
      <c r="T312" s="8"/>
      <c r="U312" s="8"/>
      <c r="V312" s="8"/>
      <c r="W312" s="8" t="s">
        <v>43</v>
      </c>
      <c r="X312" s="9" t="s">
        <v>108</v>
      </c>
      <c r="Y312" s="13"/>
      <c r="Z312" s="9" t="s">
        <v>1537</v>
      </c>
    </row>
    <row r="313" spans="1:26" x14ac:dyDescent="0.3">
      <c r="A313" s="7" t="s">
        <v>1538</v>
      </c>
      <c r="B313" s="8" t="s">
        <v>47</v>
      </c>
      <c r="C313" s="9"/>
      <c r="D313" s="8" t="s">
        <v>1539</v>
      </c>
      <c r="E313" s="8"/>
      <c r="F313" s="8"/>
      <c r="G313" s="8" t="s">
        <v>31</v>
      </c>
      <c r="H313" s="8" t="s">
        <v>30</v>
      </c>
      <c r="I313" s="10">
        <v>8</v>
      </c>
      <c r="J313" s="10">
        <v>8</v>
      </c>
      <c r="K313" s="11"/>
      <c r="L313" s="12">
        <f>IF(D313="","",SUMIFS(Movimientos!$D$2:$D$2000,Movimientos!$B$2:$B$2000,A313))</f>
        <v>0</v>
      </c>
      <c r="M313" s="12">
        <f t="shared" si="8"/>
        <v>8</v>
      </c>
      <c r="N313" s="11"/>
      <c r="O313" s="7" t="str">
        <f t="shared" ca="1" si="9"/>
        <v>Sin fecha</v>
      </c>
      <c r="P313" s="8"/>
      <c r="Q313" s="8"/>
      <c r="R313" s="8"/>
      <c r="S313" s="8" t="s">
        <v>60</v>
      </c>
      <c r="T313" s="8"/>
      <c r="U313" s="8"/>
      <c r="V313" s="8"/>
      <c r="W313" s="8" t="s">
        <v>43</v>
      </c>
      <c r="X313" s="9" t="s">
        <v>108</v>
      </c>
      <c r="Y313" s="13"/>
      <c r="Z313" s="9" t="s">
        <v>1540</v>
      </c>
    </row>
    <row r="314" spans="1:26" x14ac:dyDescent="0.3">
      <c r="A314" s="7" t="s">
        <v>1541</v>
      </c>
      <c r="B314" s="8" t="s">
        <v>47</v>
      </c>
      <c r="C314" s="9"/>
      <c r="D314" s="8" t="s">
        <v>1542</v>
      </c>
      <c r="E314" s="8"/>
      <c r="F314" s="8"/>
      <c r="G314" s="8" t="s">
        <v>31</v>
      </c>
      <c r="H314" s="8" t="s">
        <v>30</v>
      </c>
      <c r="I314" s="10">
        <v>30</v>
      </c>
      <c r="J314" s="10">
        <v>30</v>
      </c>
      <c r="K314" s="11"/>
      <c r="L314" s="12">
        <f>IF(D314="","",SUMIFS(Movimientos!$D$2:$D$2000,Movimientos!$B$2:$B$2000,A314))</f>
        <v>0</v>
      </c>
      <c r="M314" s="12">
        <f t="shared" si="8"/>
        <v>30</v>
      </c>
      <c r="N314" s="11"/>
      <c r="O314" s="7" t="str">
        <f t="shared" ca="1" si="9"/>
        <v>Sin fecha</v>
      </c>
      <c r="P314" s="8"/>
      <c r="Q314" s="8"/>
      <c r="R314" s="8"/>
      <c r="S314" s="8" t="s">
        <v>72</v>
      </c>
      <c r="T314" s="8"/>
      <c r="U314" s="8"/>
      <c r="V314" s="8"/>
      <c r="W314" s="8" t="s">
        <v>43</v>
      </c>
      <c r="X314" s="9" t="s">
        <v>108</v>
      </c>
      <c r="Y314" s="13"/>
      <c r="Z314" s="9" t="s">
        <v>1543</v>
      </c>
    </row>
    <row r="315" spans="1:26" x14ac:dyDescent="0.3">
      <c r="A315" s="7" t="s">
        <v>1544</v>
      </c>
      <c r="B315" s="8" t="s">
        <v>47</v>
      </c>
      <c r="C315" s="9"/>
      <c r="D315" s="8" t="s">
        <v>1545</v>
      </c>
      <c r="E315" s="8" t="s">
        <v>737</v>
      </c>
      <c r="F315" s="8"/>
      <c r="G315" s="8" t="s">
        <v>42</v>
      </c>
      <c r="H315" s="8" t="s">
        <v>41</v>
      </c>
      <c r="I315" s="10">
        <v>35</v>
      </c>
      <c r="J315" s="10">
        <v>35</v>
      </c>
      <c r="K315" s="11"/>
      <c r="L315" s="12">
        <f>IF(D315="","",SUMIFS(Movimientos!$D$2:$D$2000,Movimientos!$B$2:$B$2000,A315))</f>
        <v>0</v>
      </c>
      <c r="M315" s="12">
        <f t="shared" si="8"/>
        <v>35</v>
      </c>
      <c r="N315" s="11"/>
      <c r="O315" s="7" t="str">
        <f t="shared" ca="1" si="9"/>
        <v>Sin fecha</v>
      </c>
      <c r="P315" s="8"/>
      <c r="Q315" s="8"/>
      <c r="R315" s="8"/>
      <c r="S315" s="8" t="s">
        <v>72</v>
      </c>
      <c r="T315" s="8"/>
      <c r="U315" s="8"/>
      <c r="V315" s="8"/>
      <c r="W315" s="8" t="s">
        <v>43</v>
      </c>
      <c r="X315" s="9" t="s">
        <v>108</v>
      </c>
      <c r="Y315" s="13"/>
      <c r="Z315" s="9" t="s">
        <v>1546</v>
      </c>
    </row>
    <row r="316" spans="1:26" x14ac:dyDescent="0.3">
      <c r="A316" s="7" t="s">
        <v>1547</v>
      </c>
      <c r="B316" s="8" t="s">
        <v>47</v>
      </c>
      <c r="C316" s="9"/>
      <c r="D316" s="8" t="s">
        <v>426</v>
      </c>
      <c r="E316" s="8" t="s">
        <v>427</v>
      </c>
      <c r="F316" s="8"/>
      <c r="G316" s="8" t="s">
        <v>31</v>
      </c>
      <c r="H316" s="8" t="s">
        <v>30</v>
      </c>
      <c r="I316" s="10">
        <v>30</v>
      </c>
      <c r="J316" s="10">
        <v>30</v>
      </c>
      <c r="K316" s="11"/>
      <c r="L316" s="12">
        <f>IF(D316="","",SUMIFS(Movimientos!$D$2:$D$2000,Movimientos!$B$2:$B$2000,A316))</f>
        <v>0</v>
      </c>
      <c r="M316" s="12">
        <f t="shared" si="8"/>
        <v>30</v>
      </c>
      <c r="N316" s="11"/>
      <c r="O316" s="7" t="str">
        <f t="shared" ca="1" si="9"/>
        <v>Sin fecha</v>
      </c>
      <c r="P316" s="8"/>
      <c r="Q316" s="8"/>
      <c r="R316" s="8"/>
      <c r="S316" s="8" t="s">
        <v>72</v>
      </c>
      <c r="T316" s="8"/>
      <c r="U316" s="8"/>
      <c r="V316" s="8"/>
      <c r="W316" s="8" t="s">
        <v>43</v>
      </c>
      <c r="X316" s="9" t="s">
        <v>108</v>
      </c>
      <c r="Y316" s="13"/>
      <c r="Z316" s="9" t="s">
        <v>1548</v>
      </c>
    </row>
    <row r="317" spans="1:26" x14ac:dyDescent="0.3">
      <c r="A317" s="7" t="s">
        <v>1549</v>
      </c>
      <c r="B317" s="8" t="s">
        <v>47</v>
      </c>
      <c r="C317" s="9"/>
      <c r="D317" s="8" t="s">
        <v>1550</v>
      </c>
      <c r="E317" s="8"/>
      <c r="F317" s="8"/>
      <c r="G317" s="8" t="s">
        <v>31</v>
      </c>
      <c r="H317" s="8" t="s">
        <v>30</v>
      </c>
      <c r="I317" s="10">
        <v>50</v>
      </c>
      <c r="J317" s="10">
        <v>50</v>
      </c>
      <c r="K317" s="11"/>
      <c r="L317" s="12">
        <f>IF(D317="","",SUMIFS(Movimientos!$D$2:$D$2000,Movimientos!$B$2:$B$2000,A317))</f>
        <v>0</v>
      </c>
      <c r="M317" s="12">
        <f t="shared" si="8"/>
        <v>50</v>
      </c>
      <c r="N317" s="11"/>
      <c r="O317" s="7" t="str">
        <f t="shared" ca="1" si="9"/>
        <v>Sin fecha</v>
      </c>
      <c r="P317" s="8"/>
      <c r="Q317" s="8"/>
      <c r="R317" s="8"/>
      <c r="S317" s="8" t="s">
        <v>72</v>
      </c>
      <c r="T317" s="8"/>
      <c r="U317" s="8"/>
      <c r="V317" s="8"/>
      <c r="W317" s="8" t="s">
        <v>43</v>
      </c>
      <c r="X317" s="9" t="s">
        <v>108</v>
      </c>
      <c r="Y317" s="13"/>
      <c r="Z317" s="9" t="s">
        <v>1551</v>
      </c>
    </row>
    <row r="318" spans="1:26" x14ac:dyDescent="0.3">
      <c r="A318" s="7" t="s">
        <v>1552</v>
      </c>
      <c r="B318" s="8" t="s">
        <v>47</v>
      </c>
      <c r="C318" s="9"/>
      <c r="D318" s="8" t="s">
        <v>1553</v>
      </c>
      <c r="E318" s="8" t="s">
        <v>1091</v>
      </c>
      <c r="F318" s="8"/>
      <c r="G318" s="8" t="s">
        <v>31</v>
      </c>
      <c r="H318" s="8" t="s">
        <v>30</v>
      </c>
      <c r="I318" s="10">
        <v>10</v>
      </c>
      <c r="J318" s="10">
        <v>10</v>
      </c>
      <c r="K318" s="11"/>
      <c r="L318" s="12">
        <f>IF(D318="","",SUMIFS(Movimientos!$D$2:$D$2000,Movimientos!$B$2:$B$2000,A318))</f>
        <v>0</v>
      </c>
      <c r="M318" s="12">
        <f t="shared" si="8"/>
        <v>10</v>
      </c>
      <c r="N318" s="11"/>
      <c r="O318" s="7" t="str">
        <f t="shared" ca="1" si="9"/>
        <v>Sin fecha</v>
      </c>
      <c r="P318" s="8"/>
      <c r="Q318" s="8"/>
      <c r="R318" s="8"/>
      <c r="S318" s="8" t="s">
        <v>72</v>
      </c>
      <c r="T318" s="8"/>
      <c r="U318" s="8"/>
      <c r="V318" s="8"/>
      <c r="W318" s="8" t="s">
        <v>43</v>
      </c>
      <c r="X318" s="9" t="s">
        <v>108</v>
      </c>
      <c r="Y318" s="13"/>
      <c r="Z318" s="9" t="s">
        <v>1554</v>
      </c>
    </row>
    <row r="319" spans="1:26" x14ac:dyDescent="0.3">
      <c r="A319" s="7" t="s">
        <v>1555</v>
      </c>
      <c r="B319" s="8" t="s">
        <v>47</v>
      </c>
      <c r="C319" s="9"/>
      <c r="D319" s="8" t="s">
        <v>1556</v>
      </c>
      <c r="E319" s="8" t="s">
        <v>1557</v>
      </c>
      <c r="F319" s="8"/>
      <c r="G319" s="8" t="s">
        <v>31</v>
      </c>
      <c r="H319" s="8" t="s">
        <v>30</v>
      </c>
      <c r="I319" s="10">
        <v>10</v>
      </c>
      <c r="J319" s="10">
        <v>10</v>
      </c>
      <c r="K319" s="11"/>
      <c r="L319" s="12">
        <f>IF(D319="","",SUMIFS(Movimientos!$D$2:$D$2000,Movimientos!$B$2:$B$2000,A319))</f>
        <v>0</v>
      </c>
      <c r="M319" s="12">
        <f t="shared" si="8"/>
        <v>10</v>
      </c>
      <c r="N319" s="11"/>
      <c r="O319" s="7" t="str">
        <f t="shared" ca="1" si="9"/>
        <v>Sin fecha</v>
      </c>
      <c r="P319" s="8"/>
      <c r="Q319" s="8"/>
      <c r="R319" s="8"/>
      <c r="S319" s="8" t="s">
        <v>60</v>
      </c>
      <c r="T319" s="8"/>
      <c r="U319" s="8"/>
      <c r="V319" s="8"/>
      <c r="W319" s="8" t="s">
        <v>43</v>
      </c>
      <c r="X319" s="9" t="s">
        <v>108</v>
      </c>
      <c r="Y319" s="13"/>
      <c r="Z319" s="9" t="s">
        <v>1558</v>
      </c>
    </row>
    <row r="320" spans="1:26" x14ac:dyDescent="0.3">
      <c r="A320" s="7" t="s">
        <v>1559</v>
      </c>
      <c r="B320" s="8" t="s">
        <v>47</v>
      </c>
      <c r="C320" s="9"/>
      <c r="D320" s="8" t="s">
        <v>1560</v>
      </c>
      <c r="E320" s="8"/>
      <c r="F320" s="8"/>
      <c r="G320" s="8" t="s">
        <v>31</v>
      </c>
      <c r="H320" s="8" t="s">
        <v>30</v>
      </c>
      <c r="I320" s="10">
        <v>8</v>
      </c>
      <c r="J320" s="10">
        <v>8</v>
      </c>
      <c r="K320" s="11"/>
      <c r="L320" s="12">
        <f>IF(D320="","",SUMIFS(Movimientos!$D$2:$D$2000,Movimientos!$B$2:$B$2000,A320))</f>
        <v>0</v>
      </c>
      <c r="M320" s="12">
        <f t="shared" si="8"/>
        <v>8</v>
      </c>
      <c r="N320" s="11"/>
      <c r="O320" s="7" t="str">
        <f t="shared" ca="1" si="9"/>
        <v>Sin fecha</v>
      </c>
      <c r="P320" s="8"/>
      <c r="Q320" s="8"/>
      <c r="R320" s="8"/>
      <c r="S320" s="8" t="s">
        <v>72</v>
      </c>
      <c r="T320" s="8"/>
      <c r="U320" s="8"/>
      <c r="V320" s="8"/>
      <c r="W320" s="8" t="s">
        <v>43</v>
      </c>
      <c r="X320" s="9" t="s">
        <v>108</v>
      </c>
      <c r="Y320" s="13"/>
      <c r="Z320" s="9" t="s">
        <v>1561</v>
      </c>
    </row>
    <row r="321" spans="1:26" x14ac:dyDescent="0.3">
      <c r="A321" s="7" t="s">
        <v>1562</v>
      </c>
      <c r="B321" s="8" t="s">
        <v>47</v>
      </c>
      <c r="C321" s="9"/>
      <c r="D321" s="8" t="s">
        <v>1563</v>
      </c>
      <c r="E321" s="8" t="s">
        <v>1564</v>
      </c>
      <c r="F321" s="8"/>
      <c r="G321" s="8" t="s">
        <v>31</v>
      </c>
      <c r="H321" s="8" t="s">
        <v>30</v>
      </c>
      <c r="I321" s="10">
        <v>25</v>
      </c>
      <c r="J321" s="10">
        <v>25</v>
      </c>
      <c r="K321" s="11"/>
      <c r="L321" s="12">
        <f>IF(D321="","",SUMIFS(Movimientos!$D$2:$D$2000,Movimientos!$B$2:$B$2000,A321))</f>
        <v>0</v>
      </c>
      <c r="M321" s="12">
        <f t="shared" si="8"/>
        <v>25</v>
      </c>
      <c r="N321" s="11"/>
      <c r="O321" s="7" t="str">
        <f t="shared" ca="1" si="9"/>
        <v>Sin fecha</v>
      </c>
      <c r="P321" s="8"/>
      <c r="Q321" s="8"/>
      <c r="R321" s="8"/>
      <c r="S321" s="8" t="s">
        <v>72</v>
      </c>
      <c r="T321" s="8"/>
      <c r="U321" s="8"/>
      <c r="V321" s="8"/>
      <c r="W321" s="8" t="s">
        <v>43</v>
      </c>
      <c r="X321" s="9" t="s">
        <v>108</v>
      </c>
      <c r="Y321" s="13"/>
      <c r="Z321" s="9" t="s">
        <v>1565</v>
      </c>
    </row>
    <row r="322" spans="1:26" x14ac:dyDescent="0.3">
      <c r="A322" s="7" t="s">
        <v>1566</v>
      </c>
      <c r="B322" s="8" t="s">
        <v>47</v>
      </c>
      <c r="C322" s="9"/>
      <c r="D322" s="8" t="s">
        <v>1567</v>
      </c>
      <c r="E322" s="8" t="s">
        <v>986</v>
      </c>
      <c r="F322" s="8"/>
      <c r="G322" s="8" t="s">
        <v>31</v>
      </c>
      <c r="H322" s="8" t="s">
        <v>30</v>
      </c>
      <c r="I322" s="10">
        <v>15</v>
      </c>
      <c r="J322" s="10">
        <v>15</v>
      </c>
      <c r="K322" s="11"/>
      <c r="L322" s="12">
        <f>IF(D322="","",SUMIFS(Movimientos!$D$2:$D$2000,Movimientos!$B$2:$B$2000,A322))</f>
        <v>0</v>
      </c>
      <c r="M322" s="12">
        <f t="shared" ref="M322:M385" si="10">IF(J322="","",J322-L322)</f>
        <v>15</v>
      </c>
      <c r="N322" s="11"/>
      <c r="O322" s="7" t="str">
        <f t="shared" ref="O322:O385" ca="1" si="11">IF(D322="","",IF(N322="","Sin fecha",IF(N322&lt;TODAY(),"VENCIDO",IF(N322&lt;TODAY()+90,"Por vencer","Vigente"))))</f>
        <v>Sin fecha</v>
      </c>
      <c r="P322" s="8"/>
      <c r="Q322" s="8"/>
      <c r="R322" s="8"/>
      <c r="S322" s="8" t="s">
        <v>72</v>
      </c>
      <c r="T322" s="8"/>
      <c r="U322" s="8"/>
      <c r="V322" s="8"/>
      <c r="W322" s="8" t="s">
        <v>43</v>
      </c>
      <c r="X322" s="9" t="s">
        <v>108</v>
      </c>
      <c r="Y322" s="13"/>
      <c r="Z322" s="9" t="s">
        <v>1568</v>
      </c>
    </row>
    <row r="323" spans="1:26" x14ac:dyDescent="0.3">
      <c r="A323" s="7" t="s">
        <v>1569</v>
      </c>
      <c r="B323" s="8" t="s">
        <v>47</v>
      </c>
      <c r="C323" s="9"/>
      <c r="D323" s="8" t="s">
        <v>1570</v>
      </c>
      <c r="E323" s="8" t="s">
        <v>1571</v>
      </c>
      <c r="F323" s="8"/>
      <c r="G323" s="8" t="s">
        <v>31</v>
      </c>
      <c r="H323" s="8" t="s">
        <v>30</v>
      </c>
      <c r="I323" s="10">
        <v>5</v>
      </c>
      <c r="J323" s="10">
        <v>5</v>
      </c>
      <c r="K323" s="11"/>
      <c r="L323" s="12">
        <f>IF(D323="","",SUMIFS(Movimientos!$D$2:$D$2000,Movimientos!$B$2:$B$2000,A323))</f>
        <v>0</v>
      </c>
      <c r="M323" s="12">
        <f t="shared" si="10"/>
        <v>5</v>
      </c>
      <c r="N323" s="11"/>
      <c r="O323" s="7" t="str">
        <f t="shared" ca="1" si="11"/>
        <v>Sin fecha</v>
      </c>
      <c r="P323" s="8"/>
      <c r="Q323" s="8"/>
      <c r="R323" s="8"/>
      <c r="S323" s="8" t="s">
        <v>72</v>
      </c>
      <c r="T323" s="8"/>
      <c r="U323" s="8"/>
      <c r="V323" s="8"/>
      <c r="W323" s="8" t="s">
        <v>43</v>
      </c>
      <c r="X323" s="9" t="s">
        <v>108</v>
      </c>
      <c r="Y323" s="13"/>
      <c r="Z323" s="9" t="s">
        <v>1572</v>
      </c>
    </row>
    <row r="324" spans="1:26" x14ac:dyDescent="0.3">
      <c r="A324" s="7" t="s">
        <v>1573</v>
      </c>
      <c r="B324" s="8" t="s">
        <v>47</v>
      </c>
      <c r="C324" s="9"/>
      <c r="D324" s="8" t="s">
        <v>1574</v>
      </c>
      <c r="E324" s="8" t="s">
        <v>1575</v>
      </c>
      <c r="F324" s="8"/>
      <c r="G324" s="8" t="s">
        <v>31</v>
      </c>
      <c r="H324" s="8" t="s">
        <v>30</v>
      </c>
      <c r="I324" s="10">
        <v>15</v>
      </c>
      <c r="J324" s="10">
        <v>15</v>
      </c>
      <c r="K324" s="11"/>
      <c r="L324" s="12">
        <f>IF(D324="","",SUMIFS(Movimientos!$D$2:$D$2000,Movimientos!$B$2:$B$2000,A324))</f>
        <v>0</v>
      </c>
      <c r="M324" s="12">
        <f t="shared" si="10"/>
        <v>15</v>
      </c>
      <c r="N324" s="11"/>
      <c r="O324" s="7" t="str">
        <f t="shared" ca="1" si="11"/>
        <v>Sin fecha</v>
      </c>
      <c r="P324" s="8"/>
      <c r="Q324" s="8"/>
      <c r="R324" s="8"/>
      <c r="S324" s="8" t="s">
        <v>72</v>
      </c>
      <c r="T324" s="8"/>
      <c r="U324" s="8"/>
      <c r="V324" s="8"/>
      <c r="W324" s="8" t="s">
        <v>43</v>
      </c>
      <c r="X324" s="9" t="s">
        <v>108</v>
      </c>
      <c r="Y324" s="13"/>
      <c r="Z324" s="9" t="s">
        <v>1576</v>
      </c>
    </row>
    <row r="325" spans="1:26" x14ac:dyDescent="0.3">
      <c r="A325" s="7" t="s">
        <v>1577</v>
      </c>
      <c r="B325" s="8" t="s">
        <v>47</v>
      </c>
      <c r="C325" s="9"/>
      <c r="D325" s="8" t="s">
        <v>1578</v>
      </c>
      <c r="E325" s="8"/>
      <c r="F325" s="8"/>
      <c r="G325" s="8" t="s">
        <v>42</v>
      </c>
      <c r="H325" s="8" t="s">
        <v>41</v>
      </c>
      <c r="I325" s="10">
        <v>30</v>
      </c>
      <c r="J325" s="10">
        <v>30</v>
      </c>
      <c r="K325" s="11"/>
      <c r="L325" s="12">
        <f>IF(D325="","",SUMIFS(Movimientos!$D$2:$D$2000,Movimientos!$B$2:$B$2000,A325))</f>
        <v>0</v>
      </c>
      <c r="M325" s="12">
        <f t="shared" si="10"/>
        <v>30</v>
      </c>
      <c r="N325" s="11"/>
      <c r="O325" s="7" t="str">
        <f t="shared" ca="1" si="11"/>
        <v>Sin fecha</v>
      </c>
      <c r="P325" s="8"/>
      <c r="Q325" s="8"/>
      <c r="R325" s="8"/>
      <c r="S325" s="8" t="s">
        <v>72</v>
      </c>
      <c r="T325" s="8"/>
      <c r="U325" s="8"/>
      <c r="V325" s="8"/>
      <c r="W325" s="8" t="s">
        <v>43</v>
      </c>
      <c r="X325" s="9" t="s">
        <v>108</v>
      </c>
      <c r="Y325" s="13"/>
      <c r="Z325" s="9" t="s">
        <v>1579</v>
      </c>
    </row>
    <row r="326" spans="1:26" x14ac:dyDescent="0.3">
      <c r="A326" s="7" t="s">
        <v>1580</v>
      </c>
      <c r="B326" s="8" t="s">
        <v>47</v>
      </c>
      <c r="C326" s="9"/>
      <c r="D326" s="8" t="s">
        <v>1581</v>
      </c>
      <c r="E326" s="8"/>
      <c r="F326" s="8"/>
      <c r="G326" s="8" t="s">
        <v>31</v>
      </c>
      <c r="H326" s="8" t="s">
        <v>30</v>
      </c>
      <c r="I326" s="10">
        <v>30</v>
      </c>
      <c r="J326" s="10">
        <v>30</v>
      </c>
      <c r="K326" s="11"/>
      <c r="L326" s="12">
        <f>IF(D326="","",SUMIFS(Movimientos!$D$2:$D$2000,Movimientos!$B$2:$B$2000,A326))</f>
        <v>0</v>
      </c>
      <c r="M326" s="12">
        <f t="shared" si="10"/>
        <v>30</v>
      </c>
      <c r="N326" s="11"/>
      <c r="O326" s="7" t="str">
        <f t="shared" ca="1" si="11"/>
        <v>Sin fecha</v>
      </c>
      <c r="P326" s="8"/>
      <c r="Q326" s="8"/>
      <c r="R326" s="8"/>
      <c r="S326" s="8" t="s">
        <v>60</v>
      </c>
      <c r="T326" s="8"/>
      <c r="U326" s="8"/>
      <c r="V326" s="8"/>
      <c r="W326" s="8" t="s">
        <v>43</v>
      </c>
      <c r="X326" s="9" t="s">
        <v>108</v>
      </c>
      <c r="Y326" s="13"/>
      <c r="Z326" s="9" t="s">
        <v>1582</v>
      </c>
    </row>
    <row r="327" spans="1:26" x14ac:dyDescent="0.3">
      <c r="A327" s="7" t="s">
        <v>1583</v>
      </c>
      <c r="B327" s="8" t="s">
        <v>47</v>
      </c>
      <c r="C327" s="9"/>
      <c r="D327" s="8" t="s">
        <v>1584</v>
      </c>
      <c r="E327" s="8" t="s">
        <v>1585</v>
      </c>
      <c r="F327" s="8"/>
      <c r="G327" s="8" t="s">
        <v>42</v>
      </c>
      <c r="H327" s="8" t="s">
        <v>41</v>
      </c>
      <c r="I327" s="10">
        <v>150</v>
      </c>
      <c r="J327" s="10">
        <v>150</v>
      </c>
      <c r="K327" s="11"/>
      <c r="L327" s="12">
        <f>IF(D327="","",SUMIFS(Movimientos!$D$2:$D$2000,Movimientos!$B$2:$B$2000,A327))</f>
        <v>0</v>
      </c>
      <c r="M327" s="12">
        <f t="shared" si="10"/>
        <v>150</v>
      </c>
      <c r="N327" s="11"/>
      <c r="O327" s="7" t="str">
        <f t="shared" ca="1" si="11"/>
        <v>Sin fecha</v>
      </c>
      <c r="P327" s="8"/>
      <c r="Q327" s="8"/>
      <c r="R327" s="8"/>
      <c r="S327" s="8" t="s">
        <v>69</v>
      </c>
      <c r="T327" s="8"/>
      <c r="U327" s="8"/>
      <c r="V327" s="8"/>
      <c r="W327" s="8" t="s">
        <v>43</v>
      </c>
      <c r="X327" s="9" t="s">
        <v>108</v>
      </c>
      <c r="Y327" s="13"/>
      <c r="Z327" s="9" t="s">
        <v>1586</v>
      </c>
    </row>
    <row r="328" spans="1:26" x14ac:dyDescent="0.3">
      <c r="A328" s="7" t="s">
        <v>1587</v>
      </c>
      <c r="B328" s="8" t="s">
        <v>47</v>
      </c>
      <c r="C328" s="9"/>
      <c r="D328" s="8" t="s">
        <v>1588</v>
      </c>
      <c r="E328" s="8"/>
      <c r="F328" s="8"/>
      <c r="G328" s="8" t="s">
        <v>42</v>
      </c>
      <c r="H328" s="8" t="s">
        <v>41</v>
      </c>
      <c r="I328" s="10">
        <v>350</v>
      </c>
      <c r="J328" s="10">
        <v>350</v>
      </c>
      <c r="K328" s="11"/>
      <c r="L328" s="12">
        <f>IF(D328="","",SUMIFS(Movimientos!$D$2:$D$2000,Movimientos!$B$2:$B$2000,A328))</f>
        <v>0</v>
      </c>
      <c r="M328" s="12">
        <f t="shared" si="10"/>
        <v>350</v>
      </c>
      <c r="N328" s="11"/>
      <c r="O328" s="7" t="str">
        <f t="shared" ca="1" si="11"/>
        <v>Sin fecha</v>
      </c>
      <c r="P328" s="8"/>
      <c r="Q328" s="8"/>
      <c r="R328" s="8"/>
      <c r="S328" s="8" t="s">
        <v>60</v>
      </c>
      <c r="T328" s="8"/>
      <c r="U328" s="8"/>
      <c r="V328" s="8"/>
      <c r="W328" s="8" t="s">
        <v>43</v>
      </c>
      <c r="X328" s="9" t="s">
        <v>108</v>
      </c>
      <c r="Y328" s="13"/>
      <c r="Z328" s="9" t="s">
        <v>1589</v>
      </c>
    </row>
    <row r="329" spans="1:26" x14ac:dyDescent="0.3">
      <c r="A329" s="7" t="s">
        <v>1590</v>
      </c>
      <c r="B329" s="8" t="s">
        <v>47</v>
      </c>
      <c r="C329" s="9"/>
      <c r="D329" s="8" t="s">
        <v>1591</v>
      </c>
      <c r="E329" s="8"/>
      <c r="F329" s="8"/>
      <c r="G329" s="8" t="s">
        <v>42</v>
      </c>
      <c r="H329" s="8" t="s">
        <v>41</v>
      </c>
      <c r="I329" s="10">
        <v>800</v>
      </c>
      <c r="J329" s="10">
        <v>800</v>
      </c>
      <c r="K329" s="11"/>
      <c r="L329" s="12">
        <f>IF(D329="","",SUMIFS(Movimientos!$D$2:$D$2000,Movimientos!$B$2:$B$2000,A329))</f>
        <v>0</v>
      </c>
      <c r="M329" s="12">
        <f t="shared" si="10"/>
        <v>800</v>
      </c>
      <c r="N329" s="11"/>
      <c r="O329" s="7" t="str">
        <f t="shared" ca="1" si="11"/>
        <v>Sin fecha</v>
      </c>
      <c r="P329" s="8"/>
      <c r="Q329" s="8"/>
      <c r="R329" s="8"/>
      <c r="S329" s="8" t="s">
        <v>69</v>
      </c>
      <c r="T329" s="8"/>
      <c r="U329" s="8"/>
      <c r="V329" s="8"/>
      <c r="W329" s="8" t="s">
        <v>43</v>
      </c>
      <c r="X329" s="9" t="s">
        <v>108</v>
      </c>
      <c r="Y329" s="13"/>
      <c r="Z329" s="9" t="s">
        <v>1592</v>
      </c>
    </row>
    <row r="330" spans="1:26" x14ac:dyDescent="0.3">
      <c r="A330" s="7" t="s">
        <v>1593</v>
      </c>
      <c r="B330" s="8" t="s">
        <v>47</v>
      </c>
      <c r="C330" s="9"/>
      <c r="D330" s="8" t="s">
        <v>1594</v>
      </c>
      <c r="E330" s="8" t="s">
        <v>1595</v>
      </c>
      <c r="F330" s="8"/>
      <c r="G330" s="8" t="s">
        <v>42</v>
      </c>
      <c r="H330" s="8" t="s">
        <v>41</v>
      </c>
      <c r="I330" s="10">
        <v>150</v>
      </c>
      <c r="J330" s="10">
        <v>150</v>
      </c>
      <c r="K330" s="11"/>
      <c r="L330" s="12">
        <f>IF(D330="","",SUMIFS(Movimientos!$D$2:$D$2000,Movimientos!$B$2:$B$2000,A330))</f>
        <v>0</v>
      </c>
      <c r="M330" s="12">
        <f t="shared" si="10"/>
        <v>150</v>
      </c>
      <c r="N330" s="11"/>
      <c r="O330" s="7" t="str">
        <f t="shared" ca="1" si="11"/>
        <v>Sin fecha</v>
      </c>
      <c r="P330" s="8"/>
      <c r="Q330" s="8"/>
      <c r="R330" s="8"/>
      <c r="S330" s="8" t="s">
        <v>69</v>
      </c>
      <c r="T330" s="8"/>
      <c r="U330" s="8"/>
      <c r="V330" s="8"/>
      <c r="W330" s="8" t="s">
        <v>43</v>
      </c>
      <c r="X330" s="9" t="s">
        <v>108</v>
      </c>
      <c r="Y330" s="13"/>
      <c r="Z330" s="9" t="s">
        <v>1596</v>
      </c>
    </row>
    <row r="331" spans="1:26" x14ac:dyDescent="0.3">
      <c r="A331" s="7" t="s">
        <v>1597</v>
      </c>
      <c r="B331" s="8" t="s">
        <v>47</v>
      </c>
      <c r="C331" s="9"/>
      <c r="D331" s="8" t="s">
        <v>1598</v>
      </c>
      <c r="E331" s="8"/>
      <c r="F331" s="8"/>
      <c r="G331" s="8" t="s">
        <v>42</v>
      </c>
      <c r="H331" s="8" t="s">
        <v>41</v>
      </c>
      <c r="I331" s="10">
        <v>80</v>
      </c>
      <c r="J331" s="10">
        <v>80</v>
      </c>
      <c r="K331" s="11"/>
      <c r="L331" s="12">
        <f>IF(D331="","",SUMIFS(Movimientos!$D$2:$D$2000,Movimientos!$B$2:$B$2000,A331))</f>
        <v>0</v>
      </c>
      <c r="M331" s="12">
        <f t="shared" si="10"/>
        <v>80</v>
      </c>
      <c r="N331" s="11"/>
      <c r="O331" s="7" t="str">
        <f t="shared" ca="1" si="11"/>
        <v>Sin fecha</v>
      </c>
      <c r="P331" s="8"/>
      <c r="Q331" s="8"/>
      <c r="R331" s="8"/>
      <c r="S331" s="8" t="s">
        <v>69</v>
      </c>
      <c r="T331" s="8"/>
      <c r="U331" s="8"/>
      <c r="V331" s="8"/>
      <c r="W331" s="8" t="s">
        <v>43</v>
      </c>
      <c r="X331" s="9" t="s">
        <v>108</v>
      </c>
      <c r="Y331" s="13"/>
      <c r="Z331" s="9" t="s">
        <v>1599</v>
      </c>
    </row>
    <row r="332" spans="1:26" x14ac:dyDescent="0.3">
      <c r="A332" s="7" t="s">
        <v>1600</v>
      </c>
      <c r="B332" s="8" t="s">
        <v>47</v>
      </c>
      <c r="C332" s="9"/>
      <c r="D332" s="8" t="s">
        <v>1601</v>
      </c>
      <c r="E332" s="8"/>
      <c r="F332" s="8"/>
      <c r="G332" s="8" t="s">
        <v>42</v>
      </c>
      <c r="H332" s="8" t="s">
        <v>41</v>
      </c>
      <c r="I332" s="10">
        <v>230</v>
      </c>
      <c r="J332" s="10">
        <v>230</v>
      </c>
      <c r="K332" s="11"/>
      <c r="L332" s="12">
        <f>IF(D332="","",SUMIFS(Movimientos!$D$2:$D$2000,Movimientos!$B$2:$B$2000,A332))</f>
        <v>0</v>
      </c>
      <c r="M332" s="12">
        <f t="shared" si="10"/>
        <v>230</v>
      </c>
      <c r="N332" s="11"/>
      <c r="O332" s="7" t="str">
        <f t="shared" ca="1" si="11"/>
        <v>Sin fecha</v>
      </c>
      <c r="P332" s="8"/>
      <c r="Q332" s="8"/>
      <c r="R332" s="8"/>
      <c r="S332" s="8" t="s">
        <v>69</v>
      </c>
      <c r="T332" s="8"/>
      <c r="U332" s="8"/>
      <c r="V332" s="8"/>
      <c r="W332" s="8" t="s">
        <v>43</v>
      </c>
      <c r="X332" s="9" t="s">
        <v>108</v>
      </c>
      <c r="Y332" s="13"/>
      <c r="Z332" s="9" t="s">
        <v>1602</v>
      </c>
    </row>
    <row r="333" spans="1:26" x14ac:dyDescent="0.3">
      <c r="A333" s="7" t="s">
        <v>1603</v>
      </c>
      <c r="B333" s="8" t="s">
        <v>47</v>
      </c>
      <c r="C333" s="9"/>
      <c r="D333" s="8" t="s">
        <v>1153</v>
      </c>
      <c r="E333" s="8" t="s">
        <v>1154</v>
      </c>
      <c r="F333" s="8"/>
      <c r="G333" s="8" t="s">
        <v>42</v>
      </c>
      <c r="H333" s="8" t="s">
        <v>41</v>
      </c>
      <c r="I333" s="10">
        <v>80</v>
      </c>
      <c r="J333" s="10">
        <v>80</v>
      </c>
      <c r="K333" s="11"/>
      <c r="L333" s="12">
        <f>IF(D333="","",SUMIFS(Movimientos!$D$2:$D$2000,Movimientos!$B$2:$B$2000,A333))</f>
        <v>0</v>
      </c>
      <c r="M333" s="12">
        <f t="shared" si="10"/>
        <v>80</v>
      </c>
      <c r="N333" s="11"/>
      <c r="O333" s="7" t="str">
        <f t="shared" ca="1" si="11"/>
        <v>Sin fecha</v>
      </c>
      <c r="P333" s="8"/>
      <c r="Q333" s="8"/>
      <c r="R333" s="8"/>
      <c r="S333" s="8" t="s">
        <v>69</v>
      </c>
      <c r="T333" s="8"/>
      <c r="U333" s="8"/>
      <c r="V333" s="8"/>
      <c r="W333" s="8" t="s">
        <v>43</v>
      </c>
      <c r="X333" s="9" t="s">
        <v>108</v>
      </c>
      <c r="Y333" s="13"/>
      <c r="Z333" s="9" t="s">
        <v>1604</v>
      </c>
    </row>
    <row r="334" spans="1:26" x14ac:dyDescent="0.3">
      <c r="A334" s="7" t="s">
        <v>1605</v>
      </c>
      <c r="B334" s="8" t="s">
        <v>47</v>
      </c>
      <c r="C334" s="9"/>
      <c r="D334" s="8" t="s">
        <v>762</v>
      </c>
      <c r="E334" s="8" t="s">
        <v>763</v>
      </c>
      <c r="F334" s="8"/>
      <c r="G334" s="8" t="s">
        <v>42</v>
      </c>
      <c r="H334" s="8" t="s">
        <v>41</v>
      </c>
      <c r="I334" s="10">
        <v>200</v>
      </c>
      <c r="J334" s="10">
        <v>200</v>
      </c>
      <c r="K334" s="11"/>
      <c r="L334" s="12">
        <f>IF(D334="","",SUMIFS(Movimientos!$D$2:$D$2000,Movimientos!$B$2:$B$2000,A334))</f>
        <v>0</v>
      </c>
      <c r="M334" s="12">
        <f t="shared" si="10"/>
        <v>200</v>
      </c>
      <c r="N334" s="11"/>
      <c r="O334" s="7" t="str">
        <f t="shared" ca="1" si="11"/>
        <v>Sin fecha</v>
      </c>
      <c r="P334" s="8"/>
      <c r="Q334" s="8"/>
      <c r="R334" s="8"/>
      <c r="S334" s="8" t="s">
        <v>69</v>
      </c>
      <c r="T334" s="8"/>
      <c r="U334" s="8"/>
      <c r="V334" s="8"/>
      <c r="W334" s="8" t="s">
        <v>43</v>
      </c>
      <c r="X334" s="9" t="s">
        <v>108</v>
      </c>
      <c r="Y334" s="13"/>
      <c r="Z334" s="9" t="s">
        <v>1606</v>
      </c>
    </row>
    <row r="335" spans="1:26" x14ac:dyDescent="0.3">
      <c r="A335" s="7" t="s">
        <v>1607</v>
      </c>
      <c r="B335" s="8" t="s">
        <v>47</v>
      </c>
      <c r="C335" s="9"/>
      <c r="D335" s="8" t="s">
        <v>185</v>
      </c>
      <c r="E335" s="8" t="s">
        <v>1608</v>
      </c>
      <c r="F335" s="8"/>
      <c r="G335" s="8" t="s">
        <v>42</v>
      </c>
      <c r="H335" s="8" t="s">
        <v>41</v>
      </c>
      <c r="I335" s="10">
        <v>80</v>
      </c>
      <c r="J335" s="10">
        <v>80</v>
      </c>
      <c r="K335" s="11"/>
      <c r="L335" s="12">
        <f>IF(D335="","",SUMIFS(Movimientos!$D$2:$D$2000,Movimientos!$B$2:$B$2000,A335))</f>
        <v>0</v>
      </c>
      <c r="M335" s="12">
        <f t="shared" si="10"/>
        <v>80</v>
      </c>
      <c r="N335" s="11"/>
      <c r="O335" s="7" t="str">
        <f t="shared" ca="1" si="11"/>
        <v>Sin fecha</v>
      </c>
      <c r="P335" s="8"/>
      <c r="Q335" s="8"/>
      <c r="R335" s="8"/>
      <c r="S335" s="8" t="s">
        <v>69</v>
      </c>
      <c r="T335" s="8"/>
      <c r="U335" s="8"/>
      <c r="V335" s="8"/>
      <c r="W335" s="8" t="s">
        <v>43</v>
      </c>
      <c r="X335" s="9" t="s">
        <v>108</v>
      </c>
      <c r="Y335" s="13"/>
      <c r="Z335" s="9" t="s">
        <v>1609</v>
      </c>
    </row>
    <row r="336" spans="1:26" x14ac:dyDescent="0.3">
      <c r="A336" s="7" t="s">
        <v>1610</v>
      </c>
      <c r="B336" s="8" t="s">
        <v>47</v>
      </c>
      <c r="C336" s="9"/>
      <c r="D336" s="8" t="s">
        <v>1611</v>
      </c>
      <c r="E336" s="8"/>
      <c r="F336" s="8"/>
      <c r="G336" s="8" t="s">
        <v>42</v>
      </c>
      <c r="H336" s="8" t="s">
        <v>41</v>
      </c>
      <c r="I336" s="10">
        <v>230</v>
      </c>
      <c r="J336" s="10">
        <v>230</v>
      </c>
      <c r="K336" s="11"/>
      <c r="L336" s="12">
        <f>IF(D336="","",SUMIFS(Movimientos!$D$2:$D$2000,Movimientos!$B$2:$B$2000,A336))</f>
        <v>0</v>
      </c>
      <c r="M336" s="12">
        <f t="shared" si="10"/>
        <v>230</v>
      </c>
      <c r="N336" s="11"/>
      <c r="O336" s="7" t="str">
        <f t="shared" ca="1" si="11"/>
        <v>Sin fecha</v>
      </c>
      <c r="P336" s="8"/>
      <c r="Q336" s="8"/>
      <c r="R336" s="8" t="s">
        <v>1612</v>
      </c>
      <c r="S336" s="8" t="s">
        <v>69</v>
      </c>
      <c r="T336" s="8"/>
      <c r="U336" s="8"/>
      <c r="V336" s="8"/>
      <c r="W336" s="8" t="s">
        <v>43</v>
      </c>
      <c r="X336" s="9" t="s">
        <v>108</v>
      </c>
      <c r="Y336" s="13"/>
      <c r="Z336" s="9" t="s">
        <v>1613</v>
      </c>
    </row>
    <row r="337" spans="1:26" x14ac:dyDescent="0.3">
      <c r="A337" s="7" t="s">
        <v>1614</v>
      </c>
      <c r="B337" s="8" t="s">
        <v>47</v>
      </c>
      <c r="C337" s="9"/>
      <c r="D337" s="8" t="s">
        <v>1615</v>
      </c>
      <c r="E337" s="8" t="s">
        <v>1616</v>
      </c>
      <c r="F337" s="8"/>
      <c r="G337" s="8" t="s">
        <v>42</v>
      </c>
      <c r="H337" s="8" t="s">
        <v>41</v>
      </c>
      <c r="I337" s="10">
        <v>120</v>
      </c>
      <c r="J337" s="10">
        <v>120</v>
      </c>
      <c r="K337" s="11"/>
      <c r="L337" s="12">
        <f>IF(D337="","",SUMIFS(Movimientos!$D$2:$D$2000,Movimientos!$B$2:$B$2000,A337))</f>
        <v>0</v>
      </c>
      <c r="M337" s="12">
        <f t="shared" si="10"/>
        <v>120</v>
      </c>
      <c r="N337" s="11"/>
      <c r="O337" s="7" t="str">
        <f t="shared" ca="1" si="11"/>
        <v>Sin fecha</v>
      </c>
      <c r="P337" s="8"/>
      <c r="Q337" s="8"/>
      <c r="R337" s="8"/>
      <c r="S337" s="8" t="s">
        <v>69</v>
      </c>
      <c r="T337" s="8"/>
      <c r="U337" s="8"/>
      <c r="V337" s="8"/>
      <c r="W337" s="8" t="s">
        <v>43</v>
      </c>
      <c r="X337" s="9" t="s">
        <v>108</v>
      </c>
      <c r="Y337" s="13"/>
      <c r="Z337" s="9" t="s">
        <v>1617</v>
      </c>
    </row>
    <row r="338" spans="1:26" x14ac:dyDescent="0.3">
      <c r="A338" s="7" t="s">
        <v>1618</v>
      </c>
      <c r="B338" s="8" t="s">
        <v>47</v>
      </c>
      <c r="C338" s="9"/>
      <c r="D338" s="8" t="s">
        <v>158</v>
      </c>
      <c r="E338" s="8"/>
      <c r="F338" s="8"/>
      <c r="G338" s="8" t="s">
        <v>31</v>
      </c>
      <c r="H338" s="8" t="s">
        <v>30</v>
      </c>
      <c r="I338" s="10">
        <v>10</v>
      </c>
      <c r="J338" s="10">
        <v>10</v>
      </c>
      <c r="K338" s="11"/>
      <c r="L338" s="12">
        <f>IF(D338="","",SUMIFS(Movimientos!$D$2:$D$2000,Movimientos!$B$2:$B$2000,A338))</f>
        <v>0</v>
      </c>
      <c r="M338" s="12">
        <f t="shared" si="10"/>
        <v>10</v>
      </c>
      <c r="N338" s="11"/>
      <c r="O338" s="7" t="str">
        <f t="shared" ca="1" si="11"/>
        <v>Sin fecha</v>
      </c>
      <c r="P338" s="8"/>
      <c r="Q338" s="8"/>
      <c r="R338" s="8"/>
      <c r="S338" s="8" t="s">
        <v>72</v>
      </c>
      <c r="T338" s="8"/>
      <c r="U338" s="8"/>
      <c r="V338" s="8"/>
      <c r="W338" s="8" t="s">
        <v>43</v>
      </c>
      <c r="X338" s="9" t="s">
        <v>108</v>
      </c>
      <c r="Y338" s="13"/>
      <c r="Z338" s="9" t="s">
        <v>1619</v>
      </c>
    </row>
    <row r="339" spans="1:26" x14ac:dyDescent="0.3">
      <c r="A339" s="7" t="s">
        <v>1620</v>
      </c>
      <c r="B339" s="8" t="s">
        <v>47</v>
      </c>
      <c r="C339" s="9"/>
      <c r="D339" s="8" t="s">
        <v>1621</v>
      </c>
      <c r="E339" s="8"/>
      <c r="F339" s="8"/>
      <c r="G339" s="8" t="s">
        <v>42</v>
      </c>
      <c r="H339" s="8" t="s">
        <v>41</v>
      </c>
      <c r="I339" s="10">
        <v>430</v>
      </c>
      <c r="J339" s="10">
        <v>430</v>
      </c>
      <c r="K339" s="11"/>
      <c r="L339" s="12">
        <f>IF(D339="","",SUMIFS(Movimientos!$D$2:$D$2000,Movimientos!$B$2:$B$2000,A339))</f>
        <v>0</v>
      </c>
      <c r="M339" s="12">
        <f t="shared" si="10"/>
        <v>430</v>
      </c>
      <c r="N339" s="11"/>
      <c r="O339" s="7" t="str">
        <f t="shared" ca="1" si="11"/>
        <v>Sin fecha</v>
      </c>
      <c r="P339" s="8"/>
      <c r="Q339" s="8"/>
      <c r="R339" s="8" t="s">
        <v>1622</v>
      </c>
      <c r="S339" s="8" t="s">
        <v>69</v>
      </c>
      <c r="T339" s="8"/>
      <c r="U339" s="8"/>
      <c r="V339" s="8"/>
      <c r="W339" s="8" t="s">
        <v>43</v>
      </c>
      <c r="X339" s="9" t="s">
        <v>108</v>
      </c>
      <c r="Y339" s="13"/>
      <c r="Z339" s="9" t="s">
        <v>1623</v>
      </c>
    </row>
    <row r="340" spans="1:26" x14ac:dyDescent="0.3">
      <c r="A340" s="7" t="s">
        <v>1624</v>
      </c>
      <c r="B340" s="8" t="s">
        <v>47</v>
      </c>
      <c r="C340" s="9"/>
      <c r="D340" s="8" t="s">
        <v>1625</v>
      </c>
      <c r="E340" s="8"/>
      <c r="F340" s="8"/>
      <c r="G340" s="8" t="s">
        <v>42</v>
      </c>
      <c r="H340" s="8" t="s">
        <v>41</v>
      </c>
      <c r="I340" s="10">
        <v>700</v>
      </c>
      <c r="J340" s="10">
        <v>700</v>
      </c>
      <c r="K340" s="11"/>
      <c r="L340" s="12">
        <f>IF(D340="","",SUMIFS(Movimientos!$D$2:$D$2000,Movimientos!$B$2:$B$2000,A340))</f>
        <v>0</v>
      </c>
      <c r="M340" s="12">
        <f t="shared" si="10"/>
        <v>700</v>
      </c>
      <c r="N340" s="11"/>
      <c r="O340" s="7" t="str">
        <f t="shared" ca="1" si="11"/>
        <v>Sin fecha</v>
      </c>
      <c r="P340" s="8"/>
      <c r="Q340" s="8"/>
      <c r="R340" s="8" t="s">
        <v>1626</v>
      </c>
      <c r="S340" s="8" t="s">
        <v>69</v>
      </c>
      <c r="T340" s="8"/>
      <c r="U340" s="8"/>
      <c r="V340" s="8"/>
      <c r="W340" s="8" t="s">
        <v>43</v>
      </c>
      <c r="X340" s="9" t="s">
        <v>108</v>
      </c>
      <c r="Y340" s="13"/>
      <c r="Z340" s="9" t="s">
        <v>1627</v>
      </c>
    </row>
    <row r="341" spans="1:26" x14ac:dyDescent="0.3">
      <c r="A341" s="7" t="s">
        <v>1628</v>
      </c>
      <c r="B341" s="8" t="s">
        <v>47</v>
      </c>
      <c r="C341" s="9"/>
      <c r="D341" s="8" t="s">
        <v>1629</v>
      </c>
      <c r="E341" s="8"/>
      <c r="F341" s="8"/>
      <c r="G341" s="8" t="s">
        <v>42</v>
      </c>
      <c r="H341" s="8" t="s">
        <v>41</v>
      </c>
      <c r="I341" s="10">
        <v>700</v>
      </c>
      <c r="J341" s="10">
        <v>700</v>
      </c>
      <c r="K341" s="11"/>
      <c r="L341" s="12">
        <f>IF(D341="","",SUMIFS(Movimientos!$D$2:$D$2000,Movimientos!$B$2:$B$2000,A341))</f>
        <v>0</v>
      </c>
      <c r="M341" s="12">
        <f t="shared" si="10"/>
        <v>700</v>
      </c>
      <c r="N341" s="11"/>
      <c r="O341" s="7" t="str">
        <f t="shared" ca="1" si="11"/>
        <v>Sin fecha</v>
      </c>
      <c r="P341" s="8"/>
      <c r="Q341" s="8"/>
      <c r="R341" s="8" t="s">
        <v>1630</v>
      </c>
      <c r="S341" s="8" t="s">
        <v>69</v>
      </c>
      <c r="T341" s="8"/>
      <c r="U341" s="8"/>
      <c r="V341" s="8"/>
      <c r="W341" s="8" t="s">
        <v>43</v>
      </c>
      <c r="X341" s="9" t="s">
        <v>108</v>
      </c>
      <c r="Y341" s="13"/>
      <c r="Z341" s="9" t="s">
        <v>1631</v>
      </c>
    </row>
    <row r="342" spans="1:26" x14ac:dyDescent="0.3">
      <c r="A342" s="7" t="s">
        <v>1632</v>
      </c>
      <c r="B342" s="8" t="s">
        <v>47</v>
      </c>
      <c r="C342" s="9"/>
      <c r="D342" s="8" t="s">
        <v>508</v>
      </c>
      <c r="E342" s="8" t="s">
        <v>509</v>
      </c>
      <c r="F342" s="8"/>
      <c r="G342" s="8" t="s">
        <v>42</v>
      </c>
      <c r="H342" s="8" t="s">
        <v>41</v>
      </c>
      <c r="I342" s="10">
        <v>230</v>
      </c>
      <c r="J342" s="10">
        <v>230</v>
      </c>
      <c r="K342" s="11"/>
      <c r="L342" s="12">
        <f>IF(D342="","",SUMIFS(Movimientos!$D$2:$D$2000,Movimientos!$B$2:$B$2000,A342))</f>
        <v>0</v>
      </c>
      <c r="M342" s="12">
        <f t="shared" si="10"/>
        <v>230</v>
      </c>
      <c r="N342" s="11"/>
      <c r="O342" s="7" t="str">
        <f t="shared" ca="1" si="11"/>
        <v>Sin fecha</v>
      </c>
      <c r="P342" s="8"/>
      <c r="Q342" s="8"/>
      <c r="R342" s="8"/>
      <c r="S342" s="8" t="s">
        <v>69</v>
      </c>
      <c r="T342" s="8"/>
      <c r="U342" s="8"/>
      <c r="V342" s="8"/>
      <c r="W342" s="8" t="s">
        <v>43</v>
      </c>
      <c r="X342" s="9" t="s">
        <v>108</v>
      </c>
      <c r="Y342" s="13"/>
      <c r="Z342" s="9" t="s">
        <v>1633</v>
      </c>
    </row>
    <row r="343" spans="1:26" x14ac:dyDescent="0.3">
      <c r="A343" s="7" t="s">
        <v>1634</v>
      </c>
      <c r="B343" s="8" t="s">
        <v>47</v>
      </c>
      <c r="C343" s="9"/>
      <c r="D343" s="8" t="s">
        <v>497</v>
      </c>
      <c r="E343" s="8" t="s">
        <v>498</v>
      </c>
      <c r="F343" s="8"/>
      <c r="G343" s="8" t="s">
        <v>42</v>
      </c>
      <c r="H343" s="8" t="s">
        <v>41</v>
      </c>
      <c r="I343" s="10">
        <v>320</v>
      </c>
      <c r="J343" s="10">
        <v>320</v>
      </c>
      <c r="K343" s="11"/>
      <c r="L343" s="12">
        <f>IF(D343="","",SUMIFS(Movimientos!$D$2:$D$2000,Movimientos!$B$2:$B$2000,A343))</f>
        <v>0</v>
      </c>
      <c r="M343" s="12">
        <f t="shared" si="10"/>
        <v>320</v>
      </c>
      <c r="N343" s="11"/>
      <c r="O343" s="7" t="str">
        <f t="shared" ca="1" si="11"/>
        <v>Sin fecha</v>
      </c>
      <c r="P343" s="8"/>
      <c r="Q343" s="8"/>
      <c r="R343" s="8" t="s">
        <v>712</v>
      </c>
      <c r="S343" s="8" t="s">
        <v>69</v>
      </c>
      <c r="T343" s="8"/>
      <c r="U343" s="8"/>
      <c r="V343" s="8"/>
      <c r="W343" s="8" t="s">
        <v>43</v>
      </c>
      <c r="X343" s="9" t="s">
        <v>108</v>
      </c>
      <c r="Y343" s="13"/>
      <c r="Z343" s="9" t="s">
        <v>1635</v>
      </c>
    </row>
    <row r="344" spans="1:26" x14ac:dyDescent="0.3">
      <c r="A344" s="7" t="s">
        <v>1636</v>
      </c>
      <c r="B344" s="8" t="s">
        <v>47</v>
      </c>
      <c r="C344" s="9"/>
      <c r="D344" s="8" t="s">
        <v>1637</v>
      </c>
      <c r="E344" s="8"/>
      <c r="F344" s="8"/>
      <c r="G344" s="8" t="s">
        <v>42</v>
      </c>
      <c r="H344" s="8" t="s">
        <v>41</v>
      </c>
      <c r="I344" s="10">
        <v>30</v>
      </c>
      <c r="J344" s="10">
        <v>30</v>
      </c>
      <c r="K344" s="11"/>
      <c r="L344" s="12">
        <f>IF(D344="","",SUMIFS(Movimientos!$D$2:$D$2000,Movimientos!$B$2:$B$2000,A344))</f>
        <v>0</v>
      </c>
      <c r="M344" s="12">
        <f t="shared" si="10"/>
        <v>30</v>
      </c>
      <c r="N344" s="11"/>
      <c r="O344" s="7" t="str">
        <f t="shared" ca="1" si="11"/>
        <v>Sin fecha</v>
      </c>
      <c r="P344" s="8"/>
      <c r="Q344" s="8"/>
      <c r="R344" s="8" t="s">
        <v>203</v>
      </c>
      <c r="S344" s="8" t="s">
        <v>69</v>
      </c>
      <c r="T344" s="8"/>
      <c r="U344" s="8"/>
      <c r="V344" s="8"/>
      <c r="W344" s="8" t="s">
        <v>43</v>
      </c>
      <c r="X344" s="9" t="s">
        <v>108</v>
      </c>
      <c r="Y344" s="13"/>
      <c r="Z344" s="9" t="s">
        <v>1638</v>
      </c>
    </row>
    <row r="345" spans="1:26" x14ac:dyDescent="0.3">
      <c r="A345" s="7" t="s">
        <v>1639</v>
      </c>
      <c r="B345" s="8" t="s">
        <v>47</v>
      </c>
      <c r="C345" s="9"/>
      <c r="D345" s="8" t="s">
        <v>1640</v>
      </c>
      <c r="E345" s="8" t="s">
        <v>1641</v>
      </c>
      <c r="F345" s="8"/>
      <c r="G345" s="8" t="s">
        <v>42</v>
      </c>
      <c r="H345" s="8" t="s">
        <v>41</v>
      </c>
      <c r="I345" s="10">
        <v>230</v>
      </c>
      <c r="J345" s="10">
        <v>230</v>
      </c>
      <c r="K345" s="11"/>
      <c r="L345" s="12">
        <f>IF(D345="","",SUMIFS(Movimientos!$D$2:$D$2000,Movimientos!$B$2:$B$2000,A345))</f>
        <v>0</v>
      </c>
      <c r="M345" s="12">
        <f t="shared" si="10"/>
        <v>230</v>
      </c>
      <c r="N345" s="11"/>
      <c r="O345" s="7" t="str">
        <f t="shared" ca="1" si="11"/>
        <v>Sin fecha</v>
      </c>
      <c r="P345" s="8"/>
      <c r="Q345" s="8"/>
      <c r="R345" s="8"/>
      <c r="S345" s="8" t="s">
        <v>69</v>
      </c>
      <c r="T345" s="8"/>
      <c r="U345" s="8"/>
      <c r="V345" s="8"/>
      <c r="W345" s="8" t="s">
        <v>43</v>
      </c>
      <c r="X345" s="9" t="s">
        <v>108</v>
      </c>
      <c r="Y345" s="13"/>
      <c r="Z345" s="9" t="s">
        <v>1642</v>
      </c>
    </row>
    <row r="346" spans="1:26" x14ac:dyDescent="0.3">
      <c r="A346" s="7" t="s">
        <v>1643</v>
      </c>
      <c r="B346" s="8" t="s">
        <v>47</v>
      </c>
      <c r="C346" s="9"/>
      <c r="D346" s="8" t="s">
        <v>1644</v>
      </c>
      <c r="E346" s="8"/>
      <c r="F346" s="8"/>
      <c r="G346" s="8" t="s">
        <v>31</v>
      </c>
      <c r="H346" s="8" t="s">
        <v>30</v>
      </c>
      <c r="I346" s="10">
        <v>250</v>
      </c>
      <c r="J346" s="10">
        <v>250</v>
      </c>
      <c r="K346" s="11"/>
      <c r="L346" s="12">
        <f>IF(D346="","",SUMIFS(Movimientos!$D$2:$D$2000,Movimientos!$B$2:$B$2000,A346))</f>
        <v>0</v>
      </c>
      <c r="M346" s="12">
        <f t="shared" si="10"/>
        <v>250</v>
      </c>
      <c r="N346" s="11"/>
      <c r="O346" s="7" t="str">
        <f t="shared" ca="1" si="11"/>
        <v>Sin fecha</v>
      </c>
      <c r="P346" s="8"/>
      <c r="Q346" s="8"/>
      <c r="R346" s="8"/>
      <c r="S346" s="8" t="s">
        <v>72</v>
      </c>
      <c r="T346" s="8"/>
      <c r="U346" s="8"/>
      <c r="V346" s="8"/>
      <c r="W346" s="8" t="s">
        <v>43</v>
      </c>
      <c r="X346" s="9" t="s">
        <v>108</v>
      </c>
      <c r="Y346" s="13"/>
      <c r="Z346" s="9" t="s">
        <v>1645</v>
      </c>
    </row>
    <row r="347" spans="1:26" x14ac:dyDescent="0.3">
      <c r="A347" s="7" t="s">
        <v>1646</v>
      </c>
      <c r="B347" s="8" t="s">
        <v>47</v>
      </c>
      <c r="C347" s="9"/>
      <c r="D347" s="8" t="s">
        <v>1647</v>
      </c>
      <c r="E347" s="8"/>
      <c r="F347" s="8"/>
      <c r="G347" s="8" t="s">
        <v>31</v>
      </c>
      <c r="H347" s="8" t="s">
        <v>30</v>
      </c>
      <c r="I347" s="10">
        <v>30</v>
      </c>
      <c r="J347" s="10">
        <v>30</v>
      </c>
      <c r="K347" s="11"/>
      <c r="L347" s="12">
        <f>IF(D347="","",SUMIFS(Movimientos!$D$2:$D$2000,Movimientos!$B$2:$B$2000,A347))</f>
        <v>0</v>
      </c>
      <c r="M347" s="12">
        <f t="shared" si="10"/>
        <v>30</v>
      </c>
      <c r="N347" s="11"/>
      <c r="O347" s="7" t="str">
        <f t="shared" ca="1" si="11"/>
        <v>Sin fecha</v>
      </c>
      <c r="P347" s="8"/>
      <c r="Q347" s="8"/>
      <c r="R347" s="8"/>
      <c r="S347" s="8" t="s">
        <v>72</v>
      </c>
      <c r="T347" s="8"/>
      <c r="U347" s="8"/>
      <c r="V347" s="8"/>
      <c r="W347" s="8" t="s">
        <v>43</v>
      </c>
      <c r="X347" s="9" t="s">
        <v>108</v>
      </c>
      <c r="Y347" s="13"/>
      <c r="Z347" s="9" t="s">
        <v>1648</v>
      </c>
    </row>
    <row r="348" spans="1:26" x14ac:dyDescent="0.3">
      <c r="A348" s="7" t="s">
        <v>1649</v>
      </c>
      <c r="B348" s="8" t="s">
        <v>47</v>
      </c>
      <c r="C348" s="9"/>
      <c r="D348" s="8" t="s">
        <v>1650</v>
      </c>
      <c r="E348" s="8"/>
      <c r="F348" s="8"/>
      <c r="G348" s="8" t="s">
        <v>31</v>
      </c>
      <c r="H348" s="8" t="s">
        <v>30</v>
      </c>
      <c r="I348" s="10">
        <v>30</v>
      </c>
      <c r="J348" s="10">
        <v>30</v>
      </c>
      <c r="K348" s="11"/>
      <c r="L348" s="12">
        <f>IF(D348="","",SUMIFS(Movimientos!$D$2:$D$2000,Movimientos!$B$2:$B$2000,A348))</f>
        <v>0</v>
      </c>
      <c r="M348" s="12">
        <f t="shared" si="10"/>
        <v>30</v>
      </c>
      <c r="N348" s="11"/>
      <c r="O348" s="7" t="str">
        <f t="shared" ca="1" si="11"/>
        <v>Sin fecha</v>
      </c>
      <c r="P348" s="8"/>
      <c r="Q348" s="8"/>
      <c r="R348" s="8"/>
      <c r="S348" s="8" t="s">
        <v>72</v>
      </c>
      <c r="T348" s="8"/>
      <c r="U348" s="8"/>
      <c r="V348" s="8"/>
      <c r="W348" s="8" t="s">
        <v>43</v>
      </c>
      <c r="X348" s="9" t="s">
        <v>108</v>
      </c>
      <c r="Y348" s="13"/>
      <c r="Z348" s="9" t="s">
        <v>1651</v>
      </c>
    </row>
    <row r="349" spans="1:26" x14ac:dyDescent="0.3">
      <c r="A349" s="7" t="s">
        <v>1652</v>
      </c>
      <c r="B349" s="8" t="s">
        <v>47</v>
      </c>
      <c r="C349" s="9"/>
      <c r="D349" s="8" t="s">
        <v>1653</v>
      </c>
      <c r="E349" s="8"/>
      <c r="F349" s="8"/>
      <c r="G349" s="8" t="s">
        <v>42</v>
      </c>
      <c r="H349" s="8" t="s">
        <v>41</v>
      </c>
      <c r="I349" s="10">
        <v>600</v>
      </c>
      <c r="J349" s="10">
        <v>600</v>
      </c>
      <c r="K349" s="11"/>
      <c r="L349" s="12">
        <f>IF(D349="","",SUMIFS(Movimientos!$D$2:$D$2000,Movimientos!$B$2:$B$2000,A349))</f>
        <v>0</v>
      </c>
      <c r="M349" s="12">
        <f t="shared" si="10"/>
        <v>600</v>
      </c>
      <c r="N349" s="11"/>
      <c r="O349" s="7" t="str">
        <f t="shared" ca="1" si="11"/>
        <v>Sin fecha</v>
      </c>
      <c r="P349" s="8"/>
      <c r="Q349" s="8"/>
      <c r="R349" s="8" t="s">
        <v>1654</v>
      </c>
      <c r="S349" s="8" t="s">
        <v>60</v>
      </c>
      <c r="T349" s="8"/>
      <c r="U349" s="8"/>
      <c r="V349" s="8"/>
      <c r="W349" s="8" t="s">
        <v>43</v>
      </c>
      <c r="X349" s="9" t="s">
        <v>108</v>
      </c>
      <c r="Y349" s="13"/>
      <c r="Z349" s="9" t="s">
        <v>1655</v>
      </c>
    </row>
    <row r="350" spans="1:26" x14ac:dyDescent="0.3">
      <c r="A350" s="7" t="s">
        <v>1656</v>
      </c>
      <c r="B350" s="8" t="s">
        <v>47</v>
      </c>
      <c r="C350" s="9"/>
      <c r="D350" s="8" t="s">
        <v>1657</v>
      </c>
      <c r="E350" s="8" t="s">
        <v>448</v>
      </c>
      <c r="F350" s="8"/>
      <c r="G350" s="8" t="s">
        <v>42</v>
      </c>
      <c r="H350" s="8" t="s">
        <v>41</v>
      </c>
      <c r="I350" s="10">
        <v>95</v>
      </c>
      <c r="J350" s="10">
        <v>95</v>
      </c>
      <c r="K350" s="11"/>
      <c r="L350" s="12">
        <f>IF(D350="","",SUMIFS(Movimientos!$D$2:$D$2000,Movimientos!$B$2:$B$2000,A350))</f>
        <v>0</v>
      </c>
      <c r="M350" s="12">
        <f t="shared" si="10"/>
        <v>95</v>
      </c>
      <c r="N350" s="11"/>
      <c r="O350" s="7" t="str">
        <f t="shared" ca="1" si="11"/>
        <v>Sin fecha</v>
      </c>
      <c r="P350" s="8"/>
      <c r="Q350" s="8"/>
      <c r="R350" s="8" t="s">
        <v>1530</v>
      </c>
      <c r="S350" s="8" t="s">
        <v>60</v>
      </c>
      <c r="T350" s="8"/>
      <c r="U350" s="8"/>
      <c r="V350" s="8"/>
      <c r="W350" s="8" t="s">
        <v>43</v>
      </c>
      <c r="X350" s="9" t="s">
        <v>108</v>
      </c>
      <c r="Y350" s="13"/>
      <c r="Z350" s="9" t="s">
        <v>1658</v>
      </c>
    </row>
    <row r="351" spans="1:26" x14ac:dyDescent="0.3">
      <c r="A351" s="7" t="s">
        <v>1659</v>
      </c>
      <c r="B351" s="8" t="s">
        <v>47</v>
      </c>
      <c r="C351" s="9"/>
      <c r="D351" s="8" t="s">
        <v>526</v>
      </c>
      <c r="E351" s="8" t="s">
        <v>1660</v>
      </c>
      <c r="F351" s="8"/>
      <c r="G351" s="8" t="s">
        <v>42</v>
      </c>
      <c r="H351" s="8" t="s">
        <v>41</v>
      </c>
      <c r="I351" s="10">
        <v>500</v>
      </c>
      <c r="J351" s="10">
        <v>500</v>
      </c>
      <c r="K351" s="11"/>
      <c r="L351" s="12">
        <f>IF(D351="","",SUMIFS(Movimientos!$D$2:$D$2000,Movimientos!$B$2:$B$2000,A351))</f>
        <v>0</v>
      </c>
      <c r="M351" s="12">
        <f t="shared" si="10"/>
        <v>500</v>
      </c>
      <c r="N351" s="11"/>
      <c r="O351" s="7" t="str">
        <f t="shared" ca="1" si="11"/>
        <v>Sin fecha</v>
      </c>
      <c r="P351" s="8"/>
      <c r="Q351" s="8"/>
      <c r="R351" s="8" t="s">
        <v>690</v>
      </c>
      <c r="S351" s="8" t="s">
        <v>72</v>
      </c>
      <c r="T351" s="8"/>
      <c r="U351" s="8"/>
      <c r="V351" s="8"/>
      <c r="W351" s="8" t="s">
        <v>43</v>
      </c>
      <c r="X351" s="9" t="s">
        <v>108</v>
      </c>
      <c r="Y351" s="13"/>
      <c r="Z351" s="9" t="s">
        <v>1661</v>
      </c>
    </row>
    <row r="352" spans="1:26" x14ac:dyDescent="0.3">
      <c r="A352" s="7" t="s">
        <v>1662</v>
      </c>
      <c r="B352" s="8" t="s">
        <v>47</v>
      </c>
      <c r="C352" s="9"/>
      <c r="D352" s="8" t="s">
        <v>1663</v>
      </c>
      <c r="E352" s="8"/>
      <c r="F352" s="8"/>
      <c r="G352" s="8" t="s">
        <v>42</v>
      </c>
      <c r="H352" s="8" t="s">
        <v>41</v>
      </c>
      <c r="I352" s="10">
        <v>70</v>
      </c>
      <c r="J352" s="10">
        <v>70</v>
      </c>
      <c r="K352" s="11"/>
      <c r="L352" s="12">
        <f>IF(D352="","",SUMIFS(Movimientos!$D$2:$D$2000,Movimientos!$B$2:$B$2000,A352))</f>
        <v>0</v>
      </c>
      <c r="M352" s="12">
        <f t="shared" si="10"/>
        <v>70</v>
      </c>
      <c r="N352" s="11"/>
      <c r="O352" s="7" t="str">
        <f t="shared" ca="1" si="11"/>
        <v>Sin fecha</v>
      </c>
      <c r="P352" s="8"/>
      <c r="Q352" s="8"/>
      <c r="R352" s="8"/>
      <c r="S352" s="8" t="s">
        <v>72</v>
      </c>
      <c r="T352" s="8"/>
      <c r="U352" s="8"/>
      <c r="V352" s="8"/>
      <c r="W352" s="8" t="s">
        <v>43</v>
      </c>
      <c r="X352" s="9" t="s">
        <v>108</v>
      </c>
      <c r="Y352" s="13"/>
      <c r="Z352" s="9" t="s">
        <v>1664</v>
      </c>
    </row>
    <row r="353" spans="1:26" x14ac:dyDescent="0.3">
      <c r="A353" s="7" t="s">
        <v>1665</v>
      </c>
      <c r="B353" s="8" t="s">
        <v>47</v>
      </c>
      <c r="C353" s="9"/>
      <c r="D353" s="8" t="s">
        <v>1666</v>
      </c>
      <c r="E353" s="8"/>
      <c r="F353" s="8"/>
      <c r="G353" s="8" t="s">
        <v>42</v>
      </c>
      <c r="H353" s="8" t="s">
        <v>41</v>
      </c>
      <c r="I353" s="10">
        <v>40</v>
      </c>
      <c r="J353" s="10">
        <v>40</v>
      </c>
      <c r="K353" s="11"/>
      <c r="L353" s="12">
        <f>IF(D353="","",SUMIFS(Movimientos!$D$2:$D$2000,Movimientos!$B$2:$B$2000,A353))</f>
        <v>0</v>
      </c>
      <c r="M353" s="12">
        <f t="shared" si="10"/>
        <v>40</v>
      </c>
      <c r="N353" s="11"/>
      <c r="O353" s="7" t="str">
        <f t="shared" ca="1" si="11"/>
        <v>Sin fecha</v>
      </c>
      <c r="P353" s="8"/>
      <c r="Q353" s="8"/>
      <c r="R353" s="8"/>
      <c r="S353" s="8" t="s">
        <v>72</v>
      </c>
      <c r="T353" s="8"/>
      <c r="U353" s="8"/>
      <c r="V353" s="8"/>
      <c r="W353" s="8" t="s">
        <v>43</v>
      </c>
      <c r="X353" s="9" t="s">
        <v>108</v>
      </c>
      <c r="Y353" s="13"/>
      <c r="Z353" s="9" t="s">
        <v>1667</v>
      </c>
    </row>
    <row r="354" spans="1:26" x14ac:dyDescent="0.3">
      <c r="A354" s="7" t="s">
        <v>1668</v>
      </c>
      <c r="B354" s="8" t="s">
        <v>47</v>
      </c>
      <c r="C354" s="9"/>
      <c r="D354" s="8" t="s">
        <v>1669</v>
      </c>
      <c r="E354" s="8"/>
      <c r="F354" s="8"/>
      <c r="G354" s="8" t="s">
        <v>42</v>
      </c>
      <c r="H354" s="8" t="s">
        <v>41</v>
      </c>
      <c r="I354" s="10">
        <v>60</v>
      </c>
      <c r="J354" s="10">
        <v>60</v>
      </c>
      <c r="K354" s="11"/>
      <c r="L354" s="12">
        <f>IF(D354="","",SUMIFS(Movimientos!$D$2:$D$2000,Movimientos!$B$2:$B$2000,A354))</f>
        <v>0</v>
      </c>
      <c r="M354" s="12">
        <f t="shared" si="10"/>
        <v>60</v>
      </c>
      <c r="N354" s="11"/>
      <c r="O354" s="7" t="str">
        <f t="shared" ca="1" si="11"/>
        <v>Sin fecha</v>
      </c>
      <c r="P354" s="8"/>
      <c r="Q354" s="8"/>
      <c r="R354" s="8"/>
      <c r="S354" s="8" t="s">
        <v>72</v>
      </c>
      <c r="T354" s="8"/>
      <c r="U354" s="8"/>
      <c r="V354" s="8"/>
      <c r="W354" s="8" t="s">
        <v>43</v>
      </c>
      <c r="X354" s="9" t="s">
        <v>108</v>
      </c>
      <c r="Y354" s="13"/>
      <c r="Z354" s="9" t="s">
        <v>1670</v>
      </c>
    </row>
    <row r="355" spans="1:26" x14ac:dyDescent="0.3">
      <c r="A355" s="7" t="s">
        <v>1671</v>
      </c>
      <c r="B355" s="8" t="s">
        <v>47</v>
      </c>
      <c r="C355" s="9"/>
      <c r="D355" s="8" t="s">
        <v>1672</v>
      </c>
      <c r="E355" s="8" t="s">
        <v>1673</v>
      </c>
      <c r="F355" s="8"/>
      <c r="G355" s="8" t="s">
        <v>31</v>
      </c>
      <c r="H355" s="8" t="s">
        <v>30</v>
      </c>
      <c r="I355" s="10">
        <v>20</v>
      </c>
      <c r="J355" s="10">
        <v>20</v>
      </c>
      <c r="K355" s="11"/>
      <c r="L355" s="12">
        <f>IF(D355="","",SUMIFS(Movimientos!$D$2:$D$2000,Movimientos!$B$2:$B$2000,A355))</f>
        <v>0</v>
      </c>
      <c r="M355" s="12">
        <f t="shared" si="10"/>
        <v>20</v>
      </c>
      <c r="N355" s="11"/>
      <c r="O355" s="7" t="str">
        <f t="shared" ca="1" si="11"/>
        <v>Sin fecha</v>
      </c>
      <c r="P355" s="8"/>
      <c r="Q355" s="8"/>
      <c r="R355" s="8" t="s">
        <v>690</v>
      </c>
      <c r="S355" s="8" t="s">
        <v>60</v>
      </c>
      <c r="T355" s="8"/>
      <c r="U355" s="8"/>
      <c r="V355" s="8"/>
      <c r="W355" s="8" t="s">
        <v>43</v>
      </c>
      <c r="X355" s="9" t="s">
        <v>108</v>
      </c>
      <c r="Y355" s="13"/>
      <c r="Z355" s="9" t="s">
        <v>1674</v>
      </c>
    </row>
    <row r="356" spans="1:26" x14ac:dyDescent="0.3">
      <c r="A356" s="7" t="s">
        <v>1675</v>
      </c>
      <c r="B356" s="8" t="s">
        <v>47</v>
      </c>
      <c r="C356" s="9"/>
      <c r="D356" s="8"/>
      <c r="E356" s="8"/>
      <c r="F356" s="8"/>
      <c r="G356" s="8"/>
      <c r="H356" s="8"/>
      <c r="I356" s="10"/>
      <c r="J356" s="10"/>
      <c r="K356" s="11"/>
      <c r="L356" s="12" t="str">
        <f>IF(D356="","",SUMIFS(Movimientos!$D$2:$D$2000,Movimientos!$B$2:$B$2000,A356))</f>
        <v/>
      </c>
      <c r="M356" s="12" t="str">
        <f t="shared" si="10"/>
        <v/>
      </c>
      <c r="N356" s="11"/>
      <c r="O356" s="7" t="str">
        <f t="shared" ca="1" si="11"/>
        <v/>
      </c>
      <c r="P356" s="8"/>
      <c r="Q356" s="8"/>
      <c r="R356" s="8"/>
      <c r="S356" s="8"/>
      <c r="T356" s="8"/>
      <c r="U356" s="8"/>
      <c r="V356" s="8"/>
      <c r="W356" s="8"/>
      <c r="X356" s="9"/>
      <c r="Y356" s="13"/>
      <c r="Z356" s="9"/>
    </row>
    <row r="357" spans="1:26" x14ac:dyDescent="0.3">
      <c r="A357" s="7" t="s">
        <v>1676</v>
      </c>
      <c r="B357" s="8" t="s">
        <v>47</v>
      </c>
      <c r="C357" s="9"/>
      <c r="D357" s="8"/>
      <c r="E357" s="8"/>
      <c r="F357" s="8"/>
      <c r="G357" s="8"/>
      <c r="H357" s="8"/>
      <c r="I357" s="10"/>
      <c r="J357" s="10"/>
      <c r="K357" s="11"/>
      <c r="L357" s="12" t="str">
        <f>IF(D357="","",SUMIFS(Movimientos!$D$2:$D$2000,Movimientos!$B$2:$B$2000,A357))</f>
        <v/>
      </c>
      <c r="M357" s="12" t="str">
        <f t="shared" si="10"/>
        <v/>
      </c>
      <c r="N357" s="11"/>
      <c r="O357" s="7" t="str">
        <f t="shared" ca="1" si="11"/>
        <v/>
      </c>
      <c r="P357" s="8"/>
      <c r="Q357" s="8"/>
      <c r="R357" s="8"/>
      <c r="S357" s="8"/>
      <c r="T357" s="8"/>
      <c r="U357" s="8"/>
      <c r="V357" s="8"/>
      <c r="W357" s="8"/>
      <c r="X357" s="9"/>
      <c r="Y357" s="13"/>
      <c r="Z357" s="9"/>
    </row>
    <row r="358" spans="1:26" x14ac:dyDescent="0.3">
      <c r="A358" s="7" t="s">
        <v>1677</v>
      </c>
      <c r="B358" s="8" t="s">
        <v>47</v>
      </c>
      <c r="C358" s="9"/>
      <c r="D358" s="8"/>
      <c r="E358" s="8"/>
      <c r="F358" s="8"/>
      <c r="G358" s="8"/>
      <c r="H358" s="8"/>
      <c r="I358" s="10"/>
      <c r="J358" s="10"/>
      <c r="K358" s="11"/>
      <c r="L358" s="12" t="str">
        <f>IF(D358="","",SUMIFS(Movimientos!$D$2:$D$2000,Movimientos!$B$2:$B$2000,A358))</f>
        <v/>
      </c>
      <c r="M358" s="12" t="str">
        <f t="shared" si="10"/>
        <v/>
      </c>
      <c r="N358" s="11"/>
      <c r="O358" s="7" t="str">
        <f t="shared" ca="1" si="11"/>
        <v/>
      </c>
      <c r="P358" s="8"/>
      <c r="Q358" s="8"/>
      <c r="R358" s="8"/>
      <c r="S358" s="8"/>
      <c r="T358" s="8"/>
      <c r="U358" s="8"/>
      <c r="V358" s="8"/>
      <c r="W358" s="8"/>
      <c r="X358" s="9"/>
      <c r="Y358" s="13"/>
      <c r="Z358" s="9"/>
    </row>
    <row r="359" spans="1:26" x14ac:dyDescent="0.3">
      <c r="A359" s="7" t="s">
        <v>1678</v>
      </c>
      <c r="B359" s="8" t="s">
        <v>47</v>
      </c>
      <c r="C359" s="9"/>
      <c r="D359" s="8"/>
      <c r="E359" s="8"/>
      <c r="F359" s="8"/>
      <c r="G359" s="8"/>
      <c r="H359" s="8"/>
      <c r="I359" s="10"/>
      <c r="J359" s="10"/>
      <c r="K359" s="11"/>
      <c r="L359" s="12" t="str">
        <f>IF(D359="","",SUMIFS(Movimientos!$D$2:$D$2000,Movimientos!$B$2:$B$2000,A359))</f>
        <v/>
      </c>
      <c r="M359" s="12" t="str">
        <f t="shared" si="10"/>
        <v/>
      </c>
      <c r="N359" s="11"/>
      <c r="O359" s="7" t="str">
        <f t="shared" ca="1" si="11"/>
        <v/>
      </c>
      <c r="P359" s="8"/>
      <c r="Q359" s="8"/>
      <c r="R359" s="8"/>
      <c r="S359" s="8"/>
      <c r="T359" s="8"/>
      <c r="U359" s="8"/>
      <c r="V359" s="8"/>
      <c r="W359" s="8"/>
      <c r="X359" s="9"/>
      <c r="Y359" s="13"/>
      <c r="Z359" s="9"/>
    </row>
    <row r="360" spans="1:26" x14ac:dyDescent="0.3">
      <c r="A360" s="7" t="s">
        <v>1679</v>
      </c>
      <c r="B360" s="8" t="s">
        <v>47</v>
      </c>
      <c r="C360" s="9"/>
      <c r="D360" s="8"/>
      <c r="E360" s="8"/>
      <c r="F360" s="8"/>
      <c r="G360" s="8"/>
      <c r="H360" s="8"/>
      <c r="I360" s="10"/>
      <c r="J360" s="10"/>
      <c r="K360" s="11"/>
      <c r="L360" s="12" t="str">
        <f>IF(D360="","",SUMIFS(Movimientos!$D$2:$D$2000,Movimientos!$B$2:$B$2000,A360))</f>
        <v/>
      </c>
      <c r="M360" s="12" t="str">
        <f t="shared" si="10"/>
        <v/>
      </c>
      <c r="N360" s="11"/>
      <c r="O360" s="7" t="str">
        <f t="shared" ca="1" si="11"/>
        <v/>
      </c>
      <c r="P360" s="8"/>
      <c r="Q360" s="8"/>
      <c r="R360" s="8"/>
      <c r="S360" s="8"/>
      <c r="T360" s="8"/>
      <c r="U360" s="8"/>
      <c r="V360" s="8"/>
      <c r="W360" s="8"/>
      <c r="X360" s="9"/>
      <c r="Y360" s="13"/>
      <c r="Z360" s="9"/>
    </row>
    <row r="361" spans="1:26" x14ac:dyDescent="0.3">
      <c r="A361" s="7" t="s">
        <v>1680</v>
      </c>
      <c r="B361" s="8" t="s">
        <v>47</v>
      </c>
      <c r="C361" s="9"/>
      <c r="D361" s="8"/>
      <c r="E361" s="8"/>
      <c r="F361" s="8"/>
      <c r="G361" s="8"/>
      <c r="H361" s="8"/>
      <c r="I361" s="10"/>
      <c r="J361" s="10"/>
      <c r="K361" s="11"/>
      <c r="L361" s="12" t="str">
        <f>IF(D361="","",SUMIFS(Movimientos!$D$2:$D$2000,Movimientos!$B$2:$B$2000,A361))</f>
        <v/>
      </c>
      <c r="M361" s="12" t="str">
        <f t="shared" si="10"/>
        <v/>
      </c>
      <c r="N361" s="11"/>
      <c r="O361" s="7" t="str">
        <f t="shared" ca="1" si="11"/>
        <v/>
      </c>
      <c r="P361" s="8"/>
      <c r="Q361" s="8"/>
      <c r="R361" s="8"/>
      <c r="S361" s="8"/>
      <c r="T361" s="8"/>
      <c r="U361" s="8"/>
      <c r="V361" s="8"/>
      <c r="W361" s="8"/>
      <c r="X361" s="9"/>
      <c r="Y361" s="13"/>
      <c r="Z361" s="9"/>
    </row>
    <row r="362" spans="1:26" x14ac:dyDescent="0.3">
      <c r="A362" s="7" t="s">
        <v>1681</v>
      </c>
      <c r="B362" s="8" t="s">
        <v>47</v>
      </c>
      <c r="C362" s="9"/>
      <c r="D362" s="8"/>
      <c r="E362" s="8"/>
      <c r="F362" s="8"/>
      <c r="G362" s="8"/>
      <c r="H362" s="8"/>
      <c r="I362" s="10"/>
      <c r="J362" s="10"/>
      <c r="K362" s="11"/>
      <c r="L362" s="12" t="str">
        <f>IF(D362="","",SUMIFS(Movimientos!$D$2:$D$2000,Movimientos!$B$2:$B$2000,A362))</f>
        <v/>
      </c>
      <c r="M362" s="12" t="str">
        <f t="shared" si="10"/>
        <v/>
      </c>
      <c r="N362" s="11"/>
      <c r="O362" s="7" t="str">
        <f t="shared" ca="1" si="11"/>
        <v/>
      </c>
      <c r="P362" s="8"/>
      <c r="Q362" s="8"/>
      <c r="R362" s="8"/>
      <c r="S362" s="8"/>
      <c r="T362" s="8"/>
      <c r="U362" s="8"/>
      <c r="V362" s="8"/>
      <c r="W362" s="8"/>
      <c r="X362" s="9"/>
      <c r="Y362" s="13"/>
      <c r="Z362" s="9"/>
    </row>
    <row r="363" spans="1:26" x14ac:dyDescent="0.3">
      <c r="A363" s="7" t="s">
        <v>1682</v>
      </c>
      <c r="B363" s="8" t="s">
        <v>47</v>
      </c>
      <c r="C363" s="9"/>
      <c r="D363" s="8"/>
      <c r="E363" s="8"/>
      <c r="F363" s="8"/>
      <c r="G363" s="8"/>
      <c r="H363" s="8"/>
      <c r="I363" s="10"/>
      <c r="J363" s="10"/>
      <c r="K363" s="11"/>
      <c r="L363" s="12" t="str">
        <f>IF(D363="","",SUMIFS(Movimientos!$D$2:$D$2000,Movimientos!$B$2:$B$2000,A363))</f>
        <v/>
      </c>
      <c r="M363" s="12" t="str">
        <f t="shared" si="10"/>
        <v/>
      </c>
      <c r="N363" s="11"/>
      <c r="O363" s="7" t="str">
        <f t="shared" ca="1" si="11"/>
        <v/>
      </c>
      <c r="P363" s="8"/>
      <c r="Q363" s="8"/>
      <c r="R363" s="8"/>
      <c r="S363" s="8"/>
      <c r="T363" s="8"/>
      <c r="U363" s="8"/>
      <c r="V363" s="8"/>
      <c r="W363" s="8"/>
      <c r="X363" s="9"/>
      <c r="Y363" s="13"/>
      <c r="Z363" s="9"/>
    </row>
    <row r="364" spans="1:26" x14ac:dyDescent="0.3">
      <c r="A364" s="7" t="s">
        <v>1683</v>
      </c>
      <c r="B364" s="8" t="s">
        <v>47</v>
      </c>
      <c r="C364" s="9"/>
      <c r="D364" s="8"/>
      <c r="E364" s="8"/>
      <c r="F364" s="8"/>
      <c r="G364" s="8"/>
      <c r="H364" s="8"/>
      <c r="I364" s="10"/>
      <c r="J364" s="10"/>
      <c r="K364" s="11"/>
      <c r="L364" s="12" t="str">
        <f>IF(D364="","",SUMIFS(Movimientos!$D$2:$D$2000,Movimientos!$B$2:$B$2000,A364))</f>
        <v/>
      </c>
      <c r="M364" s="12" t="str">
        <f t="shared" si="10"/>
        <v/>
      </c>
      <c r="N364" s="11"/>
      <c r="O364" s="7" t="str">
        <f t="shared" ca="1" si="11"/>
        <v/>
      </c>
      <c r="P364" s="8"/>
      <c r="Q364" s="8"/>
      <c r="R364" s="8"/>
      <c r="S364" s="8"/>
      <c r="T364" s="8"/>
      <c r="U364" s="8"/>
      <c r="V364" s="8"/>
      <c r="W364" s="8"/>
      <c r="X364" s="9"/>
      <c r="Y364" s="13"/>
      <c r="Z364" s="9"/>
    </row>
    <row r="365" spans="1:26" x14ac:dyDescent="0.3">
      <c r="A365" s="7" t="s">
        <v>1684</v>
      </c>
      <c r="B365" s="8" t="s">
        <v>47</v>
      </c>
      <c r="C365" s="9"/>
      <c r="D365" s="8"/>
      <c r="E365" s="8"/>
      <c r="F365" s="8"/>
      <c r="G365" s="8"/>
      <c r="H365" s="8"/>
      <c r="I365" s="10"/>
      <c r="J365" s="10"/>
      <c r="K365" s="11"/>
      <c r="L365" s="12" t="str">
        <f>IF(D365="","",SUMIFS(Movimientos!$D$2:$D$2000,Movimientos!$B$2:$B$2000,A365))</f>
        <v/>
      </c>
      <c r="M365" s="12" t="str">
        <f t="shared" si="10"/>
        <v/>
      </c>
      <c r="N365" s="11"/>
      <c r="O365" s="7" t="str">
        <f t="shared" ca="1" si="11"/>
        <v/>
      </c>
      <c r="P365" s="8"/>
      <c r="Q365" s="8"/>
      <c r="R365" s="8"/>
      <c r="S365" s="8"/>
      <c r="T365" s="8"/>
      <c r="U365" s="8"/>
      <c r="V365" s="8"/>
      <c r="W365" s="8"/>
      <c r="X365" s="9"/>
      <c r="Y365" s="13"/>
      <c r="Z365" s="9"/>
    </row>
    <row r="366" spans="1:26" x14ac:dyDescent="0.3">
      <c r="A366" s="7" t="s">
        <v>1685</v>
      </c>
      <c r="B366" s="8" t="s">
        <v>47</v>
      </c>
      <c r="C366" s="9"/>
      <c r="D366" s="8"/>
      <c r="E366" s="8"/>
      <c r="F366" s="8"/>
      <c r="G366" s="8"/>
      <c r="H366" s="8"/>
      <c r="I366" s="10"/>
      <c r="J366" s="10"/>
      <c r="K366" s="11"/>
      <c r="L366" s="12" t="str">
        <f>IF(D366="","",SUMIFS(Movimientos!$D$2:$D$2000,Movimientos!$B$2:$B$2000,A366))</f>
        <v/>
      </c>
      <c r="M366" s="12" t="str">
        <f t="shared" si="10"/>
        <v/>
      </c>
      <c r="N366" s="11"/>
      <c r="O366" s="7" t="str">
        <f t="shared" ca="1" si="11"/>
        <v/>
      </c>
      <c r="P366" s="8"/>
      <c r="Q366" s="8"/>
      <c r="R366" s="8"/>
      <c r="S366" s="8"/>
      <c r="T366" s="8"/>
      <c r="U366" s="8"/>
      <c r="V366" s="8"/>
      <c r="W366" s="8"/>
      <c r="X366" s="9"/>
      <c r="Y366" s="13"/>
      <c r="Z366" s="9"/>
    </row>
    <row r="367" spans="1:26" x14ac:dyDescent="0.3">
      <c r="A367" s="7" t="s">
        <v>1686</v>
      </c>
      <c r="B367" s="8" t="s">
        <v>47</v>
      </c>
      <c r="C367" s="9"/>
      <c r="D367" s="8"/>
      <c r="E367" s="8"/>
      <c r="F367" s="8"/>
      <c r="G367" s="8"/>
      <c r="H367" s="8"/>
      <c r="I367" s="10"/>
      <c r="J367" s="10"/>
      <c r="K367" s="11"/>
      <c r="L367" s="12" t="str">
        <f>IF(D367="","",SUMIFS(Movimientos!$D$2:$D$2000,Movimientos!$B$2:$B$2000,A367))</f>
        <v/>
      </c>
      <c r="M367" s="12" t="str">
        <f t="shared" si="10"/>
        <v/>
      </c>
      <c r="N367" s="11"/>
      <c r="O367" s="7" t="str">
        <f t="shared" ca="1" si="11"/>
        <v/>
      </c>
      <c r="P367" s="8"/>
      <c r="Q367" s="8"/>
      <c r="R367" s="8"/>
      <c r="S367" s="8"/>
      <c r="T367" s="8"/>
      <c r="U367" s="8"/>
      <c r="V367" s="8"/>
      <c r="W367" s="8"/>
      <c r="X367" s="9"/>
      <c r="Y367" s="13"/>
      <c r="Z367" s="9"/>
    </row>
    <row r="368" spans="1:26" x14ac:dyDescent="0.3">
      <c r="A368" s="7" t="s">
        <v>1687</v>
      </c>
      <c r="B368" s="8" t="s">
        <v>47</v>
      </c>
      <c r="C368" s="9"/>
      <c r="D368" s="8"/>
      <c r="E368" s="8"/>
      <c r="F368" s="8"/>
      <c r="G368" s="8"/>
      <c r="H368" s="8"/>
      <c r="I368" s="10"/>
      <c r="J368" s="10"/>
      <c r="K368" s="11"/>
      <c r="L368" s="12" t="str">
        <f>IF(D368="","",SUMIFS(Movimientos!$D$2:$D$2000,Movimientos!$B$2:$B$2000,A368))</f>
        <v/>
      </c>
      <c r="M368" s="12" t="str">
        <f t="shared" si="10"/>
        <v/>
      </c>
      <c r="N368" s="11"/>
      <c r="O368" s="7" t="str">
        <f t="shared" ca="1" si="11"/>
        <v/>
      </c>
      <c r="P368" s="8"/>
      <c r="Q368" s="8"/>
      <c r="R368" s="8"/>
      <c r="S368" s="8"/>
      <c r="T368" s="8"/>
      <c r="U368" s="8"/>
      <c r="V368" s="8"/>
      <c r="W368" s="8"/>
      <c r="X368" s="9"/>
      <c r="Y368" s="13"/>
      <c r="Z368" s="9"/>
    </row>
    <row r="369" spans="1:26" x14ac:dyDescent="0.3">
      <c r="A369" s="7" t="s">
        <v>1688</v>
      </c>
      <c r="B369" s="8" t="s">
        <v>47</v>
      </c>
      <c r="C369" s="9"/>
      <c r="D369" s="8"/>
      <c r="E369" s="8"/>
      <c r="F369" s="8"/>
      <c r="G369" s="8"/>
      <c r="H369" s="8"/>
      <c r="I369" s="10"/>
      <c r="J369" s="10"/>
      <c r="K369" s="11"/>
      <c r="L369" s="12" t="str">
        <f>IF(D369="","",SUMIFS(Movimientos!$D$2:$D$2000,Movimientos!$B$2:$B$2000,A369))</f>
        <v/>
      </c>
      <c r="M369" s="12" t="str">
        <f t="shared" si="10"/>
        <v/>
      </c>
      <c r="N369" s="11"/>
      <c r="O369" s="7" t="str">
        <f t="shared" ca="1" si="11"/>
        <v/>
      </c>
      <c r="P369" s="8"/>
      <c r="Q369" s="8"/>
      <c r="R369" s="8"/>
      <c r="S369" s="8"/>
      <c r="T369" s="8"/>
      <c r="U369" s="8"/>
      <c r="V369" s="8"/>
      <c r="W369" s="8"/>
      <c r="X369" s="9"/>
      <c r="Y369" s="13"/>
      <c r="Z369" s="9"/>
    </row>
    <row r="370" spans="1:26" x14ac:dyDescent="0.3">
      <c r="A370" s="7" t="s">
        <v>1689</v>
      </c>
      <c r="B370" s="8" t="s">
        <v>47</v>
      </c>
      <c r="C370" s="9"/>
      <c r="D370" s="8"/>
      <c r="E370" s="8"/>
      <c r="F370" s="8"/>
      <c r="G370" s="8"/>
      <c r="H370" s="8"/>
      <c r="I370" s="10"/>
      <c r="J370" s="10"/>
      <c r="K370" s="11"/>
      <c r="L370" s="12" t="str">
        <f>IF(D370="","",SUMIFS(Movimientos!$D$2:$D$2000,Movimientos!$B$2:$B$2000,A370))</f>
        <v/>
      </c>
      <c r="M370" s="12" t="str">
        <f t="shared" si="10"/>
        <v/>
      </c>
      <c r="N370" s="11"/>
      <c r="O370" s="7" t="str">
        <f t="shared" ca="1" si="11"/>
        <v/>
      </c>
      <c r="P370" s="8"/>
      <c r="Q370" s="8"/>
      <c r="R370" s="8"/>
      <c r="S370" s="8"/>
      <c r="T370" s="8"/>
      <c r="U370" s="8"/>
      <c r="V370" s="8"/>
      <c r="W370" s="8"/>
      <c r="X370" s="9"/>
      <c r="Y370" s="13"/>
      <c r="Z370" s="9"/>
    </row>
    <row r="371" spans="1:26" x14ac:dyDescent="0.3">
      <c r="A371" s="7" t="s">
        <v>1690</v>
      </c>
      <c r="B371" s="8" t="s">
        <v>47</v>
      </c>
      <c r="C371" s="9"/>
      <c r="D371" s="8"/>
      <c r="E371" s="8"/>
      <c r="F371" s="8"/>
      <c r="G371" s="8"/>
      <c r="H371" s="8"/>
      <c r="I371" s="10"/>
      <c r="J371" s="10"/>
      <c r="K371" s="11"/>
      <c r="L371" s="12" t="str">
        <f>IF(D371="","",SUMIFS(Movimientos!$D$2:$D$2000,Movimientos!$B$2:$B$2000,A371))</f>
        <v/>
      </c>
      <c r="M371" s="12" t="str">
        <f t="shared" si="10"/>
        <v/>
      </c>
      <c r="N371" s="11"/>
      <c r="O371" s="7" t="str">
        <f t="shared" ca="1" si="11"/>
        <v/>
      </c>
      <c r="P371" s="8"/>
      <c r="Q371" s="8"/>
      <c r="R371" s="8"/>
      <c r="S371" s="8"/>
      <c r="T371" s="8"/>
      <c r="U371" s="8"/>
      <c r="V371" s="8"/>
      <c r="W371" s="8"/>
      <c r="X371" s="9"/>
      <c r="Y371" s="13"/>
      <c r="Z371" s="9"/>
    </row>
    <row r="372" spans="1:26" x14ac:dyDescent="0.3">
      <c r="A372" s="7" t="s">
        <v>1691</v>
      </c>
      <c r="B372" s="8" t="s">
        <v>47</v>
      </c>
      <c r="C372" s="9"/>
      <c r="D372" s="8"/>
      <c r="E372" s="8"/>
      <c r="F372" s="8"/>
      <c r="G372" s="8"/>
      <c r="H372" s="8"/>
      <c r="I372" s="10"/>
      <c r="J372" s="10"/>
      <c r="K372" s="11"/>
      <c r="L372" s="12" t="str">
        <f>IF(D372="","",SUMIFS(Movimientos!$D$2:$D$2000,Movimientos!$B$2:$B$2000,A372))</f>
        <v/>
      </c>
      <c r="M372" s="12" t="str">
        <f t="shared" si="10"/>
        <v/>
      </c>
      <c r="N372" s="11"/>
      <c r="O372" s="7" t="str">
        <f t="shared" ca="1" si="11"/>
        <v/>
      </c>
      <c r="P372" s="8"/>
      <c r="Q372" s="8"/>
      <c r="R372" s="8"/>
      <c r="S372" s="8"/>
      <c r="T372" s="8"/>
      <c r="U372" s="8"/>
      <c r="V372" s="8"/>
      <c r="W372" s="8"/>
      <c r="X372" s="9"/>
      <c r="Y372" s="13"/>
      <c r="Z372" s="9"/>
    </row>
    <row r="373" spans="1:26" x14ac:dyDescent="0.3">
      <c r="A373" s="7" t="s">
        <v>1692</v>
      </c>
      <c r="B373" s="8" t="s">
        <v>47</v>
      </c>
      <c r="C373" s="9"/>
      <c r="D373" s="8"/>
      <c r="E373" s="8"/>
      <c r="F373" s="8"/>
      <c r="G373" s="8"/>
      <c r="H373" s="8"/>
      <c r="I373" s="10"/>
      <c r="J373" s="10"/>
      <c r="K373" s="11"/>
      <c r="L373" s="12" t="str">
        <f>IF(D373="","",SUMIFS(Movimientos!$D$2:$D$2000,Movimientos!$B$2:$B$2000,A373))</f>
        <v/>
      </c>
      <c r="M373" s="12" t="str">
        <f t="shared" si="10"/>
        <v/>
      </c>
      <c r="N373" s="11"/>
      <c r="O373" s="7" t="str">
        <f t="shared" ca="1" si="11"/>
        <v/>
      </c>
      <c r="P373" s="8"/>
      <c r="Q373" s="8"/>
      <c r="R373" s="8"/>
      <c r="S373" s="8"/>
      <c r="T373" s="8"/>
      <c r="U373" s="8"/>
      <c r="V373" s="8"/>
      <c r="W373" s="8"/>
      <c r="X373" s="9"/>
      <c r="Y373" s="13"/>
      <c r="Z373" s="9"/>
    </row>
    <row r="374" spans="1:26" x14ac:dyDescent="0.3">
      <c r="A374" s="7" t="s">
        <v>1693</v>
      </c>
      <c r="B374" s="8" t="s">
        <v>47</v>
      </c>
      <c r="C374" s="9"/>
      <c r="D374" s="8"/>
      <c r="E374" s="8"/>
      <c r="F374" s="8"/>
      <c r="G374" s="8"/>
      <c r="H374" s="8"/>
      <c r="I374" s="10"/>
      <c r="J374" s="10"/>
      <c r="K374" s="11"/>
      <c r="L374" s="12" t="str">
        <f>IF(D374="","",SUMIFS(Movimientos!$D$2:$D$2000,Movimientos!$B$2:$B$2000,A374))</f>
        <v/>
      </c>
      <c r="M374" s="12" t="str">
        <f t="shared" si="10"/>
        <v/>
      </c>
      <c r="N374" s="11"/>
      <c r="O374" s="7" t="str">
        <f t="shared" ca="1" si="11"/>
        <v/>
      </c>
      <c r="P374" s="8"/>
      <c r="Q374" s="8"/>
      <c r="R374" s="8"/>
      <c r="S374" s="8"/>
      <c r="T374" s="8"/>
      <c r="U374" s="8"/>
      <c r="V374" s="8"/>
      <c r="W374" s="8"/>
      <c r="X374" s="9"/>
      <c r="Y374" s="13"/>
      <c r="Z374" s="9"/>
    </row>
    <row r="375" spans="1:26" x14ac:dyDescent="0.3">
      <c r="A375" s="7" t="s">
        <v>1694</v>
      </c>
      <c r="B375" s="8" t="s">
        <v>47</v>
      </c>
      <c r="C375" s="9"/>
      <c r="D375" s="8"/>
      <c r="E375" s="8"/>
      <c r="F375" s="8"/>
      <c r="G375" s="8"/>
      <c r="H375" s="8"/>
      <c r="I375" s="10"/>
      <c r="J375" s="10"/>
      <c r="K375" s="11"/>
      <c r="L375" s="12" t="str">
        <f>IF(D375="","",SUMIFS(Movimientos!$D$2:$D$2000,Movimientos!$B$2:$B$2000,A375))</f>
        <v/>
      </c>
      <c r="M375" s="12" t="str">
        <f t="shared" si="10"/>
        <v/>
      </c>
      <c r="N375" s="11"/>
      <c r="O375" s="7" t="str">
        <f t="shared" ca="1" si="11"/>
        <v/>
      </c>
      <c r="P375" s="8"/>
      <c r="Q375" s="8"/>
      <c r="R375" s="8"/>
      <c r="S375" s="8"/>
      <c r="T375" s="8"/>
      <c r="U375" s="8"/>
      <c r="V375" s="8"/>
      <c r="W375" s="8"/>
      <c r="X375" s="9"/>
      <c r="Y375" s="13"/>
      <c r="Z375" s="9"/>
    </row>
    <row r="376" spans="1:26" x14ac:dyDescent="0.3">
      <c r="A376" s="7" t="s">
        <v>1695</v>
      </c>
      <c r="B376" s="8" t="s">
        <v>47</v>
      </c>
      <c r="C376" s="9"/>
      <c r="D376" s="8"/>
      <c r="E376" s="8"/>
      <c r="F376" s="8"/>
      <c r="G376" s="8"/>
      <c r="H376" s="8"/>
      <c r="I376" s="10"/>
      <c r="J376" s="10"/>
      <c r="K376" s="11"/>
      <c r="L376" s="12" t="str">
        <f>IF(D376="","",SUMIFS(Movimientos!$D$2:$D$2000,Movimientos!$B$2:$B$2000,A376))</f>
        <v/>
      </c>
      <c r="M376" s="12" t="str">
        <f t="shared" si="10"/>
        <v/>
      </c>
      <c r="N376" s="11"/>
      <c r="O376" s="7" t="str">
        <f t="shared" ca="1" si="11"/>
        <v/>
      </c>
      <c r="P376" s="8"/>
      <c r="Q376" s="8"/>
      <c r="R376" s="8"/>
      <c r="S376" s="8"/>
      <c r="T376" s="8"/>
      <c r="U376" s="8"/>
      <c r="V376" s="8"/>
      <c r="W376" s="8"/>
      <c r="X376" s="9"/>
      <c r="Y376" s="13"/>
      <c r="Z376" s="9"/>
    </row>
    <row r="377" spans="1:26" x14ac:dyDescent="0.3">
      <c r="A377" s="7" t="s">
        <v>1696</v>
      </c>
      <c r="B377" s="8" t="s">
        <v>47</v>
      </c>
      <c r="C377" s="9"/>
      <c r="D377" s="8"/>
      <c r="E377" s="8"/>
      <c r="F377" s="8"/>
      <c r="G377" s="8"/>
      <c r="H377" s="8"/>
      <c r="I377" s="10"/>
      <c r="J377" s="10"/>
      <c r="K377" s="11"/>
      <c r="L377" s="12" t="str">
        <f>IF(D377="","",SUMIFS(Movimientos!$D$2:$D$2000,Movimientos!$B$2:$B$2000,A377))</f>
        <v/>
      </c>
      <c r="M377" s="12" t="str">
        <f t="shared" si="10"/>
        <v/>
      </c>
      <c r="N377" s="11"/>
      <c r="O377" s="7" t="str">
        <f t="shared" ca="1" si="11"/>
        <v/>
      </c>
      <c r="P377" s="8"/>
      <c r="Q377" s="8"/>
      <c r="R377" s="8"/>
      <c r="S377" s="8"/>
      <c r="T377" s="8"/>
      <c r="U377" s="8"/>
      <c r="V377" s="8"/>
      <c r="W377" s="8"/>
      <c r="X377" s="9"/>
      <c r="Y377" s="13"/>
      <c r="Z377" s="9"/>
    </row>
    <row r="378" spans="1:26" x14ac:dyDescent="0.3">
      <c r="A378" s="7" t="s">
        <v>1697</v>
      </c>
      <c r="B378" s="8" t="s">
        <v>47</v>
      </c>
      <c r="C378" s="9"/>
      <c r="D378" s="8"/>
      <c r="E378" s="8"/>
      <c r="F378" s="8"/>
      <c r="G378" s="8"/>
      <c r="H378" s="8"/>
      <c r="I378" s="10"/>
      <c r="J378" s="10"/>
      <c r="K378" s="11"/>
      <c r="L378" s="12" t="str">
        <f>IF(D378="","",SUMIFS(Movimientos!$D$2:$D$2000,Movimientos!$B$2:$B$2000,A378))</f>
        <v/>
      </c>
      <c r="M378" s="12" t="str">
        <f t="shared" si="10"/>
        <v/>
      </c>
      <c r="N378" s="11"/>
      <c r="O378" s="7" t="str">
        <f t="shared" ca="1" si="11"/>
        <v/>
      </c>
      <c r="P378" s="8"/>
      <c r="Q378" s="8"/>
      <c r="R378" s="8"/>
      <c r="S378" s="8"/>
      <c r="T378" s="8"/>
      <c r="U378" s="8"/>
      <c r="V378" s="8"/>
      <c r="W378" s="8"/>
      <c r="X378" s="9"/>
      <c r="Y378" s="13"/>
      <c r="Z378" s="9"/>
    </row>
    <row r="379" spans="1:26" x14ac:dyDescent="0.3">
      <c r="A379" s="7" t="s">
        <v>1698</v>
      </c>
      <c r="B379" s="8" t="s">
        <v>47</v>
      </c>
      <c r="C379" s="9"/>
      <c r="D379" s="8"/>
      <c r="E379" s="8"/>
      <c r="F379" s="8"/>
      <c r="G379" s="8"/>
      <c r="H379" s="8"/>
      <c r="I379" s="10"/>
      <c r="J379" s="10"/>
      <c r="K379" s="11"/>
      <c r="L379" s="12" t="str">
        <f>IF(D379="","",SUMIFS(Movimientos!$D$2:$D$2000,Movimientos!$B$2:$B$2000,A379))</f>
        <v/>
      </c>
      <c r="M379" s="12" t="str">
        <f t="shared" si="10"/>
        <v/>
      </c>
      <c r="N379" s="11"/>
      <c r="O379" s="7" t="str">
        <f t="shared" ca="1" si="11"/>
        <v/>
      </c>
      <c r="P379" s="8"/>
      <c r="Q379" s="8"/>
      <c r="R379" s="8"/>
      <c r="S379" s="8"/>
      <c r="T379" s="8"/>
      <c r="U379" s="8"/>
      <c r="V379" s="8"/>
      <c r="W379" s="8"/>
      <c r="X379" s="9"/>
      <c r="Y379" s="13"/>
      <c r="Z379" s="9"/>
    </row>
    <row r="380" spans="1:26" x14ac:dyDescent="0.3">
      <c r="A380" s="7" t="s">
        <v>1699</v>
      </c>
      <c r="B380" s="8" t="s">
        <v>47</v>
      </c>
      <c r="C380" s="9"/>
      <c r="D380" s="8"/>
      <c r="E380" s="8"/>
      <c r="F380" s="8"/>
      <c r="G380" s="8"/>
      <c r="H380" s="8"/>
      <c r="I380" s="10"/>
      <c r="J380" s="10"/>
      <c r="K380" s="11"/>
      <c r="L380" s="12" t="str">
        <f>IF(D380="","",SUMIFS(Movimientos!$D$2:$D$2000,Movimientos!$B$2:$B$2000,A380))</f>
        <v/>
      </c>
      <c r="M380" s="12" t="str">
        <f t="shared" si="10"/>
        <v/>
      </c>
      <c r="N380" s="11"/>
      <c r="O380" s="7" t="str">
        <f t="shared" ca="1" si="11"/>
        <v/>
      </c>
      <c r="P380" s="8"/>
      <c r="Q380" s="8"/>
      <c r="R380" s="8"/>
      <c r="S380" s="8"/>
      <c r="T380" s="8"/>
      <c r="U380" s="8"/>
      <c r="V380" s="8"/>
      <c r="W380" s="8"/>
      <c r="X380" s="9"/>
      <c r="Y380" s="13"/>
      <c r="Z380" s="9"/>
    </row>
    <row r="381" spans="1:26" x14ac:dyDescent="0.3">
      <c r="A381" s="7" t="s">
        <v>1700</v>
      </c>
      <c r="B381" s="8" t="s">
        <v>47</v>
      </c>
      <c r="C381" s="9"/>
      <c r="D381" s="8"/>
      <c r="E381" s="8"/>
      <c r="F381" s="8"/>
      <c r="G381" s="8"/>
      <c r="H381" s="8"/>
      <c r="I381" s="10"/>
      <c r="J381" s="10"/>
      <c r="K381" s="11"/>
      <c r="L381" s="12" t="str">
        <f>IF(D381="","",SUMIFS(Movimientos!$D$2:$D$2000,Movimientos!$B$2:$B$2000,A381))</f>
        <v/>
      </c>
      <c r="M381" s="12" t="str">
        <f t="shared" si="10"/>
        <v/>
      </c>
      <c r="N381" s="11"/>
      <c r="O381" s="7" t="str">
        <f t="shared" ca="1" si="11"/>
        <v/>
      </c>
      <c r="P381" s="8"/>
      <c r="Q381" s="8"/>
      <c r="R381" s="8"/>
      <c r="S381" s="8"/>
      <c r="T381" s="8"/>
      <c r="U381" s="8"/>
      <c r="V381" s="8"/>
      <c r="W381" s="8"/>
      <c r="X381" s="9"/>
      <c r="Y381" s="13"/>
      <c r="Z381" s="9"/>
    </row>
    <row r="382" spans="1:26" x14ac:dyDescent="0.3">
      <c r="A382" s="7" t="s">
        <v>1701</v>
      </c>
      <c r="B382" s="8" t="s">
        <v>47</v>
      </c>
      <c r="C382" s="9"/>
      <c r="D382" s="8"/>
      <c r="E382" s="8"/>
      <c r="F382" s="8"/>
      <c r="G382" s="8"/>
      <c r="H382" s="8"/>
      <c r="I382" s="10"/>
      <c r="J382" s="10"/>
      <c r="K382" s="11"/>
      <c r="L382" s="12" t="str">
        <f>IF(D382="","",SUMIFS(Movimientos!$D$2:$D$2000,Movimientos!$B$2:$B$2000,A382))</f>
        <v/>
      </c>
      <c r="M382" s="12" t="str">
        <f t="shared" si="10"/>
        <v/>
      </c>
      <c r="N382" s="11"/>
      <c r="O382" s="7" t="str">
        <f t="shared" ca="1" si="11"/>
        <v/>
      </c>
      <c r="P382" s="8"/>
      <c r="Q382" s="8"/>
      <c r="R382" s="8"/>
      <c r="S382" s="8"/>
      <c r="T382" s="8"/>
      <c r="U382" s="8"/>
      <c r="V382" s="8"/>
      <c r="W382" s="8"/>
      <c r="X382" s="9"/>
      <c r="Y382" s="13"/>
      <c r="Z382" s="9"/>
    </row>
    <row r="383" spans="1:26" x14ac:dyDescent="0.3">
      <c r="A383" s="7" t="s">
        <v>1702</v>
      </c>
      <c r="B383" s="8" t="s">
        <v>47</v>
      </c>
      <c r="C383" s="9"/>
      <c r="D383" s="8"/>
      <c r="E383" s="8"/>
      <c r="F383" s="8"/>
      <c r="G383" s="8"/>
      <c r="H383" s="8"/>
      <c r="I383" s="10"/>
      <c r="J383" s="10"/>
      <c r="K383" s="11"/>
      <c r="L383" s="12" t="str">
        <f>IF(D383="","",SUMIFS(Movimientos!$D$2:$D$2000,Movimientos!$B$2:$B$2000,A383))</f>
        <v/>
      </c>
      <c r="M383" s="12" t="str">
        <f t="shared" si="10"/>
        <v/>
      </c>
      <c r="N383" s="11"/>
      <c r="O383" s="7" t="str">
        <f t="shared" ca="1" si="11"/>
        <v/>
      </c>
      <c r="P383" s="8"/>
      <c r="Q383" s="8"/>
      <c r="R383" s="8"/>
      <c r="S383" s="8"/>
      <c r="T383" s="8"/>
      <c r="U383" s="8"/>
      <c r="V383" s="8"/>
      <c r="W383" s="8"/>
      <c r="X383" s="9"/>
      <c r="Y383" s="13"/>
      <c r="Z383" s="9"/>
    </row>
    <row r="384" spans="1:26" x14ac:dyDescent="0.3">
      <c r="A384" s="7" t="s">
        <v>1703</v>
      </c>
      <c r="B384" s="8" t="s">
        <v>47</v>
      </c>
      <c r="C384" s="9"/>
      <c r="D384" s="8"/>
      <c r="E384" s="8"/>
      <c r="F384" s="8"/>
      <c r="G384" s="8"/>
      <c r="H384" s="8"/>
      <c r="I384" s="10"/>
      <c r="J384" s="10"/>
      <c r="K384" s="11"/>
      <c r="L384" s="12" t="str">
        <f>IF(D384="","",SUMIFS(Movimientos!$D$2:$D$2000,Movimientos!$B$2:$B$2000,A384))</f>
        <v/>
      </c>
      <c r="M384" s="12" t="str">
        <f t="shared" si="10"/>
        <v/>
      </c>
      <c r="N384" s="11"/>
      <c r="O384" s="7" t="str">
        <f t="shared" ca="1" si="11"/>
        <v/>
      </c>
      <c r="P384" s="8"/>
      <c r="Q384" s="8"/>
      <c r="R384" s="8"/>
      <c r="S384" s="8"/>
      <c r="T384" s="8"/>
      <c r="U384" s="8"/>
      <c r="V384" s="8"/>
      <c r="W384" s="8"/>
      <c r="X384" s="9"/>
      <c r="Y384" s="13"/>
      <c r="Z384" s="9"/>
    </row>
    <row r="385" spans="1:26" x14ac:dyDescent="0.3">
      <c r="A385" s="7" t="s">
        <v>1704</v>
      </c>
      <c r="B385" s="8" t="s">
        <v>47</v>
      </c>
      <c r="C385" s="9"/>
      <c r="D385" s="8"/>
      <c r="E385" s="8"/>
      <c r="F385" s="8"/>
      <c r="G385" s="8"/>
      <c r="H385" s="8"/>
      <c r="I385" s="10"/>
      <c r="J385" s="10"/>
      <c r="K385" s="11"/>
      <c r="L385" s="12" t="str">
        <f>IF(D385="","",SUMIFS(Movimientos!$D$2:$D$2000,Movimientos!$B$2:$B$2000,A385))</f>
        <v/>
      </c>
      <c r="M385" s="12" t="str">
        <f t="shared" si="10"/>
        <v/>
      </c>
      <c r="N385" s="11"/>
      <c r="O385" s="7" t="str">
        <f t="shared" ca="1" si="11"/>
        <v/>
      </c>
      <c r="P385" s="8"/>
      <c r="Q385" s="8"/>
      <c r="R385" s="8"/>
      <c r="S385" s="8"/>
      <c r="T385" s="8"/>
      <c r="U385" s="8"/>
      <c r="V385" s="8"/>
      <c r="W385" s="8"/>
      <c r="X385" s="9"/>
      <c r="Y385" s="13"/>
      <c r="Z385" s="9"/>
    </row>
    <row r="386" spans="1:26" x14ac:dyDescent="0.3">
      <c r="A386" s="7" t="s">
        <v>1705</v>
      </c>
      <c r="B386" s="8" t="s">
        <v>47</v>
      </c>
      <c r="C386" s="9"/>
      <c r="D386" s="8"/>
      <c r="E386" s="8"/>
      <c r="F386" s="8"/>
      <c r="G386" s="8"/>
      <c r="H386" s="8"/>
      <c r="I386" s="10"/>
      <c r="J386" s="10"/>
      <c r="K386" s="11"/>
      <c r="L386" s="12" t="str">
        <f>IF(D386="","",SUMIFS(Movimientos!$D$2:$D$2000,Movimientos!$B$2:$B$2000,A386))</f>
        <v/>
      </c>
      <c r="M386" s="12" t="str">
        <f t="shared" ref="M386:M449" si="12">IF(J386="","",J386-L386)</f>
        <v/>
      </c>
      <c r="N386" s="11"/>
      <c r="O386" s="7" t="str">
        <f t="shared" ref="O386:O449" ca="1" si="13">IF(D386="","",IF(N386="","Sin fecha",IF(N386&lt;TODAY(),"VENCIDO",IF(N386&lt;TODAY()+90,"Por vencer","Vigente"))))</f>
        <v/>
      </c>
      <c r="P386" s="8"/>
      <c r="Q386" s="8"/>
      <c r="R386" s="8"/>
      <c r="S386" s="8"/>
      <c r="T386" s="8"/>
      <c r="U386" s="8"/>
      <c r="V386" s="8"/>
      <c r="W386" s="8"/>
      <c r="X386" s="9"/>
      <c r="Y386" s="13"/>
      <c r="Z386" s="9"/>
    </row>
    <row r="387" spans="1:26" x14ac:dyDescent="0.3">
      <c r="A387" s="7" t="s">
        <v>1706</v>
      </c>
      <c r="B387" s="8" t="s">
        <v>47</v>
      </c>
      <c r="C387" s="9"/>
      <c r="D387" s="8"/>
      <c r="E387" s="8"/>
      <c r="F387" s="8"/>
      <c r="G387" s="8"/>
      <c r="H387" s="8"/>
      <c r="I387" s="10"/>
      <c r="J387" s="10"/>
      <c r="K387" s="11"/>
      <c r="L387" s="12" t="str">
        <f>IF(D387="","",SUMIFS(Movimientos!$D$2:$D$2000,Movimientos!$B$2:$B$2000,A387))</f>
        <v/>
      </c>
      <c r="M387" s="12" t="str">
        <f t="shared" si="12"/>
        <v/>
      </c>
      <c r="N387" s="11"/>
      <c r="O387" s="7" t="str">
        <f t="shared" ca="1" si="13"/>
        <v/>
      </c>
      <c r="P387" s="8"/>
      <c r="Q387" s="8"/>
      <c r="R387" s="8"/>
      <c r="S387" s="8"/>
      <c r="T387" s="8"/>
      <c r="U387" s="8"/>
      <c r="V387" s="8"/>
      <c r="W387" s="8"/>
      <c r="X387" s="9"/>
      <c r="Y387" s="13"/>
      <c r="Z387" s="9"/>
    </row>
    <row r="388" spans="1:26" x14ac:dyDescent="0.3">
      <c r="A388" s="7" t="s">
        <v>1707</v>
      </c>
      <c r="B388" s="8" t="s">
        <v>47</v>
      </c>
      <c r="C388" s="9"/>
      <c r="D388" s="8"/>
      <c r="E388" s="8"/>
      <c r="F388" s="8"/>
      <c r="G388" s="8"/>
      <c r="H388" s="8"/>
      <c r="I388" s="10"/>
      <c r="J388" s="10"/>
      <c r="K388" s="11"/>
      <c r="L388" s="12" t="str">
        <f>IF(D388="","",SUMIFS(Movimientos!$D$2:$D$2000,Movimientos!$B$2:$B$2000,A388))</f>
        <v/>
      </c>
      <c r="M388" s="12" t="str">
        <f t="shared" si="12"/>
        <v/>
      </c>
      <c r="N388" s="11"/>
      <c r="O388" s="7" t="str">
        <f t="shared" ca="1" si="13"/>
        <v/>
      </c>
      <c r="P388" s="8"/>
      <c r="Q388" s="8"/>
      <c r="R388" s="8"/>
      <c r="S388" s="8"/>
      <c r="T388" s="8"/>
      <c r="U388" s="8"/>
      <c r="V388" s="8"/>
      <c r="W388" s="8"/>
      <c r="X388" s="9"/>
      <c r="Y388" s="13"/>
      <c r="Z388" s="9"/>
    </row>
    <row r="389" spans="1:26" x14ac:dyDescent="0.3">
      <c r="A389" s="7" t="s">
        <v>1708</v>
      </c>
      <c r="B389" s="8" t="s">
        <v>47</v>
      </c>
      <c r="C389" s="9"/>
      <c r="D389" s="8"/>
      <c r="E389" s="8"/>
      <c r="F389" s="8"/>
      <c r="G389" s="8"/>
      <c r="H389" s="8"/>
      <c r="I389" s="10"/>
      <c r="J389" s="10"/>
      <c r="K389" s="11"/>
      <c r="L389" s="12" t="str">
        <f>IF(D389="","",SUMIFS(Movimientos!$D$2:$D$2000,Movimientos!$B$2:$B$2000,A389))</f>
        <v/>
      </c>
      <c r="M389" s="12" t="str">
        <f t="shared" si="12"/>
        <v/>
      </c>
      <c r="N389" s="11"/>
      <c r="O389" s="7" t="str">
        <f t="shared" ca="1" si="13"/>
        <v/>
      </c>
      <c r="P389" s="8"/>
      <c r="Q389" s="8"/>
      <c r="R389" s="8"/>
      <c r="S389" s="8"/>
      <c r="T389" s="8"/>
      <c r="U389" s="8"/>
      <c r="V389" s="8"/>
      <c r="W389" s="8"/>
      <c r="X389" s="9"/>
      <c r="Y389" s="13"/>
      <c r="Z389" s="9"/>
    </row>
    <row r="390" spans="1:26" x14ac:dyDescent="0.3">
      <c r="A390" s="7" t="s">
        <v>1709</v>
      </c>
      <c r="B390" s="8" t="s">
        <v>47</v>
      </c>
      <c r="C390" s="9"/>
      <c r="D390" s="8"/>
      <c r="E390" s="8"/>
      <c r="F390" s="8"/>
      <c r="G390" s="8"/>
      <c r="H390" s="8"/>
      <c r="I390" s="10"/>
      <c r="J390" s="10"/>
      <c r="K390" s="11"/>
      <c r="L390" s="12" t="str">
        <f>IF(D390="","",SUMIFS(Movimientos!$D$2:$D$2000,Movimientos!$B$2:$B$2000,A390))</f>
        <v/>
      </c>
      <c r="M390" s="12" t="str">
        <f t="shared" si="12"/>
        <v/>
      </c>
      <c r="N390" s="11"/>
      <c r="O390" s="7" t="str">
        <f t="shared" ca="1" si="13"/>
        <v/>
      </c>
      <c r="P390" s="8"/>
      <c r="Q390" s="8"/>
      <c r="R390" s="8"/>
      <c r="S390" s="8"/>
      <c r="T390" s="8"/>
      <c r="U390" s="8"/>
      <c r="V390" s="8"/>
      <c r="W390" s="8"/>
      <c r="X390" s="9"/>
      <c r="Y390" s="13"/>
      <c r="Z390" s="9"/>
    </row>
    <row r="391" spans="1:26" x14ac:dyDescent="0.3">
      <c r="A391" s="7" t="s">
        <v>1710</v>
      </c>
      <c r="B391" s="8" t="s">
        <v>47</v>
      </c>
      <c r="C391" s="9"/>
      <c r="D391" s="8"/>
      <c r="E391" s="8"/>
      <c r="F391" s="8"/>
      <c r="G391" s="8"/>
      <c r="H391" s="8"/>
      <c r="I391" s="10"/>
      <c r="J391" s="10"/>
      <c r="K391" s="11"/>
      <c r="L391" s="12" t="str">
        <f>IF(D391="","",SUMIFS(Movimientos!$D$2:$D$2000,Movimientos!$B$2:$B$2000,A391))</f>
        <v/>
      </c>
      <c r="M391" s="12" t="str">
        <f t="shared" si="12"/>
        <v/>
      </c>
      <c r="N391" s="11"/>
      <c r="O391" s="7" t="str">
        <f t="shared" ca="1" si="13"/>
        <v/>
      </c>
      <c r="P391" s="8"/>
      <c r="Q391" s="8"/>
      <c r="R391" s="8"/>
      <c r="S391" s="8"/>
      <c r="T391" s="8"/>
      <c r="U391" s="8"/>
      <c r="V391" s="8"/>
      <c r="W391" s="8"/>
      <c r="X391" s="9"/>
      <c r="Y391" s="13"/>
      <c r="Z391" s="9"/>
    </row>
    <row r="392" spans="1:26" x14ac:dyDescent="0.3">
      <c r="A392" s="7" t="s">
        <v>1711</v>
      </c>
      <c r="B392" s="8" t="s">
        <v>47</v>
      </c>
      <c r="C392" s="9"/>
      <c r="D392" s="8"/>
      <c r="E392" s="8"/>
      <c r="F392" s="8"/>
      <c r="G392" s="8"/>
      <c r="H392" s="8"/>
      <c r="I392" s="10"/>
      <c r="J392" s="10"/>
      <c r="K392" s="11"/>
      <c r="L392" s="12" t="str">
        <f>IF(D392="","",SUMIFS(Movimientos!$D$2:$D$2000,Movimientos!$B$2:$B$2000,A392))</f>
        <v/>
      </c>
      <c r="M392" s="12" t="str">
        <f t="shared" si="12"/>
        <v/>
      </c>
      <c r="N392" s="11"/>
      <c r="O392" s="7" t="str">
        <f t="shared" ca="1" si="13"/>
        <v/>
      </c>
      <c r="P392" s="8"/>
      <c r="Q392" s="8"/>
      <c r="R392" s="8"/>
      <c r="S392" s="8"/>
      <c r="T392" s="8"/>
      <c r="U392" s="8"/>
      <c r="V392" s="8"/>
      <c r="W392" s="8"/>
      <c r="X392" s="9"/>
      <c r="Y392" s="13"/>
      <c r="Z392" s="9"/>
    </row>
    <row r="393" spans="1:26" x14ac:dyDescent="0.3">
      <c r="A393" s="7" t="s">
        <v>1712</v>
      </c>
      <c r="B393" s="8" t="s">
        <v>47</v>
      </c>
      <c r="C393" s="9"/>
      <c r="D393" s="8"/>
      <c r="E393" s="8"/>
      <c r="F393" s="8"/>
      <c r="G393" s="8"/>
      <c r="H393" s="8"/>
      <c r="I393" s="10"/>
      <c r="J393" s="10"/>
      <c r="K393" s="11"/>
      <c r="L393" s="12" t="str">
        <f>IF(D393="","",SUMIFS(Movimientos!$D$2:$D$2000,Movimientos!$B$2:$B$2000,A393))</f>
        <v/>
      </c>
      <c r="M393" s="12" t="str">
        <f t="shared" si="12"/>
        <v/>
      </c>
      <c r="N393" s="11"/>
      <c r="O393" s="7" t="str">
        <f t="shared" ca="1" si="13"/>
        <v/>
      </c>
      <c r="P393" s="8"/>
      <c r="Q393" s="8"/>
      <c r="R393" s="8"/>
      <c r="S393" s="8"/>
      <c r="T393" s="8"/>
      <c r="U393" s="8"/>
      <c r="V393" s="8"/>
      <c r="W393" s="8"/>
      <c r="X393" s="9"/>
      <c r="Y393" s="13"/>
      <c r="Z393" s="9"/>
    </row>
    <row r="394" spans="1:26" x14ac:dyDescent="0.3">
      <c r="A394" s="7" t="s">
        <v>1713</v>
      </c>
      <c r="B394" s="8" t="s">
        <v>47</v>
      </c>
      <c r="C394" s="9"/>
      <c r="D394" s="8"/>
      <c r="E394" s="8"/>
      <c r="F394" s="8"/>
      <c r="G394" s="8"/>
      <c r="H394" s="8"/>
      <c r="I394" s="10"/>
      <c r="J394" s="10"/>
      <c r="K394" s="11"/>
      <c r="L394" s="12" t="str">
        <f>IF(D394="","",SUMIFS(Movimientos!$D$2:$D$2000,Movimientos!$B$2:$B$2000,A394))</f>
        <v/>
      </c>
      <c r="M394" s="12" t="str">
        <f t="shared" si="12"/>
        <v/>
      </c>
      <c r="N394" s="11"/>
      <c r="O394" s="7" t="str">
        <f t="shared" ca="1" si="13"/>
        <v/>
      </c>
      <c r="P394" s="8"/>
      <c r="Q394" s="8"/>
      <c r="R394" s="8"/>
      <c r="S394" s="8"/>
      <c r="T394" s="8"/>
      <c r="U394" s="8"/>
      <c r="V394" s="8"/>
      <c r="W394" s="8"/>
      <c r="X394" s="9"/>
      <c r="Y394" s="13"/>
      <c r="Z394" s="9"/>
    </row>
    <row r="395" spans="1:26" x14ac:dyDescent="0.3">
      <c r="A395" s="7" t="s">
        <v>1714</v>
      </c>
      <c r="B395" s="8" t="s">
        <v>47</v>
      </c>
      <c r="C395" s="9"/>
      <c r="D395" s="8"/>
      <c r="E395" s="8"/>
      <c r="F395" s="8"/>
      <c r="G395" s="8"/>
      <c r="H395" s="8"/>
      <c r="I395" s="10"/>
      <c r="J395" s="10"/>
      <c r="K395" s="11"/>
      <c r="L395" s="12" t="str">
        <f>IF(D395="","",SUMIFS(Movimientos!$D$2:$D$2000,Movimientos!$B$2:$B$2000,A395))</f>
        <v/>
      </c>
      <c r="M395" s="12" t="str">
        <f t="shared" si="12"/>
        <v/>
      </c>
      <c r="N395" s="11"/>
      <c r="O395" s="7" t="str">
        <f t="shared" ca="1" si="13"/>
        <v/>
      </c>
      <c r="P395" s="8"/>
      <c r="Q395" s="8"/>
      <c r="R395" s="8"/>
      <c r="S395" s="8"/>
      <c r="T395" s="8"/>
      <c r="U395" s="8"/>
      <c r="V395" s="8"/>
      <c r="W395" s="8"/>
      <c r="X395" s="9"/>
      <c r="Y395" s="13"/>
      <c r="Z395" s="9"/>
    </row>
    <row r="396" spans="1:26" x14ac:dyDescent="0.3">
      <c r="A396" s="7" t="s">
        <v>1715</v>
      </c>
      <c r="B396" s="8" t="s">
        <v>47</v>
      </c>
      <c r="C396" s="9"/>
      <c r="D396" s="8"/>
      <c r="E396" s="8"/>
      <c r="F396" s="8"/>
      <c r="G396" s="8"/>
      <c r="H396" s="8"/>
      <c r="I396" s="10"/>
      <c r="J396" s="10"/>
      <c r="K396" s="11"/>
      <c r="L396" s="12" t="str">
        <f>IF(D396="","",SUMIFS(Movimientos!$D$2:$D$2000,Movimientos!$B$2:$B$2000,A396))</f>
        <v/>
      </c>
      <c r="M396" s="12" t="str">
        <f t="shared" si="12"/>
        <v/>
      </c>
      <c r="N396" s="11"/>
      <c r="O396" s="7" t="str">
        <f t="shared" ca="1" si="13"/>
        <v/>
      </c>
      <c r="P396" s="8"/>
      <c r="Q396" s="8"/>
      <c r="R396" s="8"/>
      <c r="S396" s="8"/>
      <c r="T396" s="8"/>
      <c r="U396" s="8"/>
      <c r="V396" s="8"/>
      <c r="W396" s="8"/>
      <c r="X396" s="9"/>
      <c r="Y396" s="13"/>
      <c r="Z396" s="9"/>
    </row>
    <row r="397" spans="1:26" x14ac:dyDescent="0.3">
      <c r="A397" s="7" t="s">
        <v>1716</v>
      </c>
      <c r="B397" s="8" t="s">
        <v>47</v>
      </c>
      <c r="C397" s="9"/>
      <c r="D397" s="8"/>
      <c r="E397" s="8"/>
      <c r="F397" s="8"/>
      <c r="G397" s="8"/>
      <c r="H397" s="8"/>
      <c r="I397" s="10"/>
      <c r="J397" s="10"/>
      <c r="K397" s="11"/>
      <c r="L397" s="12" t="str">
        <f>IF(D397="","",SUMIFS(Movimientos!$D$2:$D$2000,Movimientos!$B$2:$B$2000,A397))</f>
        <v/>
      </c>
      <c r="M397" s="12" t="str">
        <f t="shared" si="12"/>
        <v/>
      </c>
      <c r="N397" s="11"/>
      <c r="O397" s="7" t="str">
        <f t="shared" ca="1" si="13"/>
        <v/>
      </c>
      <c r="P397" s="8"/>
      <c r="Q397" s="8"/>
      <c r="R397" s="8"/>
      <c r="S397" s="8"/>
      <c r="T397" s="8"/>
      <c r="U397" s="8"/>
      <c r="V397" s="8"/>
      <c r="W397" s="8"/>
      <c r="X397" s="9"/>
      <c r="Y397" s="13"/>
      <c r="Z397" s="9"/>
    </row>
    <row r="398" spans="1:26" x14ac:dyDescent="0.3">
      <c r="A398" s="7" t="s">
        <v>1717</v>
      </c>
      <c r="B398" s="8" t="s">
        <v>47</v>
      </c>
      <c r="C398" s="9"/>
      <c r="D398" s="8"/>
      <c r="E398" s="8"/>
      <c r="F398" s="8"/>
      <c r="G398" s="8"/>
      <c r="H398" s="8"/>
      <c r="I398" s="10"/>
      <c r="J398" s="10"/>
      <c r="K398" s="11"/>
      <c r="L398" s="12" t="str">
        <f>IF(D398="","",SUMIFS(Movimientos!$D$2:$D$2000,Movimientos!$B$2:$B$2000,A398))</f>
        <v/>
      </c>
      <c r="M398" s="12" t="str">
        <f t="shared" si="12"/>
        <v/>
      </c>
      <c r="N398" s="11"/>
      <c r="O398" s="7" t="str">
        <f t="shared" ca="1" si="13"/>
        <v/>
      </c>
      <c r="P398" s="8"/>
      <c r="Q398" s="8"/>
      <c r="R398" s="8"/>
      <c r="S398" s="8"/>
      <c r="T398" s="8"/>
      <c r="U398" s="8"/>
      <c r="V398" s="8"/>
      <c r="W398" s="8"/>
      <c r="X398" s="9"/>
      <c r="Y398" s="13"/>
      <c r="Z398" s="9"/>
    </row>
    <row r="399" spans="1:26" x14ac:dyDescent="0.3">
      <c r="A399" s="7" t="s">
        <v>1718</v>
      </c>
      <c r="B399" s="8" t="s">
        <v>47</v>
      </c>
      <c r="C399" s="9"/>
      <c r="D399" s="8"/>
      <c r="E399" s="8"/>
      <c r="F399" s="8"/>
      <c r="G399" s="8"/>
      <c r="H399" s="8"/>
      <c r="I399" s="10"/>
      <c r="J399" s="10"/>
      <c r="K399" s="11"/>
      <c r="L399" s="12" t="str">
        <f>IF(D399="","",SUMIFS(Movimientos!$D$2:$D$2000,Movimientos!$B$2:$B$2000,A399))</f>
        <v/>
      </c>
      <c r="M399" s="12" t="str">
        <f t="shared" si="12"/>
        <v/>
      </c>
      <c r="N399" s="11"/>
      <c r="O399" s="7" t="str">
        <f t="shared" ca="1" si="13"/>
        <v/>
      </c>
      <c r="P399" s="8"/>
      <c r="Q399" s="8"/>
      <c r="R399" s="8"/>
      <c r="S399" s="8"/>
      <c r="T399" s="8"/>
      <c r="U399" s="8"/>
      <c r="V399" s="8"/>
      <c r="W399" s="8"/>
      <c r="X399" s="9"/>
      <c r="Y399" s="13"/>
      <c r="Z399" s="9"/>
    </row>
    <row r="400" spans="1:26" x14ac:dyDescent="0.3">
      <c r="A400" s="7" t="s">
        <v>1719</v>
      </c>
      <c r="B400" s="8" t="s">
        <v>47</v>
      </c>
      <c r="C400" s="9"/>
      <c r="D400" s="8"/>
      <c r="E400" s="8"/>
      <c r="F400" s="8"/>
      <c r="G400" s="8"/>
      <c r="H400" s="8"/>
      <c r="I400" s="10"/>
      <c r="J400" s="10"/>
      <c r="K400" s="11"/>
      <c r="L400" s="12" t="str">
        <f>IF(D400="","",SUMIFS(Movimientos!$D$2:$D$2000,Movimientos!$B$2:$B$2000,A400))</f>
        <v/>
      </c>
      <c r="M400" s="12" t="str">
        <f t="shared" si="12"/>
        <v/>
      </c>
      <c r="N400" s="11"/>
      <c r="O400" s="7" t="str">
        <f t="shared" ca="1" si="13"/>
        <v/>
      </c>
      <c r="P400" s="8"/>
      <c r="Q400" s="8"/>
      <c r="R400" s="8"/>
      <c r="S400" s="8"/>
      <c r="T400" s="8"/>
      <c r="U400" s="8"/>
      <c r="V400" s="8"/>
      <c r="W400" s="8"/>
      <c r="X400" s="9"/>
      <c r="Y400" s="13"/>
      <c r="Z400" s="9"/>
    </row>
    <row r="401" spans="1:26" x14ac:dyDescent="0.3">
      <c r="A401" s="7" t="s">
        <v>1720</v>
      </c>
      <c r="B401" s="8" t="s">
        <v>47</v>
      </c>
      <c r="C401" s="9"/>
      <c r="D401" s="8"/>
      <c r="E401" s="8"/>
      <c r="F401" s="8"/>
      <c r="G401" s="8"/>
      <c r="H401" s="8"/>
      <c r="I401" s="10"/>
      <c r="J401" s="10"/>
      <c r="K401" s="11"/>
      <c r="L401" s="12" t="str">
        <f>IF(D401="","",SUMIFS(Movimientos!$D$2:$D$2000,Movimientos!$B$2:$B$2000,A401))</f>
        <v/>
      </c>
      <c r="M401" s="12" t="str">
        <f t="shared" si="12"/>
        <v/>
      </c>
      <c r="N401" s="11"/>
      <c r="O401" s="7" t="str">
        <f t="shared" ca="1" si="13"/>
        <v/>
      </c>
      <c r="P401" s="8"/>
      <c r="Q401" s="8"/>
      <c r="R401" s="8"/>
      <c r="S401" s="8"/>
      <c r="T401" s="8"/>
      <c r="U401" s="8"/>
      <c r="V401" s="8"/>
      <c r="W401" s="8"/>
      <c r="X401" s="9"/>
      <c r="Y401" s="13"/>
      <c r="Z401" s="9"/>
    </row>
    <row r="402" spans="1:26" x14ac:dyDescent="0.3">
      <c r="A402" s="7" t="s">
        <v>1721</v>
      </c>
      <c r="B402" s="8" t="s">
        <v>47</v>
      </c>
      <c r="C402" s="9"/>
      <c r="D402" s="8"/>
      <c r="E402" s="8"/>
      <c r="F402" s="8"/>
      <c r="G402" s="8"/>
      <c r="H402" s="8"/>
      <c r="I402" s="10"/>
      <c r="J402" s="10"/>
      <c r="K402" s="11"/>
      <c r="L402" s="12" t="str">
        <f>IF(D402="","",SUMIFS(Movimientos!$D$2:$D$2000,Movimientos!$B$2:$B$2000,A402))</f>
        <v/>
      </c>
      <c r="M402" s="12" t="str">
        <f t="shared" si="12"/>
        <v/>
      </c>
      <c r="N402" s="11"/>
      <c r="O402" s="7" t="str">
        <f t="shared" ca="1" si="13"/>
        <v/>
      </c>
      <c r="P402" s="8"/>
      <c r="Q402" s="8"/>
      <c r="R402" s="8"/>
      <c r="S402" s="8"/>
      <c r="T402" s="8"/>
      <c r="U402" s="8"/>
      <c r="V402" s="8"/>
      <c r="W402" s="8"/>
      <c r="X402" s="9"/>
      <c r="Y402" s="13"/>
      <c r="Z402" s="9"/>
    </row>
    <row r="403" spans="1:26" x14ac:dyDescent="0.3">
      <c r="A403" s="7" t="s">
        <v>1722</v>
      </c>
      <c r="B403" s="8" t="s">
        <v>47</v>
      </c>
      <c r="C403" s="9"/>
      <c r="D403" s="8"/>
      <c r="E403" s="8"/>
      <c r="F403" s="8"/>
      <c r="G403" s="8"/>
      <c r="H403" s="8"/>
      <c r="I403" s="10"/>
      <c r="J403" s="10"/>
      <c r="K403" s="11"/>
      <c r="L403" s="12" t="str">
        <f>IF(D403="","",SUMIFS(Movimientos!$D$2:$D$2000,Movimientos!$B$2:$B$2000,A403))</f>
        <v/>
      </c>
      <c r="M403" s="12" t="str">
        <f t="shared" si="12"/>
        <v/>
      </c>
      <c r="N403" s="11"/>
      <c r="O403" s="7" t="str">
        <f t="shared" ca="1" si="13"/>
        <v/>
      </c>
      <c r="P403" s="8"/>
      <c r="Q403" s="8"/>
      <c r="R403" s="8"/>
      <c r="S403" s="8"/>
      <c r="T403" s="8"/>
      <c r="U403" s="8"/>
      <c r="V403" s="8"/>
      <c r="W403" s="8"/>
      <c r="X403" s="9"/>
      <c r="Y403" s="13"/>
      <c r="Z403" s="9"/>
    </row>
    <row r="404" spans="1:26" x14ac:dyDescent="0.3">
      <c r="A404" s="7" t="s">
        <v>1723</v>
      </c>
      <c r="B404" s="8" t="s">
        <v>47</v>
      </c>
      <c r="C404" s="9"/>
      <c r="D404" s="8"/>
      <c r="E404" s="8"/>
      <c r="F404" s="8"/>
      <c r="G404" s="8"/>
      <c r="H404" s="8"/>
      <c r="I404" s="10"/>
      <c r="J404" s="10"/>
      <c r="K404" s="11"/>
      <c r="L404" s="12" t="str">
        <f>IF(D404="","",SUMIFS(Movimientos!$D$2:$D$2000,Movimientos!$B$2:$B$2000,A404))</f>
        <v/>
      </c>
      <c r="M404" s="12" t="str">
        <f t="shared" si="12"/>
        <v/>
      </c>
      <c r="N404" s="11"/>
      <c r="O404" s="7" t="str">
        <f t="shared" ca="1" si="13"/>
        <v/>
      </c>
      <c r="P404" s="8"/>
      <c r="Q404" s="8"/>
      <c r="R404" s="8"/>
      <c r="S404" s="8"/>
      <c r="T404" s="8"/>
      <c r="U404" s="8"/>
      <c r="V404" s="8"/>
      <c r="W404" s="8"/>
      <c r="X404" s="9"/>
      <c r="Y404" s="13"/>
      <c r="Z404" s="9"/>
    </row>
    <row r="405" spans="1:26" x14ac:dyDescent="0.3">
      <c r="A405" s="7" t="s">
        <v>1724</v>
      </c>
      <c r="B405" s="8" t="s">
        <v>47</v>
      </c>
      <c r="C405" s="9"/>
      <c r="D405" s="8"/>
      <c r="E405" s="8"/>
      <c r="F405" s="8"/>
      <c r="G405" s="8"/>
      <c r="H405" s="8"/>
      <c r="I405" s="10"/>
      <c r="J405" s="10"/>
      <c r="K405" s="11"/>
      <c r="L405" s="12" t="str">
        <f>IF(D405="","",SUMIFS(Movimientos!$D$2:$D$2000,Movimientos!$B$2:$B$2000,A405))</f>
        <v/>
      </c>
      <c r="M405" s="12" t="str">
        <f t="shared" si="12"/>
        <v/>
      </c>
      <c r="N405" s="11"/>
      <c r="O405" s="7" t="str">
        <f t="shared" ca="1" si="13"/>
        <v/>
      </c>
      <c r="P405" s="8"/>
      <c r="Q405" s="8"/>
      <c r="R405" s="8"/>
      <c r="S405" s="8"/>
      <c r="T405" s="8"/>
      <c r="U405" s="8"/>
      <c r="V405" s="8"/>
      <c r="W405" s="8"/>
      <c r="X405" s="9"/>
      <c r="Y405" s="13"/>
      <c r="Z405" s="9"/>
    </row>
    <row r="406" spans="1:26" x14ac:dyDescent="0.3">
      <c r="A406" s="7" t="s">
        <v>1725</v>
      </c>
      <c r="B406" s="8" t="s">
        <v>47</v>
      </c>
      <c r="C406" s="9"/>
      <c r="D406" s="8"/>
      <c r="E406" s="8"/>
      <c r="F406" s="8"/>
      <c r="G406" s="8"/>
      <c r="H406" s="8"/>
      <c r="I406" s="10"/>
      <c r="J406" s="10"/>
      <c r="K406" s="11"/>
      <c r="L406" s="12" t="str">
        <f>IF(D406="","",SUMIFS(Movimientos!$D$2:$D$2000,Movimientos!$B$2:$B$2000,A406))</f>
        <v/>
      </c>
      <c r="M406" s="12" t="str">
        <f t="shared" si="12"/>
        <v/>
      </c>
      <c r="N406" s="11"/>
      <c r="O406" s="7" t="str">
        <f t="shared" ca="1" si="13"/>
        <v/>
      </c>
      <c r="P406" s="8"/>
      <c r="Q406" s="8"/>
      <c r="R406" s="8"/>
      <c r="S406" s="8"/>
      <c r="T406" s="8"/>
      <c r="U406" s="8"/>
      <c r="V406" s="8"/>
      <c r="W406" s="8"/>
      <c r="X406" s="9"/>
      <c r="Y406" s="13"/>
      <c r="Z406" s="9"/>
    </row>
    <row r="407" spans="1:26" x14ac:dyDescent="0.3">
      <c r="A407" s="7" t="s">
        <v>1726</v>
      </c>
      <c r="B407" s="8" t="s">
        <v>47</v>
      </c>
      <c r="C407" s="9"/>
      <c r="D407" s="8"/>
      <c r="E407" s="8"/>
      <c r="F407" s="8"/>
      <c r="G407" s="8"/>
      <c r="H407" s="8"/>
      <c r="I407" s="10"/>
      <c r="J407" s="10"/>
      <c r="K407" s="11"/>
      <c r="L407" s="12" t="str">
        <f>IF(D407="","",SUMIFS(Movimientos!$D$2:$D$2000,Movimientos!$B$2:$B$2000,A407))</f>
        <v/>
      </c>
      <c r="M407" s="12" t="str">
        <f t="shared" si="12"/>
        <v/>
      </c>
      <c r="N407" s="11"/>
      <c r="O407" s="7" t="str">
        <f t="shared" ca="1" si="13"/>
        <v/>
      </c>
      <c r="P407" s="8"/>
      <c r="Q407" s="8"/>
      <c r="R407" s="8"/>
      <c r="S407" s="8"/>
      <c r="T407" s="8"/>
      <c r="U407" s="8"/>
      <c r="V407" s="8"/>
      <c r="W407" s="8"/>
      <c r="X407" s="9"/>
      <c r="Y407" s="13"/>
      <c r="Z407" s="9"/>
    </row>
    <row r="408" spans="1:26" x14ac:dyDescent="0.3">
      <c r="A408" s="7" t="s">
        <v>1727</v>
      </c>
      <c r="B408" s="8" t="s">
        <v>47</v>
      </c>
      <c r="C408" s="9"/>
      <c r="D408" s="8"/>
      <c r="E408" s="8"/>
      <c r="F408" s="8"/>
      <c r="G408" s="8"/>
      <c r="H408" s="8"/>
      <c r="I408" s="10"/>
      <c r="J408" s="10"/>
      <c r="K408" s="11"/>
      <c r="L408" s="12" t="str">
        <f>IF(D408="","",SUMIFS(Movimientos!$D$2:$D$2000,Movimientos!$B$2:$B$2000,A408))</f>
        <v/>
      </c>
      <c r="M408" s="12" t="str">
        <f t="shared" si="12"/>
        <v/>
      </c>
      <c r="N408" s="11"/>
      <c r="O408" s="7" t="str">
        <f t="shared" ca="1" si="13"/>
        <v/>
      </c>
      <c r="P408" s="8"/>
      <c r="Q408" s="8"/>
      <c r="R408" s="8"/>
      <c r="S408" s="8"/>
      <c r="T408" s="8"/>
      <c r="U408" s="8"/>
      <c r="V408" s="8"/>
      <c r="W408" s="8"/>
      <c r="X408" s="9"/>
      <c r="Y408" s="13"/>
      <c r="Z408" s="9"/>
    </row>
    <row r="409" spans="1:26" x14ac:dyDescent="0.3">
      <c r="A409" s="7" t="s">
        <v>1728</v>
      </c>
      <c r="B409" s="8" t="s">
        <v>47</v>
      </c>
      <c r="C409" s="9"/>
      <c r="D409" s="8"/>
      <c r="E409" s="8"/>
      <c r="F409" s="8"/>
      <c r="G409" s="8"/>
      <c r="H409" s="8"/>
      <c r="I409" s="10"/>
      <c r="J409" s="10"/>
      <c r="K409" s="11"/>
      <c r="L409" s="12" t="str">
        <f>IF(D409="","",SUMIFS(Movimientos!$D$2:$D$2000,Movimientos!$B$2:$B$2000,A409))</f>
        <v/>
      </c>
      <c r="M409" s="12" t="str">
        <f t="shared" si="12"/>
        <v/>
      </c>
      <c r="N409" s="11"/>
      <c r="O409" s="7" t="str">
        <f t="shared" ca="1" si="13"/>
        <v/>
      </c>
      <c r="P409" s="8"/>
      <c r="Q409" s="8"/>
      <c r="R409" s="8"/>
      <c r="S409" s="8"/>
      <c r="T409" s="8"/>
      <c r="U409" s="8"/>
      <c r="V409" s="8"/>
      <c r="W409" s="8"/>
      <c r="X409" s="9"/>
      <c r="Y409" s="13"/>
      <c r="Z409" s="9"/>
    </row>
    <row r="410" spans="1:26" x14ac:dyDescent="0.3">
      <c r="A410" s="7" t="s">
        <v>1729</v>
      </c>
      <c r="B410" s="8" t="s">
        <v>47</v>
      </c>
      <c r="C410" s="9"/>
      <c r="D410" s="8"/>
      <c r="E410" s="8"/>
      <c r="F410" s="8"/>
      <c r="G410" s="8"/>
      <c r="H410" s="8"/>
      <c r="I410" s="10"/>
      <c r="J410" s="10"/>
      <c r="K410" s="11"/>
      <c r="L410" s="12" t="str">
        <f>IF(D410="","",SUMIFS(Movimientos!$D$2:$D$2000,Movimientos!$B$2:$B$2000,A410))</f>
        <v/>
      </c>
      <c r="M410" s="12" t="str">
        <f t="shared" si="12"/>
        <v/>
      </c>
      <c r="N410" s="11"/>
      <c r="O410" s="7" t="str">
        <f t="shared" ca="1" si="13"/>
        <v/>
      </c>
      <c r="P410" s="8"/>
      <c r="Q410" s="8"/>
      <c r="R410" s="8"/>
      <c r="S410" s="8"/>
      <c r="T410" s="8"/>
      <c r="U410" s="8"/>
      <c r="V410" s="8"/>
      <c r="W410" s="8"/>
      <c r="X410" s="9"/>
      <c r="Y410" s="13"/>
      <c r="Z410" s="9"/>
    </row>
    <row r="411" spans="1:26" x14ac:dyDescent="0.3">
      <c r="A411" s="7" t="s">
        <v>1730</v>
      </c>
      <c r="B411" s="8" t="s">
        <v>47</v>
      </c>
      <c r="C411" s="9"/>
      <c r="D411" s="8"/>
      <c r="E411" s="8"/>
      <c r="F411" s="8"/>
      <c r="G411" s="8"/>
      <c r="H411" s="8"/>
      <c r="I411" s="10"/>
      <c r="J411" s="10"/>
      <c r="K411" s="11"/>
      <c r="L411" s="12" t="str">
        <f>IF(D411="","",SUMIFS(Movimientos!$D$2:$D$2000,Movimientos!$B$2:$B$2000,A411))</f>
        <v/>
      </c>
      <c r="M411" s="12" t="str">
        <f t="shared" si="12"/>
        <v/>
      </c>
      <c r="N411" s="11"/>
      <c r="O411" s="7" t="str">
        <f t="shared" ca="1" si="13"/>
        <v/>
      </c>
      <c r="P411" s="8"/>
      <c r="Q411" s="8"/>
      <c r="R411" s="8"/>
      <c r="S411" s="8"/>
      <c r="T411" s="8"/>
      <c r="U411" s="8"/>
      <c r="V411" s="8"/>
      <c r="W411" s="8"/>
      <c r="X411" s="9"/>
      <c r="Y411" s="13"/>
      <c r="Z411" s="9"/>
    </row>
    <row r="412" spans="1:26" x14ac:dyDescent="0.3">
      <c r="A412" s="7" t="s">
        <v>1731</v>
      </c>
      <c r="B412" s="8" t="s">
        <v>47</v>
      </c>
      <c r="C412" s="9"/>
      <c r="D412" s="8"/>
      <c r="E412" s="8"/>
      <c r="F412" s="8"/>
      <c r="G412" s="8"/>
      <c r="H412" s="8"/>
      <c r="I412" s="10"/>
      <c r="J412" s="10"/>
      <c r="K412" s="11"/>
      <c r="L412" s="12" t="str">
        <f>IF(D412="","",SUMIFS(Movimientos!$D$2:$D$2000,Movimientos!$B$2:$B$2000,A412))</f>
        <v/>
      </c>
      <c r="M412" s="12" t="str">
        <f t="shared" si="12"/>
        <v/>
      </c>
      <c r="N412" s="11"/>
      <c r="O412" s="7" t="str">
        <f t="shared" ca="1" si="13"/>
        <v/>
      </c>
      <c r="P412" s="8"/>
      <c r="Q412" s="8"/>
      <c r="R412" s="8"/>
      <c r="S412" s="8"/>
      <c r="T412" s="8"/>
      <c r="U412" s="8"/>
      <c r="V412" s="8"/>
      <c r="W412" s="8"/>
      <c r="X412" s="9"/>
      <c r="Y412" s="13"/>
      <c r="Z412" s="9"/>
    </row>
    <row r="413" spans="1:26" x14ac:dyDescent="0.3">
      <c r="A413" s="7" t="s">
        <v>1732</v>
      </c>
      <c r="B413" s="8" t="s">
        <v>47</v>
      </c>
      <c r="C413" s="9"/>
      <c r="D413" s="8"/>
      <c r="E413" s="8"/>
      <c r="F413" s="8"/>
      <c r="G413" s="8"/>
      <c r="H413" s="8"/>
      <c r="I413" s="10"/>
      <c r="J413" s="10"/>
      <c r="K413" s="11"/>
      <c r="L413" s="12" t="str">
        <f>IF(D413="","",SUMIFS(Movimientos!$D$2:$D$2000,Movimientos!$B$2:$B$2000,A413))</f>
        <v/>
      </c>
      <c r="M413" s="12" t="str">
        <f t="shared" si="12"/>
        <v/>
      </c>
      <c r="N413" s="11"/>
      <c r="O413" s="7" t="str">
        <f t="shared" ca="1" si="13"/>
        <v/>
      </c>
      <c r="P413" s="8"/>
      <c r="Q413" s="8"/>
      <c r="R413" s="8"/>
      <c r="S413" s="8"/>
      <c r="T413" s="8"/>
      <c r="U413" s="8"/>
      <c r="V413" s="8"/>
      <c r="W413" s="8"/>
      <c r="X413" s="9"/>
      <c r="Y413" s="13"/>
      <c r="Z413" s="9"/>
    </row>
    <row r="414" spans="1:26" x14ac:dyDescent="0.3">
      <c r="A414" s="7" t="s">
        <v>1733</v>
      </c>
      <c r="B414" s="8" t="s">
        <v>47</v>
      </c>
      <c r="C414" s="9"/>
      <c r="D414" s="8"/>
      <c r="E414" s="8"/>
      <c r="F414" s="8"/>
      <c r="G414" s="8"/>
      <c r="H414" s="8"/>
      <c r="I414" s="10"/>
      <c r="J414" s="10"/>
      <c r="K414" s="11"/>
      <c r="L414" s="12" t="str">
        <f>IF(D414="","",SUMIFS(Movimientos!$D$2:$D$2000,Movimientos!$B$2:$B$2000,A414))</f>
        <v/>
      </c>
      <c r="M414" s="12" t="str">
        <f t="shared" si="12"/>
        <v/>
      </c>
      <c r="N414" s="11"/>
      <c r="O414" s="7" t="str">
        <f t="shared" ca="1" si="13"/>
        <v/>
      </c>
      <c r="P414" s="8"/>
      <c r="Q414" s="8"/>
      <c r="R414" s="8"/>
      <c r="S414" s="8"/>
      <c r="T414" s="8"/>
      <c r="U414" s="8"/>
      <c r="V414" s="8"/>
      <c r="W414" s="8"/>
      <c r="X414" s="9"/>
      <c r="Y414" s="13"/>
      <c r="Z414" s="9"/>
    </row>
    <row r="415" spans="1:26" x14ac:dyDescent="0.3">
      <c r="A415" s="7" t="s">
        <v>1734</v>
      </c>
      <c r="B415" s="8" t="s">
        <v>47</v>
      </c>
      <c r="C415" s="9"/>
      <c r="D415" s="8"/>
      <c r="E415" s="8"/>
      <c r="F415" s="8"/>
      <c r="G415" s="8"/>
      <c r="H415" s="8"/>
      <c r="I415" s="10"/>
      <c r="J415" s="10"/>
      <c r="K415" s="11"/>
      <c r="L415" s="12" t="str">
        <f>IF(D415="","",SUMIFS(Movimientos!$D$2:$D$2000,Movimientos!$B$2:$B$2000,A415))</f>
        <v/>
      </c>
      <c r="M415" s="12" t="str">
        <f t="shared" si="12"/>
        <v/>
      </c>
      <c r="N415" s="11"/>
      <c r="O415" s="7" t="str">
        <f t="shared" ca="1" si="13"/>
        <v/>
      </c>
      <c r="P415" s="8"/>
      <c r="Q415" s="8"/>
      <c r="R415" s="8"/>
      <c r="S415" s="8"/>
      <c r="T415" s="8"/>
      <c r="U415" s="8"/>
      <c r="V415" s="8"/>
      <c r="W415" s="8"/>
      <c r="X415" s="9"/>
      <c r="Y415" s="13"/>
      <c r="Z415" s="9"/>
    </row>
    <row r="416" spans="1:26" x14ac:dyDescent="0.3">
      <c r="A416" s="7" t="s">
        <v>1735</v>
      </c>
      <c r="B416" s="8" t="s">
        <v>47</v>
      </c>
      <c r="C416" s="9"/>
      <c r="D416" s="8"/>
      <c r="E416" s="8"/>
      <c r="F416" s="8"/>
      <c r="G416" s="8"/>
      <c r="H416" s="8"/>
      <c r="I416" s="10"/>
      <c r="J416" s="10"/>
      <c r="K416" s="11"/>
      <c r="L416" s="12" t="str">
        <f>IF(D416="","",SUMIFS(Movimientos!$D$2:$D$2000,Movimientos!$B$2:$B$2000,A416))</f>
        <v/>
      </c>
      <c r="M416" s="12" t="str">
        <f t="shared" si="12"/>
        <v/>
      </c>
      <c r="N416" s="11"/>
      <c r="O416" s="7" t="str">
        <f t="shared" ca="1" si="13"/>
        <v/>
      </c>
      <c r="P416" s="8"/>
      <c r="Q416" s="8"/>
      <c r="R416" s="8"/>
      <c r="S416" s="8"/>
      <c r="T416" s="8"/>
      <c r="U416" s="8"/>
      <c r="V416" s="8"/>
      <c r="W416" s="8"/>
      <c r="X416" s="9"/>
      <c r="Y416" s="13"/>
      <c r="Z416" s="9"/>
    </row>
    <row r="417" spans="1:26" x14ac:dyDescent="0.3">
      <c r="A417" s="7" t="s">
        <v>1736</v>
      </c>
      <c r="B417" s="8" t="s">
        <v>47</v>
      </c>
      <c r="C417" s="9"/>
      <c r="D417" s="8"/>
      <c r="E417" s="8"/>
      <c r="F417" s="8"/>
      <c r="G417" s="8"/>
      <c r="H417" s="8"/>
      <c r="I417" s="10"/>
      <c r="J417" s="10"/>
      <c r="K417" s="11"/>
      <c r="L417" s="12" t="str">
        <f>IF(D417="","",SUMIFS(Movimientos!$D$2:$D$2000,Movimientos!$B$2:$B$2000,A417))</f>
        <v/>
      </c>
      <c r="M417" s="12" t="str">
        <f t="shared" si="12"/>
        <v/>
      </c>
      <c r="N417" s="11"/>
      <c r="O417" s="7" t="str">
        <f t="shared" ca="1" si="13"/>
        <v/>
      </c>
      <c r="P417" s="8"/>
      <c r="Q417" s="8"/>
      <c r="R417" s="8"/>
      <c r="S417" s="8"/>
      <c r="T417" s="8"/>
      <c r="U417" s="8"/>
      <c r="V417" s="8"/>
      <c r="W417" s="8"/>
      <c r="X417" s="9"/>
      <c r="Y417" s="13"/>
      <c r="Z417" s="9"/>
    </row>
    <row r="418" spans="1:26" x14ac:dyDescent="0.3">
      <c r="A418" s="7" t="s">
        <v>1737</v>
      </c>
      <c r="B418" s="8" t="s">
        <v>47</v>
      </c>
      <c r="C418" s="9"/>
      <c r="D418" s="8"/>
      <c r="E418" s="8"/>
      <c r="F418" s="8"/>
      <c r="G418" s="8"/>
      <c r="H418" s="8"/>
      <c r="I418" s="10"/>
      <c r="J418" s="10"/>
      <c r="K418" s="11"/>
      <c r="L418" s="12" t="str">
        <f>IF(D418="","",SUMIFS(Movimientos!$D$2:$D$2000,Movimientos!$B$2:$B$2000,A418))</f>
        <v/>
      </c>
      <c r="M418" s="12" t="str">
        <f t="shared" si="12"/>
        <v/>
      </c>
      <c r="N418" s="11"/>
      <c r="O418" s="7" t="str">
        <f t="shared" ca="1" si="13"/>
        <v/>
      </c>
      <c r="P418" s="8"/>
      <c r="Q418" s="8"/>
      <c r="R418" s="8"/>
      <c r="S418" s="8"/>
      <c r="T418" s="8"/>
      <c r="U418" s="8"/>
      <c r="V418" s="8"/>
      <c r="W418" s="8"/>
      <c r="X418" s="9"/>
      <c r="Y418" s="13"/>
      <c r="Z418" s="9"/>
    </row>
    <row r="419" spans="1:26" x14ac:dyDescent="0.3">
      <c r="A419" s="7" t="s">
        <v>1738</v>
      </c>
      <c r="B419" s="8" t="s">
        <v>47</v>
      </c>
      <c r="C419" s="9"/>
      <c r="D419" s="8"/>
      <c r="E419" s="8"/>
      <c r="F419" s="8"/>
      <c r="G419" s="8"/>
      <c r="H419" s="8"/>
      <c r="I419" s="10"/>
      <c r="J419" s="10"/>
      <c r="K419" s="11"/>
      <c r="L419" s="12" t="str">
        <f>IF(D419="","",SUMIFS(Movimientos!$D$2:$D$2000,Movimientos!$B$2:$B$2000,A419))</f>
        <v/>
      </c>
      <c r="M419" s="12" t="str">
        <f t="shared" si="12"/>
        <v/>
      </c>
      <c r="N419" s="11"/>
      <c r="O419" s="7" t="str">
        <f t="shared" ca="1" si="13"/>
        <v/>
      </c>
      <c r="P419" s="8"/>
      <c r="Q419" s="8"/>
      <c r="R419" s="8"/>
      <c r="S419" s="8"/>
      <c r="T419" s="8"/>
      <c r="U419" s="8"/>
      <c r="V419" s="8"/>
      <c r="W419" s="8"/>
      <c r="X419" s="9"/>
      <c r="Y419" s="13"/>
      <c r="Z419" s="9"/>
    </row>
    <row r="420" spans="1:26" x14ac:dyDescent="0.3">
      <c r="A420" s="7" t="s">
        <v>1739</v>
      </c>
      <c r="B420" s="8" t="s">
        <v>47</v>
      </c>
      <c r="C420" s="9"/>
      <c r="D420" s="8"/>
      <c r="E420" s="8"/>
      <c r="F420" s="8"/>
      <c r="G420" s="8"/>
      <c r="H420" s="8"/>
      <c r="I420" s="10"/>
      <c r="J420" s="10"/>
      <c r="K420" s="11"/>
      <c r="L420" s="12" t="str">
        <f>IF(D420="","",SUMIFS(Movimientos!$D$2:$D$2000,Movimientos!$B$2:$B$2000,A420))</f>
        <v/>
      </c>
      <c r="M420" s="12" t="str">
        <f t="shared" si="12"/>
        <v/>
      </c>
      <c r="N420" s="11"/>
      <c r="O420" s="7" t="str">
        <f t="shared" ca="1" si="13"/>
        <v/>
      </c>
      <c r="P420" s="8"/>
      <c r="Q420" s="8"/>
      <c r="R420" s="8"/>
      <c r="S420" s="8"/>
      <c r="T420" s="8"/>
      <c r="U420" s="8"/>
      <c r="V420" s="8"/>
      <c r="W420" s="8"/>
      <c r="X420" s="9"/>
      <c r="Y420" s="13"/>
      <c r="Z420" s="9"/>
    </row>
    <row r="421" spans="1:26" x14ac:dyDescent="0.3">
      <c r="A421" s="7" t="s">
        <v>1740</v>
      </c>
      <c r="B421" s="8" t="s">
        <v>47</v>
      </c>
      <c r="C421" s="9"/>
      <c r="D421" s="8"/>
      <c r="E421" s="8"/>
      <c r="F421" s="8"/>
      <c r="G421" s="8"/>
      <c r="H421" s="8"/>
      <c r="I421" s="10"/>
      <c r="J421" s="10"/>
      <c r="K421" s="11"/>
      <c r="L421" s="12" t="str">
        <f>IF(D421="","",SUMIFS(Movimientos!$D$2:$D$2000,Movimientos!$B$2:$B$2000,A421))</f>
        <v/>
      </c>
      <c r="M421" s="12" t="str">
        <f t="shared" si="12"/>
        <v/>
      </c>
      <c r="N421" s="11"/>
      <c r="O421" s="7" t="str">
        <f t="shared" ca="1" si="13"/>
        <v/>
      </c>
      <c r="P421" s="8"/>
      <c r="Q421" s="8"/>
      <c r="R421" s="8"/>
      <c r="S421" s="8"/>
      <c r="T421" s="8"/>
      <c r="U421" s="8"/>
      <c r="V421" s="8"/>
      <c r="W421" s="8"/>
      <c r="X421" s="9"/>
      <c r="Y421" s="13"/>
      <c r="Z421" s="9"/>
    </row>
    <row r="422" spans="1:26" x14ac:dyDescent="0.3">
      <c r="A422" s="7" t="s">
        <v>1741</v>
      </c>
      <c r="B422" s="8" t="s">
        <v>47</v>
      </c>
      <c r="C422" s="9"/>
      <c r="D422" s="8"/>
      <c r="E422" s="8"/>
      <c r="F422" s="8"/>
      <c r="G422" s="8"/>
      <c r="H422" s="8"/>
      <c r="I422" s="10"/>
      <c r="J422" s="10"/>
      <c r="K422" s="11"/>
      <c r="L422" s="12" t="str">
        <f>IF(D422="","",SUMIFS(Movimientos!$D$2:$D$2000,Movimientos!$B$2:$B$2000,A422))</f>
        <v/>
      </c>
      <c r="M422" s="12" t="str">
        <f t="shared" si="12"/>
        <v/>
      </c>
      <c r="N422" s="11"/>
      <c r="O422" s="7" t="str">
        <f t="shared" ca="1" si="13"/>
        <v/>
      </c>
      <c r="P422" s="8"/>
      <c r="Q422" s="8"/>
      <c r="R422" s="8"/>
      <c r="S422" s="8"/>
      <c r="T422" s="8"/>
      <c r="U422" s="8"/>
      <c r="V422" s="8"/>
      <c r="W422" s="8"/>
      <c r="X422" s="9"/>
      <c r="Y422" s="13"/>
      <c r="Z422" s="9"/>
    </row>
    <row r="423" spans="1:26" x14ac:dyDescent="0.3">
      <c r="A423" s="7" t="s">
        <v>1742</v>
      </c>
      <c r="B423" s="8" t="s">
        <v>47</v>
      </c>
      <c r="C423" s="9"/>
      <c r="D423" s="8"/>
      <c r="E423" s="8"/>
      <c r="F423" s="8"/>
      <c r="G423" s="8"/>
      <c r="H423" s="8"/>
      <c r="I423" s="10"/>
      <c r="J423" s="10"/>
      <c r="K423" s="11"/>
      <c r="L423" s="12" t="str">
        <f>IF(D423="","",SUMIFS(Movimientos!$D$2:$D$2000,Movimientos!$B$2:$B$2000,A423))</f>
        <v/>
      </c>
      <c r="M423" s="12" t="str">
        <f t="shared" si="12"/>
        <v/>
      </c>
      <c r="N423" s="11"/>
      <c r="O423" s="7" t="str">
        <f t="shared" ca="1" si="13"/>
        <v/>
      </c>
      <c r="P423" s="8"/>
      <c r="Q423" s="8"/>
      <c r="R423" s="8"/>
      <c r="S423" s="8"/>
      <c r="T423" s="8"/>
      <c r="U423" s="8"/>
      <c r="V423" s="8"/>
      <c r="W423" s="8"/>
      <c r="X423" s="9"/>
      <c r="Y423" s="13"/>
      <c r="Z423" s="9"/>
    </row>
    <row r="424" spans="1:26" x14ac:dyDescent="0.3">
      <c r="A424" s="7" t="s">
        <v>1743</v>
      </c>
      <c r="B424" s="8" t="s">
        <v>47</v>
      </c>
      <c r="C424" s="9"/>
      <c r="D424" s="8"/>
      <c r="E424" s="8"/>
      <c r="F424" s="8"/>
      <c r="G424" s="8"/>
      <c r="H424" s="8"/>
      <c r="I424" s="10"/>
      <c r="J424" s="10"/>
      <c r="K424" s="11"/>
      <c r="L424" s="12" t="str">
        <f>IF(D424="","",SUMIFS(Movimientos!$D$2:$D$2000,Movimientos!$B$2:$B$2000,A424))</f>
        <v/>
      </c>
      <c r="M424" s="12" t="str">
        <f t="shared" si="12"/>
        <v/>
      </c>
      <c r="N424" s="11"/>
      <c r="O424" s="7" t="str">
        <f t="shared" ca="1" si="13"/>
        <v/>
      </c>
      <c r="P424" s="8"/>
      <c r="Q424" s="8"/>
      <c r="R424" s="8"/>
      <c r="S424" s="8"/>
      <c r="T424" s="8"/>
      <c r="U424" s="8"/>
      <c r="V424" s="8"/>
      <c r="W424" s="8"/>
      <c r="X424" s="9"/>
      <c r="Y424" s="13"/>
      <c r="Z424" s="9"/>
    </row>
    <row r="425" spans="1:26" x14ac:dyDescent="0.3">
      <c r="A425" s="7" t="s">
        <v>1744</v>
      </c>
      <c r="B425" s="8" t="s">
        <v>47</v>
      </c>
      <c r="C425" s="9"/>
      <c r="D425" s="8"/>
      <c r="E425" s="8"/>
      <c r="F425" s="8"/>
      <c r="G425" s="8"/>
      <c r="H425" s="8"/>
      <c r="I425" s="10"/>
      <c r="J425" s="10"/>
      <c r="K425" s="11"/>
      <c r="L425" s="12" t="str">
        <f>IF(D425="","",SUMIFS(Movimientos!$D$2:$D$2000,Movimientos!$B$2:$B$2000,A425))</f>
        <v/>
      </c>
      <c r="M425" s="12" t="str">
        <f t="shared" si="12"/>
        <v/>
      </c>
      <c r="N425" s="11"/>
      <c r="O425" s="7" t="str">
        <f t="shared" ca="1" si="13"/>
        <v/>
      </c>
      <c r="P425" s="8"/>
      <c r="Q425" s="8"/>
      <c r="R425" s="8"/>
      <c r="S425" s="8"/>
      <c r="T425" s="8"/>
      <c r="U425" s="8"/>
      <c r="V425" s="8"/>
      <c r="W425" s="8"/>
      <c r="X425" s="9"/>
      <c r="Y425" s="13"/>
      <c r="Z425" s="9"/>
    </row>
    <row r="426" spans="1:26" x14ac:dyDescent="0.3">
      <c r="A426" s="7" t="s">
        <v>1745</v>
      </c>
      <c r="B426" s="8" t="s">
        <v>47</v>
      </c>
      <c r="C426" s="9"/>
      <c r="D426" s="8"/>
      <c r="E426" s="8"/>
      <c r="F426" s="8"/>
      <c r="G426" s="8"/>
      <c r="H426" s="8"/>
      <c r="I426" s="10"/>
      <c r="J426" s="10"/>
      <c r="K426" s="11"/>
      <c r="L426" s="12" t="str">
        <f>IF(D426="","",SUMIFS(Movimientos!$D$2:$D$2000,Movimientos!$B$2:$B$2000,A426))</f>
        <v/>
      </c>
      <c r="M426" s="12" t="str">
        <f t="shared" si="12"/>
        <v/>
      </c>
      <c r="N426" s="11"/>
      <c r="O426" s="7" t="str">
        <f t="shared" ca="1" si="13"/>
        <v/>
      </c>
      <c r="P426" s="8"/>
      <c r="Q426" s="8"/>
      <c r="R426" s="8"/>
      <c r="S426" s="8"/>
      <c r="T426" s="8"/>
      <c r="U426" s="8"/>
      <c r="V426" s="8"/>
      <c r="W426" s="8"/>
      <c r="X426" s="9"/>
      <c r="Y426" s="13"/>
      <c r="Z426" s="9"/>
    </row>
    <row r="427" spans="1:26" x14ac:dyDescent="0.3">
      <c r="A427" s="7" t="s">
        <v>1746</v>
      </c>
      <c r="B427" s="8" t="s">
        <v>47</v>
      </c>
      <c r="C427" s="9"/>
      <c r="D427" s="8"/>
      <c r="E427" s="8"/>
      <c r="F427" s="8"/>
      <c r="G427" s="8"/>
      <c r="H427" s="8"/>
      <c r="I427" s="10"/>
      <c r="J427" s="10"/>
      <c r="K427" s="11"/>
      <c r="L427" s="12" t="str">
        <f>IF(D427="","",SUMIFS(Movimientos!$D$2:$D$2000,Movimientos!$B$2:$B$2000,A427))</f>
        <v/>
      </c>
      <c r="M427" s="12" t="str">
        <f t="shared" si="12"/>
        <v/>
      </c>
      <c r="N427" s="11"/>
      <c r="O427" s="7" t="str">
        <f t="shared" ca="1" si="13"/>
        <v/>
      </c>
      <c r="P427" s="8"/>
      <c r="Q427" s="8"/>
      <c r="R427" s="8"/>
      <c r="S427" s="8"/>
      <c r="T427" s="8"/>
      <c r="U427" s="8"/>
      <c r="V427" s="8"/>
      <c r="W427" s="8"/>
      <c r="X427" s="9"/>
      <c r="Y427" s="13"/>
      <c r="Z427" s="9"/>
    </row>
    <row r="428" spans="1:26" x14ac:dyDescent="0.3">
      <c r="A428" s="7" t="s">
        <v>1747</v>
      </c>
      <c r="B428" s="8" t="s">
        <v>47</v>
      </c>
      <c r="C428" s="9"/>
      <c r="D428" s="8"/>
      <c r="E428" s="8"/>
      <c r="F428" s="8"/>
      <c r="G428" s="8"/>
      <c r="H428" s="8"/>
      <c r="I428" s="10"/>
      <c r="J428" s="10"/>
      <c r="K428" s="11"/>
      <c r="L428" s="12" t="str">
        <f>IF(D428="","",SUMIFS(Movimientos!$D$2:$D$2000,Movimientos!$B$2:$B$2000,A428))</f>
        <v/>
      </c>
      <c r="M428" s="12" t="str">
        <f t="shared" si="12"/>
        <v/>
      </c>
      <c r="N428" s="11"/>
      <c r="O428" s="7" t="str">
        <f t="shared" ca="1" si="13"/>
        <v/>
      </c>
      <c r="P428" s="8"/>
      <c r="Q428" s="8"/>
      <c r="R428" s="8"/>
      <c r="S428" s="8"/>
      <c r="T428" s="8"/>
      <c r="U428" s="8"/>
      <c r="V428" s="8"/>
      <c r="W428" s="8"/>
      <c r="X428" s="9"/>
      <c r="Y428" s="13"/>
      <c r="Z428" s="9"/>
    </row>
    <row r="429" spans="1:26" x14ac:dyDescent="0.3">
      <c r="A429" s="7" t="s">
        <v>1748</v>
      </c>
      <c r="B429" s="8" t="s">
        <v>47</v>
      </c>
      <c r="C429" s="9"/>
      <c r="D429" s="8"/>
      <c r="E429" s="8"/>
      <c r="F429" s="8"/>
      <c r="G429" s="8"/>
      <c r="H429" s="8"/>
      <c r="I429" s="10"/>
      <c r="J429" s="10"/>
      <c r="K429" s="11"/>
      <c r="L429" s="12" t="str">
        <f>IF(D429="","",SUMIFS(Movimientos!$D$2:$D$2000,Movimientos!$B$2:$B$2000,A429))</f>
        <v/>
      </c>
      <c r="M429" s="12" t="str">
        <f t="shared" si="12"/>
        <v/>
      </c>
      <c r="N429" s="11"/>
      <c r="O429" s="7" t="str">
        <f t="shared" ca="1" si="13"/>
        <v/>
      </c>
      <c r="P429" s="8"/>
      <c r="Q429" s="8"/>
      <c r="R429" s="8"/>
      <c r="S429" s="8"/>
      <c r="T429" s="8"/>
      <c r="U429" s="8"/>
      <c r="V429" s="8"/>
      <c r="W429" s="8"/>
      <c r="X429" s="9"/>
      <c r="Y429" s="13"/>
      <c r="Z429" s="9"/>
    </row>
    <row r="430" spans="1:26" x14ac:dyDescent="0.3">
      <c r="A430" s="7" t="s">
        <v>1749</v>
      </c>
      <c r="B430" s="8" t="s">
        <v>47</v>
      </c>
      <c r="C430" s="9"/>
      <c r="D430" s="8"/>
      <c r="E430" s="8"/>
      <c r="F430" s="8"/>
      <c r="G430" s="8"/>
      <c r="H430" s="8"/>
      <c r="I430" s="10"/>
      <c r="J430" s="10"/>
      <c r="K430" s="11"/>
      <c r="L430" s="12" t="str">
        <f>IF(D430="","",SUMIFS(Movimientos!$D$2:$D$2000,Movimientos!$B$2:$B$2000,A430))</f>
        <v/>
      </c>
      <c r="M430" s="12" t="str">
        <f t="shared" si="12"/>
        <v/>
      </c>
      <c r="N430" s="11"/>
      <c r="O430" s="7" t="str">
        <f t="shared" ca="1" si="13"/>
        <v/>
      </c>
      <c r="P430" s="8"/>
      <c r="Q430" s="8"/>
      <c r="R430" s="8"/>
      <c r="S430" s="8"/>
      <c r="T430" s="8"/>
      <c r="U430" s="8"/>
      <c r="V430" s="8"/>
      <c r="W430" s="8"/>
      <c r="X430" s="9"/>
      <c r="Y430" s="13"/>
      <c r="Z430" s="9"/>
    </row>
    <row r="431" spans="1:26" x14ac:dyDescent="0.3">
      <c r="A431" s="7" t="s">
        <v>1750</v>
      </c>
      <c r="B431" s="8" t="s">
        <v>47</v>
      </c>
      <c r="C431" s="9"/>
      <c r="D431" s="8"/>
      <c r="E431" s="8"/>
      <c r="F431" s="8"/>
      <c r="G431" s="8"/>
      <c r="H431" s="8"/>
      <c r="I431" s="10"/>
      <c r="J431" s="10"/>
      <c r="K431" s="11"/>
      <c r="L431" s="12" t="str">
        <f>IF(D431="","",SUMIFS(Movimientos!$D$2:$D$2000,Movimientos!$B$2:$B$2000,A431))</f>
        <v/>
      </c>
      <c r="M431" s="12" t="str">
        <f t="shared" si="12"/>
        <v/>
      </c>
      <c r="N431" s="11"/>
      <c r="O431" s="7" t="str">
        <f t="shared" ca="1" si="13"/>
        <v/>
      </c>
      <c r="P431" s="8"/>
      <c r="Q431" s="8"/>
      <c r="R431" s="8"/>
      <c r="S431" s="8"/>
      <c r="T431" s="8"/>
      <c r="U431" s="8"/>
      <c r="V431" s="8"/>
      <c r="W431" s="8"/>
      <c r="X431" s="9"/>
      <c r="Y431" s="13"/>
      <c r="Z431" s="9"/>
    </row>
    <row r="432" spans="1:26" x14ac:dyDescent="0.3">
      <c r="A432" s="7" t="s">
        <v>1751</v>
      </c>
      <c r="B432" s="8" t="s">
        <v>47</v>
      </c>
      <c r="C432" s="9"/>
      <c r="D432" s="8"/>
      <c r="E432" s="8"/>
      <c r="F432" s="8"/>
      <c r="G432" s="8"/>
      <c r="H432" s="8"/>
      <c r="I432" s="10"/>
      <c r="J432" s="10"/>
      <c r="K432" s="11"/>
      <c r="L432" s="12" t="str">
        <f>IF(D432="","",SUMIFS(Movimientos!$D$2:$D$2000,Movimientos!$B$2:$B$2000,A432))</f>
        <v/>
      </c>
      <c r="M432" s="12" t="str">
        <f t="shared" si="12"/>
        <v/>
      </c>
      <c r="N432" s="11"/>
      <c r="O432" s="7" t="str">
        <f t="shared" ca="1" si="13"/>
        <v/>
      </c>
      <c r="P432" s="8"/>
      <c r="Q432" s="8"/>
      <c r="R432" s="8"/>
      <c r="S432" s="8"/>
      <c r="T432" s="8"/>
      <c r="U432" s="8"/>
      <c r="V432" s="8"/>
      <c r="W432" s="8"/>
      <c r="X432" s="9"/>
      <c r="Y432" s="13"/>
      <c r="Z432" s="9"/>
    </row>
    <row r="433" spans="1:26" x14ac:dyDescent="0.3">
      <c r="A433" s="7" t="s">
        <v>1752</v>
      </c>
      <c r="B433" s="8" t="s">
        <v>47</v>
      </c>
      <c r="C433" s="9"/>
      <c r="D433" s="8"/>
      <c r="E433" s="8"/>
      <c r="F433" s="8"/>
      <c r="G433" s="8"/>
      <c r="H433" s="8"/>
      <c r="I433" s="10"/>
      <c r="J433" s="10"/>
      <c r="K433" s="11"/>
      <c r="L433" s="12" t="str">
        <f>IF(D433="","",SUMIFS(Movimientos!$D$2:$D$2000,Movimientos!$B$2:$B$2000,A433))</f>
        <v/>
      </c>
      <c r="M433" s="12" t="str">
        <f t="shared" si="12"/>
        <v/>
      </c>
      <c r="N433" s="11"/>
      <c r="O433" s="7" t="str">
        <f t="shared" ca="1" si="13"/>
        <v/>
      </c>
      <c r="P433" s="8"/>
      <c r="Q433" s="8"/>
      <c r="R433" s="8"/>
      <c r="S433" s="8"/>
      <c r="T433" s="8"/>
      <c r="U433" s="8"/>
      <c r="V433" s="8"/>
      <c r="W433" s="8"/>
      <c r="X433" s="9"/>
      <c r="Y433" s="13"/>
      <c r="Z433" s="9"/>
    </row>
    <row r="434" spans="1:26" x14ac:dyDescent="0.3">
      <c r="A434" s="7" t="s">
        <v>1753</v>
      </c>
      <c r="B434" s="8" t="s">
        <v>47</v>
      </c>
      <c r="C434" s="9"/>
      <c r="D434" s="8"/>
      <c r="E434" s="8"/>
      <c r="F434" s="8"/>
      <c r="G434" s="8"/>
      <c r="H434" s="8"/>
      <c r="I434" s="10"/>
      <c r="J434" s="10"/>
      <c r="K434" s="11"/>
      <c r="L434" s="12" t="str">
        <f>IF(D434="","",SUMIFS(Movimientos!$D$2:$D$2000,Movimientos!$B$2:$B$2000,A434))</f>
        <v/>
      </c>
      <c r="M434" s="12" t="str">
        <f t="shared" si="12"/>
        <v/>
      </c>
      <c r="N434" s="11"/>
      <c r="O434" s="7" t="str">
        <f t="shared" ca="1" si="13"/>
        <v/>
      </c>
      <c r="P434" s="8"/>
      <c r="Q434" s="8"/>
      <c r="R434" s="8"/>
      <c r="S434" s="8"/>
      <c r="T434" s="8"/>
      <c r="U434" s="8"/>
      <c r="V434" s="8"/>
      <c r="W434" s="8"/>
      <c r="X434" s="9"/>
      <c r="Y434" s="13"/>
      <c r="Z434" s="9"/>
    </row>
    <row r="435" spans="1:26" x14ac:dyDescent="0.3">
      <c r="A435" s="7" t="s">
        <v>1754</v>
      </c>
      <c r="B435" s="8" t="s">
        <v>47</v>
      </c>
      <c r="C435" s="9"/>
      <c r="D435" s="8"/>
      <c r="E435" s="8"/>
      <c r="F435" s="8"/>
      <c r="G435" s="8"/>
      <c r="H435" s="8"/>
      <c r="I435" s="10"/>
      <c r="J435" s="10"/>
      <c r="K435" s="11"/>
      <c r="L435" s="12" t="str">
        <f>IF(D435="","",SUMIFS(Movimientos!$D$2:$D$2000,Movimientos!$B$2:$B$2000,A435))</f>
        <v/>
      </c>
      <c r="M435" s="12" t="str">
        <f t="shared" si="12"/>
        <v/>
      </c>
      <c r="N435" s="11"/>
      <c r="O435" s="7" t="str">
        <f t="shared" ca="1" si="13"/>
        <v/>
      </c>
      <c r="P435" s="8"/>
      <c r="Q435" s="8"/>
      <c r="R435" s="8"/>
      <c r="S435" s="8"/>
      <c r="T435" s="8"/>
      <c r="U435" s="8"/>
      <c r="V435" s="8"/>
      <c r="W435" s="8"/>
      <c r="X435" s="9"/>
      <c r="Y435" s="13"/>
      <c r="Z435" s="9"/>
    </row>
  </sheetData>
  <autoFilter ref="A1:Z435" xr:uid="{00000000-0009-0000-0000-000002000000}"/>
  <conditionalFormatting sqref="A2:Z435">
    <cfRule type="expression" dxfId="13" priority="1">
      <formula>$B2="Sí"</formula>
    </cfRule>
  </conditionalFormatting>
  <conditionalFormatting sqref="D2:D435">
    <cfRule type="expression" dxfId="12" priority="6">
      <formula>AND(D2&lt;&gt;"",COUNTIFS($D$2:$D$435,D2,$P$2:$P$435,P2,$T$2:$T$435,T2)&gt;1)</formula>
    </cfRule>
  </conditionalFormatting>
  <conditionalFormatting sqref="M2:M435">
    <cfRule type="expression" dxfId="11" priority="4">
      <formula>AND(ISNUMBER(M2),M2&lt;0)</formula>
    </cfRule>
    <cfRule type="expression" dxfId="10" priority="5">
      <formula>AND(ISNUMBER(M2),M2=0)</formula>
    </cfRule>
  </conditionalFormatting>
  <conditionalFormatting sqref="O2:O435">
    <cfRule type="expression" dxfId="9" priority="2">
      <formula>$O2="VENCIDO"</formula>
    </cfRule>
    <cfRule type="expression" dxfId="8" priority="3">
      <formula>$O2="Por vencer"</formula>
    </cfRule>
  </conditionalFormatting>
  <dataValidations count="3">
    <dataValidation type="list" allowBlank="1" showErrorMessage="1" sqref="B2:B435" xr:uid="{00000000-0002-0000-0200-000000000000}">
      <formula1>"Sí,No"</formula1>
    </dataValidation>
    <dataValidation type="decimal" operator="greaterThanOrEqual" allowBlank="1" showErrorMessage="1" error="Debe ser un número mayor o igual a 0" sqref="I2:I435 J2:J435" xr:uid="{00000000-0002-0000-0200-000005000000}">
      <formula1>0</formula1>
    </dataValidation>
    <dataValidation type="date" operator="greaterThan" allowBlank="1" showErrorMessage="1" error="Use una fecha válida (dd/mm/aaaa)" sqref="K2:K435 N2:N435" xr:uid="{00000000-0002-0000-0200-000006000000}">
      <formula1>32874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200-000001000000}">
          <x14:formula1>
            <xm:f>Listas!$A$2:$A$4</xm:f>
          </x14:formula1>
          <xm:sqref>H2:H435</xm:sqref>
        </x14:dataValidation>
        <x14:dataValidation type="list" allowBlank="1" showErrorMessage="1" xr:uid="{00000000-0002-0000-0200-000002000000}">
          <x14:formula1>
            <xm:f>Listas!$B$2:$B$4</xm:f>
          </x14:formula1>
          <xm:sqref>G2:G435</xm:sqref>
        </x14:dataValidation>
        <x14:dataValidation type="list" allowBlank="1" showErrorMessage="1" xr:uid="{00000000-0002-0000-0200-000003000000}">
          <x14:formula1>
            <xm:f>Listas!$C$2:$C$3</xm:f>
          </x14:formula1>
          <xm:sqref>W2:W435</xm:sqref>
        </x14:dataValidation>
        <x14:dataValidation type="list" errorStyle="warning" allowBlank="1" showErrorMessage="1" error="Clase nueva: confirme que es correcta." xr:uid="{00000000-0002-0000-0200-000004000000}">
          <x14:formula1>
            <xm:f>Listas!$K$2:$K$16</xm:f>
          </x14:formula1>
          <xm:sqref>S2:S435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15" customWidth="1"/>
    <col min="3" max="3" width="40" customWidth="1"/>
    <col min="4" max="4" width="13" customWidth="1"/>
    <col min="5" max="5" width="9" customWidth="1"/>
    <col min="6" max="6" width="34" customWidth="1"/>
    <col min="7" max="7" width="20" customWidth="1"/>
    <col min="8" max="8" width="34" customWidth="1"/>
  </cols>
  <sheetData>
    <row r="1" spans="1:8" ht="42" customHeight="1" x14ac:dyDescent="0.3">
      <c r="A1" s="6" t="s">
        <v>1755</v>
      </c>
      <c r="B1" s="6" t="s">
        <v>1756</v>
      </c>
      <c r="C1" s="5" t="s">
        <v>32</v>
      </c>
      <c r="D1" s="6" t="s">
        <v>1757</v>
      </c>
      <c r="E1" s="5" t="s">
        <v>19</v>
      </c>
      <c r="F1" s="6" t="s">
        <v>1758</v>
      </c>
      <c r="G1" s="6" t="s">
        <v>1759</v>
      </c>
      <c r="H1" s="6" t="s">
        <v>1760</v>
      </c>
    </row>
    <row r="2" spans="1:8" x14ac:dyDescent="0.3">
      <c r="A2" s="11"/>
      <c r="B2" s="8"/>
      <c r="C2" s="7" t="str">
        <f>IF(B2="","",IFERROR(INDEX(Reactivos!$D$2:$D$435,MATCH(B2,Reactivos!$A$2:$A$435,0)),"ID no existe"))</f>
        <v/>
      </c>
      <c r="D2" s="8"/>
      <c r="E2" s="7" t="str">
        <f>IF(B2="","",IFERROR(INDEX(Reactivos!$H$2:$H$435,MATCH(B2,Reactivos!$A$2:$A$435,0)),""))</f>
        <v/>
      </c>
      <c r="F2" s="8"/>
      <c r="G2" s="8"/>
      <c r="H2" s="13"/>
    </row>
    <row r="3" spans="1:8" x14ac:dyDescent="0.3">
      <c r="A3" s="11"/>
      <c r="B3" s="8"/>
      <c r="C3" s="7" t="str">
        <f>IF(B3="","",IFERROR(INDEX(Reactivos!$D$2:$D$435,MATCH(B3,Reactivos!$A$2:$A$435,0)),"ID no existe"))</f>
        <v/>
      </c>
      <c r="D3" s="8"/>
      <c r="E3" s="7" t="str">
        <f>IF(B3="","",IFERROR(INDEX(Reactivos!$H$2:$H$435,MATCH(B3,Reactivos!$A$2:$A$435,0)),""))</f>
        <v/>
      </c>
      <c r="F3" s="8"/>
      <c r="G3" s="8"/>
      <c r="H3" s="13"/>
    </row>
    <row r="4" spans="1:8" x14ac:dyDescent="0.3">
      <c r="A4" s="11"/>
      <c r="B4" s="8"/>
      <c r="C4" s="7" t="str">
        <f>IF(B4="","",IFERROR(INDEX(Reactivos!$D$2:$D$435,MATCH(B4,Reactivos!$A$2:$A$435,0)),"ID no existe"))</f>
        <v/>
      </c>
      <c r="D4" s="8"/>
      <c r="E4" s="7" t="str">
        <f>IF(B4="","",IFERROR(INDEX(Reactivos!$H$2:$H$435,MATCH(B4,Reactivos!$A$2:$A$435,0)),""))</f>
        <v/>
      </c>
      <c r="F4" s="8"/>
      <c r="G4" s="8"/>
      <c r="H4" s="13"/>
    </row>
    <row r="5" spans="1:8" x14ac:dyDescent="0.3">
      <c r="A5" s="11"/>
      <c r="B5" s="8"/>
      <c r="C5" s="7" t="str">
        <f>IF(B5="","",IFERROR(INDEX(Reactivos!$D$2:$D$435,MATCH(B5,Reactivos!$A$2:$A$435,0)),"ID no existe"))</f>
        <v/>
      </c>
      <c r="D5" s="8"/>
      <c r="E5" s="7" t="str">
        <f>IF(B5="","",IFERROR(INDEX(Reactivos!$H$2:$H$435,MATCH(B5,Reactivos!$A$2:$A$435,0)),""))</f>
        <v/>
      </c>
      <c r="F5" s="8"/>
      <c r="G5" s="8"/>
      <c r="H5" s="13"/>
    </row>
    <row r="6" spans="1:8" x14ac:dyDescent="0.3">
      <c r="A6" s="11"/>
      <c r="B6" s="8"/>
      <c r="C6" s="7" t="str">
        <f>IF(B6="","",IFERROR(INDEX(Reactivos!$D$2:$D$435,MATCH(B6,Reactivos!$A$2:$A$435,0)),"ID no existe"))</f>
        <v/>
      </c>
      <c r="D6" s="8"/>
      <c r="E6" s="7" t="str">
        <f>IF(B6="","",IFERROR(INDEX(Reactivos!$H$2:$H$435,MATCH(B6,Reactivos!$A$2:$A$435,0)),""))</f>
        <v/>
      </c>
      <c r="F6" s="8"/>
      <c r="G6" s="8"/>
      <c r="H6" s="13"/>
    </row>
    <row r="7" spans="1:8" x14ac:dyDescent="0.3">
      <c r="A7" s="11"/>
      <c r="B7" s="8"/>
      <c r="C7" s="7" t="str">
        <f>IF(B7="","",IFERROR(INDEX(Reactivos!$D$2:$D$435,MATCH(B7,Reactivos!$A$2:$A$435,0)),"ID no existe"))</f>
        <v/>
      </c>
      <c r="D7" s="8"/>
      <c r="E7" s="7" t="str">
        <f>IF(B7="","",IFERROR(INDEX(Reactivos!$H$2:$H$435,MATCH(B7,Reactivos!$A$2:$A$435,0)),""))</f>
        <v/>
      </c>
      <c r="F7" s="8"/>
      <c r="G7" s="8"/>
      <c r="H7" s="13"/>
    </row>
    <row r="8" spans="1:8" x14ac:dyDescent="0.3">
      <c r="A8" s="11"/>
      <c r="B8" s="8"/>
      <c r="C8" s="7" t="str">
        <f>IF(B8="","",IFERROR(INDEX(Reactivos!$D$2:$D$435,MATCH(B8,Reactivos!$A$2:$A$435,0)),"ID no existe"))</f>
        <v/>
      </c>
      <c r="D8" s="8"/>
      <c r="E8" s="7" t="str">
        <f>IF(B8="","",IFERROR(INDEX(Reactivos!$H$2:$H$435,MATCH(B8,Reactivos!$A$2:$A$435,0)),""))</f>
        <v/>
      </c>
      <c r="F8" s="8"/>
      <c r="G8" s="8"/>
      <c r="H8" s="13"/>
    </row>
    <row r="9" spans="1:8" x14ac:dyDescent="0.3">
      <c r="A9" s="11"/>
      <c r="B9" s="8"/>
      <c r="C9" s="7" t="str">
        <f>IF(B9="","",IFERROR(INDEX(Reactivos!$D$2:$D$435,MATCH(B9,Reactivos!$A$2:$A$435,0)),"ID no existe"))</f>
        <v/>
      </c>
      <c r="D9" s="8"/>
      <c r="E9" s="7" t="str">
        <f>IF(B9="","",IFERROR(INDEX(Reactivos!$H$2:$H$435,MATCH(B9,Reactivos!$A$2:$A$435,0)),""))</f>
        <v/>
      </c>
      <c r="F9" s="8"/>
      <c r="G9" s="8"/>
      <c r="H9" s="13"/>
    </row>
    <row r="10" spans="1:8" x14ac:dyDescent="0.3">
      <c r="A10" s="11"/>
      <c r="B10" s="8"/>
      <c r="C10" s="7" t="str">
        <f>IF(B10="","",IFERROR(INDEX(Reactivos!$D$2:$D$435,MATCH(B10,Reactivos!$A$2:$A$435,0)),"ID no existe"))</f>
        <v/>
      </c>
      <c r="D10" s="8"/>
      <c r="E10" s="7" t="str">
        <f>IF(B10="","",IFERROR(INDEX(Reactivos!$H$2:$H$435,MATCH(B10,Reactivos!$A$2:$A$435,0)),""))</f>
        <v/>
      </c>
      <c r="F10" s="8"/>
      <c r="G10" s="8"/>
      <c r="H10" s="13"/>
    </row>
    <row r="11" spans="1:8" x14ac:dyDescent="0.3">
      <c r="A11" s="11"/>
      <c r="B11" s="8"/>
      <c r="C11" s="7" t="str">
        <f>IF(B11="","",IFERROR(INDEX(Reactivos!$D$2:$D$435,MATCH(B11,Reactivos!$A$2:$A$435,0)),"ID no existe"))</f>
        <v/>
      </c>
      <c r="D11" s="8"/>
      <c r="E11" s="7" t="str">
        <f>IF(B11="","",IFERROR(INDEX(Reactivos!$H$2:$H$435,MATCH(B11,Reactivos!$A$2:$A$435,0)),""))</f>
        <v/>
      </c>
      <c r="F11" s="8"/>
      <c r="G11" s="8"/>
      <c r="H11" s="13"/>
    </row>
    <row r="12" spans="1:8" x14ac:dyDescent="0.3">
      <c r="A12" s="11"/>
      <c r="B12" s="8"/>
      <c r="C12" s="7" t="str">
        <f>IF(B12="","",IFERROR(INDEX(Reactivos!$D$2:$D$435,MATCH(B12,Reactivos!$A$2:$A$435,0)),"ID no existe"))</f>
        <v/>
      </c>
      <c r="D12" s="8"/>
      <c r="E12" s="7" t="str">
        <f>IF(B12="","",IFERROR(INDEX(Reactivos!$H$2:$H$435,MATCH(B12,Reactivos!$A$2:$A$435,0)),""))</f>
        <v/>
      </c>
      <c r="F12" s="8"/>
      <c r="G12" s="8"/>
      <c r="H12" s="13"/>
    </row>
    <row r="13" spans="1:8" x14ac:dyDescent="0.3">
      <c r="A13" s="11"/>
      <c r="B13" s="8"/>
      <c r="C13" s="7" t="str">
        <f>IF(B13="","",IFERROR(INDEX(Reactivos!$D$2:$D$435,MATCH(B13,Reactivos!$A$2:$A$435,0)),"ID no existe"))</f>
        <v/>
      </c>
      <c r="D13" s="8"/>
      <c r="E13" s="7" t="str">
        <f>IF(B13="","",IFERROR(INDEX(Reactivos!$H$2:$H$435,MATCH(B13,Reactivos!$A$2:$A$435,0)),""))</f>
        <v/>
      </c>
      <c r="F13" s="8"/>
      <c r="G13" s="8"/>
      <c r="H13" s="13"/>
    </row>
    <row r="14" spans="1:8" x14ac:dyDescent="0.3">
      <c r="A14" s="11"/>
      <c r="B14" s="8"/>
      <c r="C14" s="7" t="str">
        <f>IF(B14="","",IFERROR(INDEX(Reactivos!$D$2:$D$435,MATCH(B14,Reactivos!$A$2:$A$435,0)),"ID no existe"))</f>
        <v/>
      </c>
      <c r="D14" s="8"/>
      <c r="E14" s="7" t="str">
        <f>IF(B14="","",IFERROR(INDEX(Reactivos!$H$2:$H$435,MATCH(B14,Reactivos!$A$2:$A$435,0)),""))</f>
        <v/>
      </c>
      <c r="F14" s="8"/>
      <c r="G14" s="8"/>
      <c r="H14" s="13"/>
    </row>
    <row r="15" spans="1:8" x14ac:dyDescent="0.3">
      <c r="A15" s="11"/>
      <c r="B15" s="8"/>
      <c r="C15" s="7" t="str">
        <f>IF(B15="","",IFERROR(INDEX(Reactivos!$D$2:$D$435,MATCH(B15,Reactivos!$A$2:$A$435,0)),"ID no existe"))</f>
        <v/>
      </c>
      <c r="D15" s="8"/>
      <c r="E15" s="7" t="str">
        <f>IF(B15="","",IFERROR(INDEX(Reactivos!$H$2:$H$435,MATCH(B15,Reactivos!$A$2:$A$435,0)),""))</f>
        <v/>
      </c>
      <c r="F15" s="8"/>
      <c r="G15" s="8"/>
      <c r="H15" s="13"/>
    </row>
    <row r="16" spans="1:8" x14ac:dyDescent="0.3">
      <c r="A16" s="11"/>
      <c r="B16" s="8"/>
      <c r="C16" s="7" t="str">
        <f>IF(B16="","",IFERROR(INDEX(Reactivos!$D$2:$D$435,MATCH(B16,Reactivos!$A$2:$A$435,0)),"ID no existe"))</f>
        <v/>
      </c>
      <c r="D16" s="8"/>
      <c r="E16" s="7" t="str">
        <f>IF(B16="","",IFERROR(INDEX(Reactivos!$H$2:$H$435,MATCH(B16,Reactivos!$A$2:$A$435,0)),""))</f>
        <v/>
      </c>
      <c r="F16" s="8"/>
      <c r="G16" s="8"/>
      <c r="H16" s="13"/>
    </row>
    <row r="17" spans="1:8" x14ac:dyDescent="0.3">
      <c r="A17" s="11"/>
      <c r="B17" s="8"/>
      <c r="C17" s="7" t="str">
        <f>IF(B17="","",IFERROR(INDEX(Reactivos!$D$2:$D$435,MATCH(B17,Reactivos!$A$2:$A$435,0)),"ID no existe"))</f>
        <v/>
      </c>
      <c r="D17" s="8"/>
      <c r="E17" s="7" t="str">
        <f>IF(B17="","",IFERROR(INDEX(Reactivos!$H$2:$H$435,MATCH(B17,Reactivos!$A$2:$A$435,0)),""))</f>
        <v/>
      </c>
      <c r="F17" s="8"/>
      <c r="G17" s="8"/>
      <c r="H17" s="13"/>
    </row>
    <row r="18" spans="1:8" x14ac:dyDescent="0.3">
      <c r="A18" s="11"/>
      <c r="B18" s="8"/>
      <c r="C18" s="7" t="str">
        <f>IF(B18="","",IFERROR(INDEX(Reactivos!$D$2:$D$435,MATCH(B18,Reactivos!$A$2:$A$435,0)),"ID no existe"))</f>
        <v/>
      </c>
      <c r="D18" s="8"/>
      <c r="E18" s="7" t="str">
        <f>IF(B18="","",IFERROR(INDEX(Reactivos!$H$2:$H$435,MATCH(B18,Reactivos!$A$2:$A$435,0)),""))</f>
        <v/>
      </c>
      <c r="F18" s="8"/>
      <c r="G18" s="8"/>
      <c r="H18" s="13"/>
    </row>
    <row r="19" spans="1:8" x14ac:dyDescent="0.3">
      <c r="A19" s="11"/>
      <c r="B19" s="8"/>
      <c r="C19" s="7" t="str">
        <f>IF(B19="","",IFERROR(INDEX(Reactivos!$D$2:$D$435,MATCH(B19,Reactivos!$A$2:$A$435,0)),"ID no existe"))</f>
        <v/>
      </c>
      <c r="D19" s="8"/>
      <c r="E19" s="7" t="str">
        <f>IF(B19="","",IFERROR(INDEX(Reactivos!$H$2:$H$435,MATCH(B19,Reactivos!$A$2:$A$435,0)),""))</f>
        <v/>
      </c>
      <c r="F19" s="8"/>
      <c r="G19" s="8"/>
      <c r="H19" s="13"/>
    </row>
    <row r="20" spans="1:8" x14ac:dyDescent="0.3">
      <c r="A20" s="11"/>
      <c r="B20" s="8"/>
      <c r="C20" s="7" t="str">
        <f>IF(B20="","",IFERROR(INDEX(Reactivos!$D$2:$D$435,MATCH(B20,Reactivos!$A$2:$A$435,0)),"ID no existe"))</f>
        <v/>
      </c>
      <c r="D20" s="8"/>
      <c r="E20" s="7" t="str">
        <f>IF(B20="","",IFERROR(INDEX(Reactivos!$H$2:$H$435,MATCH(B20,Reactivos!$A$2:$A$435,0)),""))</f>
        <v/>
      </c>
      <c r="F20" s="8"/>
      <c r="G20" s="8"/>
      <c r="H20" s="13"/>
    </row>
    <row r="21" spans="1:8" x14ac:dyDescent="0.3">
      <c r="A21" s="11"/>
      <c r="B21" s="8"/>
      <c r="C21" s="7" t="str">
        <f>IF(B21="","",IFERROR(INDEX(Reactivos!$D$2:$D$435,MATCH(B21,Reactivos!$A$2:$A$435,0)),"ID no existe"))</f>
        <v/>
      </c>
      <c r="D21" s="8"/>
      <c r="E21" s="7" t="str">
        <f>IF(B21="","",IFERROR(INDEX(Reactivos!$H$2:$H$435,MATCH(B21,Reactivos!$A$2:$A$435,0)),""))</f>
        <v/>
      </c>
      <c r="F21" s="8"/>
      <c r="G21" s="8"/>
      <c r="H21" s="13"/>
    </row>
    <row r="22" spans="1:8" x14ac:dyDescent="0.3">
      <c r="A22" s="11"/>
      <c r="B22" s="8"/>
      <c r="C22" s="7" t="str">
        <f>IF(B22="","",IFERROR(INDEX(Reactivos!$D$2:$D$435,MATCH(B22,Reactivos!$A$2:$A$435,0)),"ID no existe"))</f>
        <v/>
      </c>
      <c r="D22" s="8"/>
      <c r="E22" s="7" t="str">
        <f>IF(B22="","",IFERROR(INDEX(Reactivos!$H$2:$H$435,MATCH(B22,Reactivos!$A$2:$A$435,0)),""))</f>
        <v/>
      </c>
      <c r="F22" s="8"/>
      <c r="G22" s="8"/>
      <c r="H22" s="13"/>
    </row>
    <row r="23" spans="1:8" x14ac:dyDescent="0.3">
      <c r="A23" s="11"/>
      <c r="B23" s="8"/>
      <c r="C23" s="7" t="str">
        <f>IF(B23="","",IFERROR(INDEX(Reactivos!$D$2:$D$435,MATCH(B23,Reactivos!$A$2:$A$435,0)),"ID no existe"))</f>
        <v/>
      </c>
      <c r="D23" s="8"/>
      <c r="E23" s="7" t="str">
        <f>IF(B23="","",IFERROR(INDEX(Reactivos!$H$2:$H$435,MATCH(B23,Reactivos!$A$2:$A$435,0)),""))</f>
        <v/>
      </c>
      <c r="F23" s="8"/>
      <c r="G23" s="8"/>
      <c r="H23" s="13"/>
    </row>
    <row r="24" spans="1:8" x14ac:dyDescent="0.3">
      <c r="A24" s="11"/>
      <c r="B24" s="8"/>
      <c r="C24" s="7" t="str">
        <f>IF(B24="","",IFERROR(INDEX(Reactivos!$D$2:$D$435,MATCH(B24,Reactivos!$A$2:$A$435,0)),"ID no existe"))</f>
        <v/>
      </c>
      <c r="D24" s="8"/>
      <c r="E24" s="7" t="str">
        <f>IF(B24="","",IFERROR(INDEX(Reactivos!$H$2:$H$435,MATCH(B24,Reactivos!$A$2:$A$435,0)),""))</f>
        <v/>
      </c>
      <c r="F24" s="8"/>
      <c r="G24" s="8"/>
      <c r="H24" s="13"/>
    </row>
    <row r="25" spans="1:8" x14ac:dyDescent="0.3">
      <c r="A25" s="11"/>
      <c r="B25" s="8"/>
      <c r="C25" s="7" t="str">
        <f>IF(B25="","",IFERROR(INDEX(Reactivos!$D$2:$D$435,MATCH(B25,Reactivos!$A$2:$A$435,0)),"ID no existe"))</f>
        <v/>
      </c>
      <c r="D25" s="8"/>
      <c r="E25" s="7" t="str">
        <f>IF(B25="","",IFERROR(INDEX(Reactivos!$H$2:$H$435,MATCH(B25,Reactivos!$A$2:$A$435,0)),""))</f>
        <v/>
      </c>
      <c r="F25" s="8"/>
      <c r="G25" s="8"/>
      <c r="H25" s="13"/>
    </row>
    <row r="26" spans="1:8" x14ac:dyDescent="0.3">
      <c r="A26" s="11"/>
      <c r="B26" s="8"/>
      <c r="C26" s="7" t="str">
        <f>IF(B26="","",IFERROR(INDEX(Reactivos!$D$2:$D$435,MATCH(B26,Reactivos!$A$2:$A$435,0)),"ID no existe"))</f>
        <v/>
      </c>
      <c r="D26" s="8"/>
      <c r="E26" s="7" t="str">
        <f>IF(B26="","",IFERROR(INDEX(Reactivos!$H$2:$H$435,MATCH(B26,Reactivos!$A$2:$A$435,0)),""))</f>
        <v/>
      </c>
      <c r="F26" s="8"/>
      <c r="G26" s="8"/>
      <c r="H26" s="13"/>
    </row>
    <row r="27" spans="1:8" x14ac:dyDescent="0.3">
      <c r="A27" s="11"/>
      <c r="B27" s="8"/>
      <c r="C27" s="7" t="str">
        <f>IF(B27="","",IFERROR(INDEX(Reactivos!$D$2:$D$435,MATCH(B27,Reactivos!$A$2:$A$435,0)),"ID no existe"))</f>
        <v/>
      </c>
      <c r="D27" s="8"/>
      <c r="E27" s="7" t="str">
        <f>IF(B27="","",IFERROR(INDEX(Reactivos!$H$2:$H$435,MATCH(B27,Reactivos!$A$2:$A$435,0)),""))</f>
        <v/>
      </c>
      <c r="F27" s="8"/>
      <c r="G27" s="8"/>
      <c r="H27" s="13"/>
    </row>
    <row r="28" spans="1:8" x14ac:dyDescent="0.3">
      <c r="A28" s="11"/>
      <c r="B28" s="8"/>
      <c r="C28" s="7" t="str">
        <f>IF(B28="","",IFERROR(INDEX(Reactivos!$D$2:$D$435,MATCH(B28,Reactivos!$A$2:$A$435,0)),"ID no existe"))</f>
        <v/>
      </c>
      <c r="D28" s="8"/>
      <c r="E28" s="7" t="str">
        <f>IF(B28="","",IFERROR(INDEX(Reactivos!$H$2:$H$435,MATCH(B28,Reactivos!$A$2:$A$435,0)),""))</f>
        <v/>
      </c>
      <c r="F28" s="8"/>
      <c r="G28" s="8"/>
      <c r="H28" s="13"/>
    </row>
    <row r="29" spans="1:8" x14ac:dyDescent="0.3">
      <c r="A29" s="11"/>
      <c r="B29" s="8"/>
      <c r="C29" s="7" t="str">
        <f>IF(B29="","",IFERROR(INDEX(Reactivos!$D$2:$D$435,MATCH(B29,Reactivos!$A$2:$A$435,0)),"ID no existe"))</f>
        <v/>
      </c>
      <c r="D29" s="8"/>
      <c r="E29" s="7" t="str">
        <f>IF(B29="","",IFERROR(INDEX(Reactivos!$H$2:$H$435,MATCH(B29,Reactivos!$A$2:$A$435,0)),""))</f>
        <v/>
      </c>
      <c r="F29" s="8"/>
      <c r="G29" s="8"/>
      <c r="H29" s="13"/>
    </row>
    <row r="30" spans="1:8" x14ac:dyDescent="0.3">
      <c r="A30" s="11"/>
      <c r="B30" s="8"/>
      <c r="C30" s="7" t="str">
        <f>IF(B30="","",IFERROR(INDEX(Reactivos!$D$2:$D$435,MATCH(B30,Reactivos!$A$2:$A$435,0)),"ID no existe"))</f>
        <v/>
      </c>
      <c r="D30" s="8"/>
      <c r="E30" s="7" t="str">
        <f>IF(B30="","",IFERROR(INDEX(Reactivos!$H$2:$H$435,MATCH(B30,Reactivos!$A$2:$A$435,0)),""))</f>
        <v/>
      </c>
      <c r="F30" s="8"/>
      <c r="G30" s="8"/>
      <c r="H30" s="13"/>
    </row>
    <row r="31" spans="1:8" x14ac:dyDescent="0.3">
      <c r="A31" s="11"/>
      <c r="B31" s="8"/>
      <c r="C31" s="7" t="str">
        <f>IF(B31="","",IFERROR(INDEX(Reactivos!$D$2:$D$435,MATCH(B31,Reactivos!$A$2:$A$435,0)),"ID no existe"))</f>
        <v/>
      </c>
      <c r="D31" s="8"/>
      <c r="E31" s="7" t="str">
        <f>IF(B31="","",IFERROR(INDEX(Reactivos!$H$2:$H$435,MATCH(B31,Reactivos!$A$2:$A$435,0)),""))</f>
        <v/>
      </c>
      <c r="F31" s="8"/>
      <c r="G31" s="8"/>
      <c r="H31" s="13"/>
    </row>
    <row r="32" spans="1:8" x14ac:dyDescent="0.3">
      <c r="A32" s="11"/>
      <c r="B32" s="8"/>
      <c r="C32" s="7" t="str">
        <f>IF(B32="","",IFERROR(INDEX(Reactivos!$D$2:$D$435,MATCH(B32,Reactivos!$A$2:$A$435,0)),"ID no existe"))</f>
        <v/>
      </c>
      <c r="D32" s="8"/>
      <c r="E32" s="7" t="str">
        <f>IF(B32="","",IFERROR(INDEX(Reactivos!$H$2:$H$435,MATCH(B32,Reactivos!$A$2:$A$435,0)),""))</f>
        <v/>
      </c>
      <c r="F32" s="8"/>
      <c r="G32" s="8"/>
      <c r="H32" s="13"/>
    </row>
    <row r="33" spans="1:8" x14ac:dyDescent="0.3">
      <c r="A33" s="11"/>
      <c r="B33" s="8"/>
      <c r="C33" s="7" t="str">
        <f>IF(B33="","",IFERROR(INDEX(Reactivos!$D$2:$D$435,MATCH(B33,Reactivos!$A$2:$A$435,0)),"ID no existe"))</f>
        <v/>
      </c>
      <c r="D33" s="8"/>
      <c r="E33" s="7" t="str">
        <f>IF(B33="","",IFERROR(INDEX(Reactivos!$H$2:$H$435,MATCH(B33,Reactivos!$A$2:$A$435,0)),""))</f>
        <v/>
      </c>
      <c r="F33" s="8"/>
      <c r="G33" s="8"/>
      <c r="H33" s="13"/>
    </row>
    <row r="34" spans="1:8" x14ac:dyDescent="0.3">
      <c r="A34" s="11"/>
      <c r="B34" s="8"/>
      <c r="C34" s="7" t="str">
        <f>IF(B34="","",IFERROR(INDEX(Reactivos!$D$2:$D$435,MATCH(B34,Reactivos!$A$2:$A$435,0)),"ID no existe"))</f>
        <v/>
      </c>
      <c r="D34" s="8"/>
      <c r="E34" s="7" t="str">
        <f>IF(B34="","",IFERROR(INDEX(Reactivos!$H$2:$H$435,MATCH(B34,Reactivos!$A$2:$A$435,0)),""))</f>
        <v/>
      </c>
      <c r="F34" s="8"/>
      <c r="G34" s="8"/>
      <c r="H34" s="13"/>
    </row>
    <row r="35" spans="1:8" x14ac:dyDescent="0.3">
      <c r="A35" s="11"/>
      <c r="B35" s="8"/>
      <c r="C35" s="7" t="str">
        <f>IF(B35="","",IFERROR(INDEX(Reactivos!$D$2:$D$435,MATCH(B35,Reactivos!$A$2:$A$435,0)),"ID no existe"))</f>
        <v/>
      </c>
      <c r="D35" s="8"/>
      <c r="E35" s="7" t="str">
        <f>IF(B35="","",IFERROR(INDEX(Reactivos!$H$2:$H$435,MATCH(B35,Reactivos!$A$2:$A$435,0)),""))</f>
        <v/>
      </c>
      <c r="F35" s="8"/>
      <c r="G35" s="8"/>
      <c r="H35" s="13"/>
    </row>
    <row r="36" spans="1:8" x14ac:dyDescent="0.3">
      <c r="A36" s="11"/>
      <c r="B36" s="8"/>
      <c r="C36" s="7" t="str">
        <f>IF(B36="","",IFERROR(INDEX(Reactivos!$D$2:$D$435,MATCH(B36,Reactivos!$A$2:$A$435,0)),"ID no existe"))</f>
        <v/>
      </c>
      <c r="D36" s="8"/>
      <c r="E36" s="7" t="str">
        <f>IF(B36="","",IFERROR(INDEX(Reactivos!$H$2:$H$435,MATCH(B36,Reactivos!$A$2:$A$435,0)),""))</f>
        <v/>
      </c>
      <c r="F36" s="8"/>
      <c r="G36" s="8"/>
      <c r="H36" s="13"/>
    </row>
    <row r="37" spans="1:8" x14ac:dyDescent="0.3">
      <c r="A37" s="11"/>
      <c r="B37" s="8"/>
      <c r="C37" s="7" t="str">
        <f>IF(B37="","",IFERROR(INDEX(Reactivos!$D$2:$D$435,MATCH(B37,Reactivos!$A$2:$A$435,0)),"ID no existe"))</f>
        <v/>
      </c>
      <c r="D37" s="8"/>
      <c r="E37" s="7" t="str">
        <f>IF(B37="","",IFERROR(INDEX(Reactivos!$H$2:$H$435,MATCH(B37,Reactivos!$A$2:$A$435,0)),""))</f>
        <v/>
      </c>
      <c r="F37" s="8"/>
      <c r="G37" s="8"/>
      <c r="H37" s="13"/>
    </row>
    <row r="38" spans="1:8" x14ac:dyDescent="0.3">
      <c r="A38" s="11"/>
      <c r="B38" s="8"/>
      <c r="C38" s="7" t="str">
        <f>IF(B38="","",IFERROR(INDEX(Reactivos!$D$2:$D$435,MATCH(B38,Reactivos!$A$2:$A$435,0)),"ID no existe"))</f>
        <v/>
      </c>
      <c r="D38" s="8"/>
      <c r="E38" s="7" t="str">
        <f>IF(B38="","",IFERROR(INDEX(Reactivos!$H$2:$H$435,MATCH(B38,Reactivos!$A$2:$A$435,0)),""))</f>
        <v/>
      </c>
      <c r="F38" s="8"/>
      <c r="G38" s="8"/>
      <c r="H38" s="13"/>
    </row>
    <row r="39" spans="1:8" x14ac:dyDescent="0.3">
      <c r="A39" s="11"/>
      <c r="B39" s="8"/>
      <c r="C39" s="7" t="str">
        <f>IF(B39="","",IFERROR(INDEX(Reactivos!$D$2:$D$435,MATCH(B39,Reactivos!$A$2:$A$435,0)),"ID no existe"))</f>
        <v/>
      </c>
      <c r="D39" s="8"/>
      <c r="E39" s="7" t="str">
        <f>IF(B39="","",IFERROR(INDEX(Reactivos!$H$2:$H$435,MATCH(B39,Reactivos!$A$2:$A$435,0)),""))</f>
        <v/>
      </c>
      <c r="F39" s="8"/>
      <c r="G39" s="8"/>
      <c r="H39" s="13"/>
    </row>
    <row r="40" spans="1:8" x14ac:dyDescent="0.3">
      <c r="A40" s="11"/>
      <c r="B40" s="8"/>
      <c r="C40" s="7" t="str">
        <f>IF(B40="","",IFERROR(INDEX(Reactivos!$D$2:$D$435,MATCH(B40,Reactivos!$A$2:$A$435,0)),"ID no existe"))</f>
        <v/>
      </c>
      <c r="D40" s="8"/>
      <c r="E40" s="7" t="str">
        <f>IF(B40="","",IFERROR(INDEX(Reactivos!$H$2:$H$435,MATCH(B40,Reactivos!$A$2:$A$435,0)),""))</f>
        <v/>
      </c>
      <c r="F40" s="8"/>
      <c r="G40" s="8"/>
      <c r="H40" s="13"/>
    </row>
    <row r="41" spans="1:8" x14ac:dyDescent="0.3">
      <c r="A41" s="11"/>
      <c r="B41" s="8"/>
      <c r="C41" s="7" t="str">
        <f>IF(B41="","",IFERROR(INDEX(Reactivos!$D$2:$D$435,MATCH(B41,Reactivos!$A$2:$A$435,0)),"ID no existe"))</f>
        <v/>
      </c>
      <c r="D41" s="8"/>
      <c r="E41" s="7" t="str">
        <f>IF(B41="","",IFERROR(INDEX(Reactivos!$H$2:$H$435,MATCH(B41,Reactivos!$A$2:$A$435,0)),""))</f>
        <v/>
      </c>
      <c r="F41" s="8"/>
      <c r="G41" s="8"/>
      <c r="H41" s="13"/>
    </row>
    <row r="42" spans="1:8" x14ac:dyDescent="0.3">
      <c r="A42" s="11"/>
      <c r="B42" s="8"/>
      <c r="C42" s="7" t="str">
        <f>IF(B42="","",IFERROR(INDEX(Reactivos!$D$2:$D$435,MATCH(B42,Reactivos!$A$2:$A$435,0)),"ID no existe"))</f>
        <v/>
      </c>
      <c r="D42" s="8"/>
      <c r="E42" s="7" t="str">
        <f>IF(B42="","",IFERROR(INDEX(Reactivos!$H$2:$H$435,MATCH(B42,Reactivos!$A$2:$A$435,0)),""))</f>
        <v/>
      </c>
      <c r="F42" s="8"/>
      <c r="G42" s="8"/>
      <c r="H42" s="13"/>
    </row>
    <row r="43" spans="1:8" x14ac:dyDescent="0.3">
      <c r="A43" s="11"/>
      <c r="B43" s="8"/>
      <c r="C43" s="7" t="str">
        <f>IF(B43="","",IFERROR(INDEX(Reactivos!$D$2:$D$435,MATCH(B43,Reactivos!$A$2:$A$435,0)),"ID no existe"))</f>
        <v/>
      </c>
      <c r="D43" s="8"/>
      <c r="E43" s="7" t="str">
        <f>IF(B43="","",IFERROR(INDEX(Reactivos!$H$2:$H$435,MATCH(B43,Reactivos!$A$2:$A$435,0)),""))</f>
        <v/>
      </c>
      <c r="F43" s="8"/>
      <c r="G43" s="8"/>
      <c r="H43" s="13"/>
    </row>
    <row r="44" spans="1:8" x14ac:dyDescent="0.3">
      <c r="A44" s="11"/>
      <c r="B44" s="8"/>
      <c r="C44" s="7" t="str">
        <f>IF(B44="","",IFERROR(INDEX(Reactivos!$D$2:$D$435,MATCH(B44,Reactivos!$A$2:$A$435,0)),"ID no existe"))</f>
        <v/>
      </c>
      <c r="D44" s="8"/>
      <c r="E44" s="7" t="str">
        <f>IF(B44="","",IFERROR(INDEX(Reactivos!$H$2:$H$435,MATCH(B44,Reactivos!$A$2:$A$435,0)),""))</f>
        <v/>
      </c>
      <c r="F44" s="8"/>
      <c r="G44" s="8"/>
      <c r="H44" s="13"/>
    </row>
    <row r="45" spans="1:8" x14ac:dyDescent="0.3">
      <c r="A45" s="11"/>
      <c r="B45" s="8"/>
      <c r="C45" s="7" t="str">
        <f>IF(B45="","",IFERROR(INDEX(Reactivos!$D$2:$D$435,MATCH(B45,Reactivos!$A$2:$A$435,0)),"ID no existe"))</f>
        <v/>
      </c>
      <c r="D45" s="8"/>
      <c r="E45" s="7" t="str">
        <f>IF(B45="","",IFERROR(INDEX(Reactivos!$H$2:$H$435,MATCH(B45,Reactivos!$A$2:$A$435,0)),""))</f>
        <v/>
      </c>
      <c r="F45" s="8"/>
      <c r="G45" s="8"/>
      <c r="H45" s="13"/>
    </row>
    <row r="46" spans="1:8" x14ac:dyDescent="0.3">
      <c r="A46" s="11"/>
      <c r="B46" s="8"/>
      <c r="C46" s="7" t="str">
        <f>IF(B46="","",IFERROR(INDEX(Reactivos!$D$2:$D$435,MATCH(B46,Reactivos!$A$2:$A$435,0)),"ID no existe"))</f>
        <v/>
      </c>
      <c r="D46" s="8"/>
      <c r="E46" s="7" t="str">
        <f>IF(B46="","",IFERROR(INDEX(Reactivos!$H$2:$H$435,MATCH(B46,Reactivos!$A$2:$A$435,0)),""))</f>
        <v/>
      </c>
      <c r="F46" s="8"/>
      <c r="G46" s="8"/>
      <c r="H46" s="13"/>
    </row>
    <row r="47" spans="1:8" x14ac:dyDescent="0.3">
      <c r="A47" s="11"/>
      <c r="B47" s="8"/>
      <c r="C47" s="7" t="str">
        <f>IF(B47="","",IFERROR(INDEX(Reactivos!$D$2:$D$435,MATCH(B47,Reactivos!$A$2:$A$435,0)),"ID no existe"))</f>
        <v/>
      </c>
      <c r="D47" s="8"/>
      <c r="E47" s="7" t="str">
        <f>IF(B47="","",IFERROR(INDEX(Reactivos!$H$2:$H$435,MATCH(B47,Reactivos!$A$2:$A$435,0)),""))</f>
        <v/>
      </c>
      <c r="F47" s="8"/>
      <c r="G47" s="8"/>
      <c r="H47" s="13"/>
    </row>
    <row r="48" spans="1:8" x14ac:dyDescent="0.3">
      <c r="A48" s="11"/>
      <c r="B48" s="8"/>
      <c r="C48" s="7" t="str">
        <f>IF(B48="","",IFERROR(INDEX(Reactivos!$D$2:$D$435,MATCH(B48,Reactivos!$A$2:$A$435,0)),"ID no existe"))</f>
        <v/>
      </c>
      <c r="D48" s="8"/>
      <c r="E48" s="7" t="str">
        <f>IF(B48="","",IFERROR(INDEX(Reactivos!$H$2:$H$435,MATCH(B48,Reactivos!$A$2:$A$435,0)),""))</f>
        <v/>
      </c>
      <c r="F48" s="8"/>
      <c r="G48" s="8"/>
      <c r="H48" s="13"/>
    </row>
    <row r="49" spans="1:8" x14ac:dyDescent="0.3">
      <c r="A49" s="11"/>
      <c r="B49" s="8"/>
      <c r="C49" s="7" t="str">
        <f>IF(B49="","",IFERROR(INDEX(Reactivos!$D$2:$D$435,MATCH(B49,Reactivos!$A$2:$A$435,0)),"ID no existe"))</f>
        <v/>
      </c>
      <c r="D49" s="8"/>
      <c r="E49" s="7" t="str">
        <f>IF(B49="","",IFERROR(INDEX(Reactivos!$H$2:$H$435,MATCH(B49,Reactivos!$A$2:$A$435,0)),""))</f>
        <v/>
      </c>
      <c r="F49" s="8"/>
      <c r="G49" s="8"/>
      <c r="H49" s="13"/>
    </row>
    <row r="50" spans="1:8" x14ac:dyDescent="0.3">
      <c r="A50" s="11"/>
      <c r="B50" s="8"/>
      <c r="C50" s="7" t="str">
        <f>IF(B50="","",IFERROR(INDEX(Reactivos!$D$2:$D$435,MATCH(B50,Reactivos!$A$2:$A$435,0)),"ID no existe"))</f>
        <v/>
      </c>
      <c r="D50" s="8"/>
      <c r="E50" s="7" t="str">
        <f>IF(B50="","",IFERROR(INDEX(Reactivos!$H$2:$H$435,MATCH(B50,Reactivos!$A$2:$A$435,0)),""))</f>
        <v/>
      </c>
      <c r="F50" s="8"/>
      <c r="G50" s="8"/>
      <c r="H50" s="13"/>
    </row>
    <row r="51" spans="1:8" x14ac:dyDescent="0.3">
      <c r="A51" s="11"/>
      <c r="B51" s="8"/>
      <c r="C51" s="7" t="str">
        <f>IF(B51="","",IFERROR(INDEX(Reactivos!$D$2:$D$435,MATCH(B51,Reactivos!$A$2:$A$435,0)),"ID no existe"))</f>
        <v/>
      </c>
      <c r="D51" s="8"/>
      <c r="E51" s="7" t="str">
        <f>IF(B51="","",IFERROR(INDEX(Reactivos!$H$2:$H$435,MATCH(B51,Reactivos!$A$2:$A$435,0)),""))</f>
        <v/>
      </c>
      <c r="F51" s="8"/>
      <c r="G51" s="8"/>
      <c r="H51" s="13"/>
    </row>
    <row r="52" spans="1:8" x14ac:dyDescent="0.3">
      <c r="A52" s="11"/>
      <c r="B52" s="8"/>
      <c r="C52" s="7" t="str">
        <f>IF(B52="","",IFERROR(INDEX(Reactivos!$D$2:$D$435,MATCH(B52,Reactivos!$A$2:$A$435,0)),"ID no existe"))</f>
        <v/>
      </c>
      <c r="D52" s="8"/>
      <c r="E52" s="7" t="str">
        <f>IF(B52="","",IFERROR(INDEX(Reactivos!$H$2:$H$435,MATCH(B52,Reactivos!$A$2:$A$435,0)),""))</f>
        <v/>
      </c>
      <c r="F52" s="8"/>
      <c r="G52" s="8"/>
      <c r="H52" s="13"/>
    </row>
    <row r="53" spans="1:8" x14ac:dyDescent="0.3">
      <c r="A53" s="11"/>
      <c r="B53" s="8"/>
      <c r="C53" s="7" t="str">
        <f>IF(B53="","",IFERROR(INDEX(Reactivos!$D$2:$D$435,MATCH(B53,Reactivos!$A$2:$A$435,0)),"ID no existe"))</f>
        <v/>
      </c>
      <c r="D53" s="8"/>
      <c r="E53" s="7" t="str">
        <f>IF(B53="","",IFERROR(INDEX(Reactivos!$H$2:$H$435,MATCH(B53,Reactivos!$A$2:$A$435,0)),""))</f>
        <v/>
      </c>
      <c r="F53" s="8"/>
      <c r="G53" s="8"/>
      <c r="H53" s="13"/>
    </row>
    <row r="54" spans="1:8" x14ac:dyDescent="0.3">
      <c r="A54" s="11"/>
      <c r="B54" s="8"/>
      <c r="C54" s="7" t="str">
        <f>IF(B54="","",IFERROR(INDEX(Reactivos!$D$2:$D$435,MATCH(B54,Reactivos!$A$2:$A$435,0)),"ID no existe"))</f>
        <v/>
      </c>
      <c r="D54" s="8"/>
      <c r="E54" s="7" t="str">
        <f>IF(B54="","",IFERROR(INDEX(Reactivos!$H$2:$H$435,MATCH(B54,Reactivos!$A$2:$A$435,0)),""))</f>
        <v/>
      </c>
      <c r="F54" s="8"/>
      <c r="G54" s="8"/>
      <c r="H54" s="13"/>
    </row>
    <row r="55" spans="1:8" x14ac:dyDescent="0.3">
      <c r="A55" s="11"/>
      <c r="B55" s="8"/>
      <c r="C55" s="7" t="str">
        <f>IF(B55="","",IFERROR(INDEX(Reactivos!$D$2:$D$435,MATCH(B55,Reactivos!$A$2:$A$435,0)),"ID no existe"))</f>
        <v/>
      </c>
      <c r="D55" s="8"/>
      <c r="E55" s="7" t="str">
        <f>IF(B55="","",IFERROR(INDEX(Reactivos!$H$2:$H$435,MATCH(B55,Reactivos!$A$2:$A$435,0)),""))</f>
        <v/>
      </c>
      <c r="F55" s="8"/>
      <c r="G55" s="8"/>
      <c r="H55" s="13"/>
    </row>
    <row r="56" spans="1:8" x14ac:dyDescent="0.3">
      <c r="A56" s="11"/>
      <c r="B56" s="8"/>
      <c r="C56" s="7" t="str">
        <f>IF(B56="","",IFERROR(INDEX(Reactivos!$D$2:$D$435,MATCH(B56,Reactivos!$A$2:$A$435,0)),"ID no existe"))</f>
        <v/>
      </c>
      <c r="D56" s="8"/>
      <c r="E56" s="7" t="str">
        <f>IF(B56="","",IFERROR(INDEX(Reactivos!$H$2:$H$435,MATCH(B56,Reactivos!$A$2:$A$435,0)),""))</f>
        <v/>
      </c>
      <c r="F56" s="8"/>
      <c r="G56" s="8"/>
      <c r="H56" s="13"/>
    </row>
    <row r="57" spans="1:8" x14ac:dyDescent="0.3">
      <c r="A57" s="11"/>
      <c r="B57" s="8"/>
      <c r="C57" s="7" t="str">
        <f>IF(B57="","",IFERROR(INDEX(Reactivos!$D$2:$D$435,MATCH(B57,Reactivos!$A$2:$A$435,0)),"ID no existe"))</f>
        <v/>
      </c>
      <c r="D57" s="8"/>
      <c r="E57" s="7" t="str">
        <f>IF(B57="","",IFERROR(INDEX(Reactivos!$H$2:$H$435,MATCH(B57,Reactivos!$A$2:$A$435,0)),""))</f>
        <v/>
      </c>
      <c r="F57" s="8"/>
      <c r="G57" s="8"/>
      <c r="H57" s="13"/>
    </row>
    <row r="58" spans="1:8" x14ac:dyDescent="0.3">
      <c r="A58" s="11"/>
      <c r="B58" s="8"/>
      <c r="C58" s="7" t="str">
        <f>IF(B58="","",IFERROR(INDEX(Reactivos!$D$2:$D$435,MATCH(B58,Reactivos!$A$2:$A$435,0)),"ID no existe"))</f>
        <v/>
      </c>
      <c r="D58" s="8"/>
      <c r="E58" s="7" t="str">
        <f>IF(B58="","",IFERROR(INDEX(Reactivos!$H$2:$H$435,MATCH(B58,Reactivos!$A$2:$A$435,0)),""))</f>
        <v/>
      </c>
      <c r="F58" s="8"/>
      <c r="G58" s="8"/>
      <c r="H58" s="13"/>
    </row>
    <row r="59" spans="1:8" x14ac:dyDescent="0.3">
      <c r="A59" s="11"/>
      <c r="B59" s="8"/>
      <c r="C59" s="7" t="str">
        <f>IF(B59="","",IFERROR(INDEX(Reactivos!$D$2:$D$435,MATCH(B59,Reactivos!$A$2:$A$435,0)),"ID no existe"))</f>
        <v/>
      </c>
      <c r="D59" s="8"/>
      <c r="E59" s="7" t="str">
        <f>IF(B59="","",IFERROR(INDEX(Reactivos!$H$2:$H$435,MATCH(B59,Reactivos!$A$2:$A$435,0)),""))</f>
        <v/>
      </c>
      <c r="F59" s="8"/>
      <c r="G59" s="8"/>
      <c r="H59" s="13"/>
    </row>
    <row r="60" spans="1:8" x14ac:dyDescent="0.3">
      <c r="A60" s="11"/>
      <c r="B60" s="8"/>
      <c r="C60" s="7" t="str">
        <f>IF(B60="","",IFERROR(INDEX(Reactivos!$D$2:$D$435,MATCH(B60,Reactivos!$A$2:$A$435,0)),"ID no existe"))</f>
        <v/>
      </c>
      <c r="D60" s="8"/>
      <c r="E60" s="7" t="str">
        <f>IF(B60="","",IFERROR(INDEX(Reactivos!$H$2:$H$435,MATCH(B60,Reactivos!$A$2:$A$435,0)),""))</f>
        <v/>
      </c>
      <c r="F60" s="8"/>
      <c r="G60" s="8"/>
      <c r="H60" s="13"/>
    </row>
    <row r="61" spans="1:8" x14ac:dyDescent="0.3">
      <c r="A61" s="11"/>
      <c r="B61" s="8"/>
      <c r="C61" s="7" t="str">
        <f>IF(B61="","",IFERROR(INDEX(Reactivos!$D$2:$D$435,MATCH(B61,Reactivos!$A$2:$A$435,0)),"ID no existe"))</f>
        <v/>
      </c>
      <c r="D61" s="8"/>
      <c r="E61" s="7" t="str">
        <f>IF(B61="","",IFERROR(INDEX(Reactivos!$H$2:$H$435,MATCH(B61,Reactivos!$A$2:$A$435,0)),""))</f>
        <v/>
      </c>
      <c r="F61" s="8"/>
      <c r="G61" s="8"/>
      <c r="H61" s="13"/>
    </row>
    <row r="62" spans="1:8" x14ac:dyDescent="0.3">
      <c r="A62" s="11"/>
      <c r="B62" s="8"/>
      <c r="C62" s="7" t="str">
        <f>IF(B62="","",IFERROR(INDEX(Reactivos!$D$2:$D$435,MATCH(B62,Reactivos!$A$2:$A$435,0)),"ID no existe"))</f>
        <v/>
      </c>
      <c r="D62" s="8"/>
      <c r="E62" s="7" t="str">
        <f>IF(B62="","",IFERROR(INDEX(Reactivos!$H$2:$H$435,MATCH(B62,Reactivos!$A$2:$A$435,0)),""))</f>
        <v/>
      </c>
      <c r="F62" s="8"/>
      <c r="G62" s="8"/>
      <c r="H62" s="13"/>
    </row>
    <row r="63" spans="1:8" x14ac:dyDescent="0.3">
      <c r="A63" s="11"/>
      <c r="B63" s="8"/>
      <c r="C63" s="7" t="str">
        <f>IF(B63="","",IFERROR(INDEX(Reactivos!$D$2:$D$435,MATCH(B63,Reactivos!$A$2:$A$435,0)),"ID no existe"))</f>
        <v/>
      </c>
      <c r="D63" s="8"/>
      <c r="E63" s="7" t="str">
        <f>IF(B63="","",IFERROR(INDEX(Reactivos!$H$2:$H$435,MATCH(B63,Reactivos!$A$2:$A$435,0)),""))</f>
        <v/>
      </c>
      <c r="F63" s="8"/>
      <c r="G63" s="8"/>
      <c r="H63" s="13"/>
    </row>
    <row r="64" spans="1:8" x14ac:dyDescent="0.3">
      <c r="A64" s="11"/>
      <c r="B64" s="8"/>
      <c r="C64" s="7" t="str">
        <f>IF(B64="","",IFERROR(INDEX(Reactivos!$D$2:$D$435,MATCH(B64,Reactivos!$A$2:$A$435,0)),"ID no existe"))</f>
        <v/>
      </c>
      <c r="D64" s="8"/>
      <c r="E64" s="7" t="str">
        <f>IF(B64="","",IFERROR(INDEX(Reactivos!$H$2:$H$435,MATCH(B64,Reactivos!$A$2:$A$435,0)),""))</f>
        <v/>
      </c>
      <c r="F64" s="8"/>
      <c r="G64" s="8"/>
      <c r="H64" s="13"/>
    </row>
    <row r="65" spans="1:8" x14ac:dyDescent="0.3">
      <c r="A65" s="11"/>
      <c r="B65" s="8"/>
      <c r="C65" s="7" t="str">
        <f>IF(B65="","",IFERROR(INDEX(Reactivos!$D$2:$D$435,MATCH(B65,Reactivos!$A$2:$A$435,0)),"ID no existe"))</f>
        <v/>
      </c>
      <c r="D65" s="8"/>
      <c r="E65" s="7" t="str">
        <f>IF(B65="","",IFERROR(INDEX(Reactivos!$H$2:$H$435,MATCH(B65,Reactivos!$A$2:$A$435,0)),""))</f>
        <v/>
      </c>
      <c r="F65" s="8"/>
      <c r="G65" s="8"/>
      <c r="H65" s="13"/>
    </row>
    <row r="66" spans="1:8" x14ac:dyDescent="0.3">
      <c r="A66" s="11"/>
      <c r="B66" s="8"/>
      <c r="C66" s="7" t="str">
        <f>IF(B66="","",IFERROR(INDEX(Reactivos!$D$2:$D$435,MATCH(B66,Reactivos!$A$2:$A$435,0)),"ID no existe"))</f>
        <v/>
      </c>
      <c r="D66" s="8"/>
      <c r="E66" s="7" t="str">
        <f>IF(B66="","",IFERROR(INDEX(Reactivos!$H$2:$H$435,MATCH(B66,Reactivos!$A$2:$A$435,0)),""))</f>
        <v/>
      </c>
      <c r="F66" s="8"/>
      <c r="G66" s="8"/>
      <c r="H66" s="13"/>
    </row>
    <row r="67" spans="1:8" x14ac:dyDescent="0.3">
      <c r="A67" s="11"/>
      <c r="B67" s="8"/>
      <c r="C67" s="7" t="str">
        <f>IF(B67="","",IFERROR(INDEX(Reactivos!$D$2:$D$435,MATCH(B67,Reactivos!$A$2:$A$435,0)),"ID no existe"))</f>
        <v/>
      </c>
      <c r="D67" s="8"/>
      <c r="E67" s="7" t="str">
        <f>IF(B67="","",IFERROR(INDEX(Reactivos!$H$2:$H$435,MATCH(B67,Reactivos!$A$2:$A$435,0)),""))</f>
        <v/>
      </c>
      <c r="F67" s="8"/>
      <c r="G67" s="8"/>
      <c r="H67" s="13"/>
    </row>
    <row r="68" spans="1:8" x14ac:dyDescent="0.3">
      <c r="A68" s="11"/>
      <c r="B68" s="8"/>
      <c r="C68" s="7" t="str">
        <f>IF(B68="","",IFERROR(INDEX(Reactivos!$D$2:$D$435,MATCH(B68,Reactivos!$A$2:$A$435,0)),"ID no existe"))</f>
        <v/>
      </c>
      <c r="D68" s="8"/>
      <c r="E68" s="7" t="str">
        <f>IF(B68="","",IFERROR(INDEX(Reactivos!$H$2:$H$435,MATCH(B68,Reactivos!$A$2:$A$435,0)),""))</f>
        <v/>
      </c>
      <c r="F68" s="8"/>
      <c r="G68" s="8"/>
      <c r="H68" s="13"/>
    </row>
    <row r="69" spans="1:8" x14ac:dyDescent="0.3">
      <c r="A69" s="11"/>
      <c r="B69" s="8"/>
      <c r="C69" s="7" t="str">
        <f>IF(B69="","",IFERROR(INDEX(Reactivos!$D$2:$D$435,MATCH(B69,Reactivos!$A$2:$A$435,0)),"ID no existe"))</f>
        <v/>
      </c>
      <c r="D69" s="8"/>
      <c r="E69" s="7" t="str">
        <f>IF(B69="","",IFERROR(INDEX(Reactivos!$H$2:$H$435,MATCH(B69,Reactivos!$A$2:$A$435,0)),""))</f>
        <v/>
      </c>
      <c r="F69" s="8"/>
      <c r="G69" s="8"/>
      <c r="H69" s="13"/>
    </row>
    <row r="70" spans="1:8" x14ac:dyDescent="0.3">
      <c r="A70" s="11"/>
      <c r="B70" s="8"/>
      <c r="C70" s="7" t="str">
        <f>IF(B70="","",IFERROR(INDEX(Reactivos!$D$2:$D$435,MATCH(B70,Reactivos!$A$2:$A$435,0)),"ID no existe"))</f>
        <v/>
      </c>
      <c r="D70" s="8"/>
      <c r="E70" s="7" t="str">
        <f>IF(B70="","",IFERROR(INDEX(Reactivos!$H$2:$H$435,MATCH(B70,Reactivos!$A$2:$A$435,0)),""))</f>
        <v/>
      </c>
      <c r="F70" s="8"/>
      <c r="G70" s="8"/>
      <c r="H70" s="13"/>
    </row>
    <row r="71" spans="1:8" x14ac:dyDescent="0.3">
      <c r="A71" s="11"/>
      <c r="B71" s="8"/>
      <c r="C71" s="7" t="str">
        <f>IF(B71="","",IFERROR(INDEX(Reactivos!$D$2:$D$435,MATCH(B71,Reactivos!$A$2:$A$435,0)),"ID no existe"))</f>
        <v/>
      </c>
      <c r="D71" s="8"/>
      <c r="E71" s="7" t="str">
        <f>IF(B71="","",IFERROR(INDEX(Reactivos!$H$2:$H$435,MATCH(B71,Reactivos!$A$2:$A$435,0)),""))</f>
        <v/>
      </c>
      <c r="F71" s="8"/>
      <c r="G71" s="8"/>
      <c r="H71" s="13"/>
    </row>
    <row r="72" spans="1:8" x14ac:dyDescent="0.3">
      <c r="A72" s="11"/>
      <c r="B72" s="8"/>
      <c r="C72" s="7" t="str">
        <f>IF(B72="","",IFERROR(INDEX(Reactivos!$D$2:$D$435,MATCH(B72,Reactivos!$A$2:$A$435,0)),"ID no existe"))</f>
        <v/>
      </c>
      <c r="D72" s="8"/>
      <c r="E72" s="7" t="str">
        <f>IF(B72="","",IFERROR(INDEX(Reactivos!$H$2:$H$435,MATCH(B72,Reactivos!$A$2:$A$435,0)),""))</f>
        <v/>
      </c>
      <c r="F72" s="8"/>
      <c r="G72" s="8"/>
      <c r="H72" s="13"/>
    </row>
    <row r="73" spans="1:8" x14ac:dyDescent="0.3">
      <c r="A73" s="11"/>
      <c r="B73" s="8"/>
      <c r="C73" s="7" t="str">
        <f>IF(B73="","",IFERROR(INDEX(Reactivos!$D$2:$D$435,MATCH(B73,Reactivos!$A$2:$A$435,0)),"ID no existe"))</f>
        <v/>
      </c>
      <c r="D73" s="8"/>
      <c r="E73" s="7" t="str">
        <f>IF(B73="","",IFERROR(INDEX(Reactivos!$H$2:$H$435,MATCH(B73,Reactivos!$A$2:$A$435,0)),""))</f>
        <v/>
      </c>
      <c r="F73" s="8"/>
      <c r="G73" s="8"/>
      <c r="H73" s="13"/>
    </row>
    <row r="74" spans="1:8" x14ac:dyDescent="0.3">
      <c r="A74" s="11"/>
      <c r="B74" s="8"/>
      <c r="C74" s="7" t="str">
        <f>IF(B74="","",IFERROR(INDEX(Reactivos!$D$2:$D$435,MATCH(B74,Reactivos!$A$2:$A$435,0)),"ID no existe"))</f>
        <v/>
      </c>
      <c r="D74" s="8"/>
      <c r="E74" s="7" t="str">
        <f>IF(B74="","",IFERROR(INDEX(Reactivos!$H$2:$H$435,MATCH(B74,Reactivos!$A$2:$A$435,0)),""))</f>
        <v/>
      </c>
      <c r="F74" s="8"/>
      <c r="G74" s="8"/>
      <c r="H74" s="13"/>
    </row>
    <row r="75" spans="1:8" x14ac:dyDescent="0.3">
      <c r="A75" s="11"/>
      <c r="B75" s="8"/>
      <c r="C75" s="7" t="str">
        <f>IF(B75="","",IFERROR(INDEX(Reactivos!$D$2:$D$435,MATCH(B75,Reactivos!$A$2:$A$435,0)),"ID no existe"))</f>
        <v/>
      </c>
      <c r="D75" s="8"/>
      <c r="E75" s="7" t="str">
        <f>IF(B75="","",IFERROR(INDEX(Reactivos!$H$2:$H$435,MATCH(B75,Reactivos!$A$2:$A$435,0)),""))</f>
        <v/>
      </c>
      <c r="F75" s="8"/>
      <c r="G75" s="8"/>
      <c r="H75" s="13"/>
    </row>
    <row r="76" spans="1:8" x14ac:dyDescent="0.3">
      <c r="A76" s="11"/>
      <c r="B76" s="8"/>
      <c r="C76" s="7" t="str">
        <f>IF(B76="","",IFERROR(INDEX(Reactivos!$D$2:$D$435,MATCH(B76,Reactivos!$A$2:$A$435,0)),"ID no existe"))</f>
        <v/>
      </c>
      <c r="D76" s="8"/>
      <c r="E76" s="7" t="str">
        <f>IF(B76="","",IFERROR(INDEX(Reactivos!$H$2:$H$435,MATCH(B76,Reactivos!$A$2:$A$435,0)),""))</f>
        <v/>
      </c>
      <c r="F76" s="8"/>
      <c r="G76" s="8"/>
      <c r="H76" s="13"/>
    </row>
    <row r="77" spans="1:8" x14ac:dyDescent="0.3">
      <c r="A77" s="11"/>
      <c r="B77" s="8"/>
      <c r="C77" s="7" t="str">
        <f>IF(B77="","",IFERROR(INDEX(Reactivos!$D$2:$D$435,MATCH(B77,Reactivos!$A$2:$A$435,0)),"ID no existe"))</f>
        <v/>
      </c>
      <c r="D77" s="8"/>
      <c r="E77" s="7" t="str">
        <f>IF(B77="","",IFERROR(INDEX(Reactivos!$H$2:$H$435,MATCH(B77,Reactivos!$A$2:$A$435,0)),""))</f>
        <v/>
      </c>
      <c r="F77" s="8"/>
      <c r="G77" s="8"/>
      <c r="H77" s="13"/>
    </row>
    <row r="78" spans="1:8" x14ac:dyDescent="0.3">
      <c r="A78" s="11"/>
      <c r="B78" s="8"/>
      <c r="C78" s="7" t="str">
        <f>IF(B78="","",IFERROR(INDEX(Reactivos!$D$2:$D$435,MATCH(B78,Reactivos!$A$2:$A$435,0)),"ID no existe"))</f>
        <v/>
      </c>
      <c r="D78" s="8"/>
      <c r="E78" s="7" t="str">
        <f>IF(B78="","",IFERROR(INDEX(Reactivos!$H$2:$H$435,MATCH(B78,Reactivos!$A$2:$A$435,0)),""))</f>
        <v/>
      </c>
      <c r="F78" s="8"/>
      <c r="G78" s="8"/>
      <c r="H78" s="13"/>
    </row>
    <row r="79" spans="1:8" x14ac:dyDescent="0.3">
      <c r="A79" s="11"/>
      <c r="B79" s="8"/>
      <c r="C79" s="7" t="str">
        <f>IF(B79="","",IFERROR(INDEX(Reactivos!$D$2:$D$435,MATCH(B79,Reactivos!$A$2:$A$435,0)),"ID no existe"))</f>
        <v/>
      </c>
      <c r="D79" s="8"/>
      <c r="E79" s="7" t="str">
        <f>IF(B79="","",IFERROR(INDEX(Reactivos!$H$2:$H$435,MATCH(B79,Reactivos!$A$2:$A$435,0)),""))</f>
        <v/>
      </c>
      <c r="F79" s="8"/>
      <c r="G79" s="8"/>
      <c r="H79" s="13"/>
    </row>
    <row r="80" spans="1:8" x14ac:dyDescent="0.3">
      <c r="A80" s="11"/>
      <c r="B80" s="8"/>
      <c r="C80" s="7" t="str">
        <f>IF(B80="","",IFERROR(INDEX(Reactivos!$D$2:$D$435,MATCH(B80,Reactivos!$A$2:$A$435,0)),"ID no existe"))</f>
        <v/>
      </c>
      <c r="D80" s="8"/>
      <c r="E80" s="7" t="str">
        <f>IF(B80="","",IFERROR(INDEX(Reactivos!$H$2:$H$435,MATCH(B80,Reactivos!$A$2:$A$435,0)),""))</f>
        <v/>
      </c>
      <c r="F80" s="8"/>
      <c r="G80" s="8"/>
      <c r="H80" s="13"/>
    </row>
    <row r="81" spans="1:8" x14ac:dyDescent="0.3">
      <c r="A81" s="11"/>
      <c r="B81" s="8"/>
      <c r="C81" s="7" t="str">
        <f>IF(B81="","",IFERROR(INDEX(Reactivos!$D$2:$D$435,MATCH(B81,Reactivos!$A$2:$A$435,0)),"ID no existe"))</f>
        <v/>
      </c>
      <c r="D81" s="8"/>
      <c r="E81" s="7" t="str">
        <f>IF(B81="","",IFERROR(INDEX(Reactivos!$H$2:$H$435,MATCH(B81,Reactivos!$A$2:$A$435,0)),""))</f>
        <v/>
      </c>
      <c r="F81" s="8"/>
      <c r="G81" s="8"/>
      <c r="H81" s="13"/>
    </row>
    <row r="82" spans="1:8" x14ac:dyDescent="0.3">
      <c r="A82" s="11"/>
      <c r="B82" s="8"/>
      <c r="C82" s="7" t="str">
        <f>IF(B82="","",IFERROR(INDEX(Reactivos!$D$2:$D$435,MATCH(B82,Reactivos!$A$2:$A$435,0)),"ID no existe"))</f>
        <v/>
      </c>
      <c r="D82" s="8"/>
      <c r="E82" s="7" t="str">
        <f>IF(B82="","",IFERROR(INDEX(Reactivos!$H$2:$H$435,MATCH(B82,Reactivos!$A$2:$A$435,0)),""))</f>
        <v/>
      </c>
      <c r="F82" s="8"/>
      <c r="G82" s="8"/>
      <c r="H82" s="13"/>
    </row>
    <row r="83" spans="1:8" x14ac:dyDescent="0.3">
      <c r="A83" s="11"/>
      <c r="B83" s="8"/>
      <c r="C83" s="7" t="str">
        <f>IF(B83="","",IFERROR(INDEX(Reactivos!$D$2:$D$435,MATCH(B83,Reactivos!$A$2:$A$435,0)),"ID no existe"))</f>
        <v/>
      </c>
      <c r="D83" s="8"/>
      <c r="E83" s="7" t="str">
        <f>IF(B83="","",IFERROR(INDEX(Reactivos!$H$2:$H$435,MATCH(B83,Reactivos!$A$2:$A$435,0)),""))</f>
        <v/>
      </c>
      <c r="F83" s="8"/>
      <c r="G83" s="8"/>
      <c r="H83" s="13"/>
    </row>
    <row r="84" spans="1:8" x14ac:dyDescent="0.3">
      <c r="A84" s="11"/>
      <c r="B84" s="8"/>
      <c r="C84" s="7" t="str">
        <f>IF(B84="","",IFERROR(INDEX(Reactivos!$D$2:$D$435,MATCH(B84,Reactivos!$A$2:$A$435,0)),"ID no existe"))</f>
        <v/>
      </c>
      <c r="D84" s="8"/>
      <c r="E84" s="7" t="str">
        <f>IF(B84="","",IFERROR(INDEX(Reactivos!$H$2:$H$435,MATCH(B84,Reactivos!$A$2:$A$435,0)),""))</f>
        <v/>
      </c>
      <c r="F84" s="8"/>
      <c r="G84" s="8"/>
      <c r="H84" s="13"/>
    </row>
    <row r="85" spans="1:8" x14ac:dyDescent="0.3">
      <c r="A85" s="11"/>
      <c r="B85" s="8"/>
      <c r="C85" s="7" t="str">
        <f>IF(B85="","",IFERROR(INDEX(Reactivos!$D$2:$D$435,MATCH(B85,Reactivos!$A$2:$A$435,0)),"ID no existe"))</f>
        <v/>
      </c>
      <c r="D85" s="8"/>
      <c r="E85" s="7" t="str">
        <f>IF(B85="","",IFERROR(INDEX(Reactivos!$H$2:$H$435,MATCH(B85,Reactivos!$A$2:$A$435,0)),""))</f>
        <v/>
      </c>
      <c r="F85" s="8"/>
      <c r="G85" s="8"/>
      <c r="H85" s="13"/>
    </row>
    <row r="86" spans="1:8" x14ac:dyDescent="0.3">
      <c r="A86" s="11"/>
      <c r="B86" s="8"/>
      <c r="C86" s="7" t="str">
        <f>IF(B86="","",IFERROR(INDEX(Reactivos!$D$2:$D$435,MATCH(B86,Reactivos!$A$2:$A$435,0)),"ID no existe"))</f>
        <v/>
      </c>
      <c r="D86" s="8"/>
      <c r="E86" s="7" t="str">
        <f>IF(B86="","",IFERROR(INDEX(Reactivos!$H$2:$H$435,MATCH(B86,Reactivos!$A$2:$A$435,0)),""))</f>
        <v/>
      </c>
      <c r="F86" s="8"/>
      <c r="G86" s="8"/>
      <c r="H86" s="13"/>
    </row>
    <row r="87" spans="1:8" x14ac:dyDescent="0.3">
      <c r="A87" s="11"/>
      <c r="B87" s="8"/>
      <c r="C87" s="7" t="str">
        <f>IF(B87="","",IFERROR(INDEX(Reactivos!$D$2:$D$435,MATCH(B87,Reactivos!$A$2:$A$435,0)),"ID no existe"))</f>
        <v/>
      </c>
      <c r="D87" s="8"/>
      <c r="E87" s="7" t="str">
        <f>IF(B87="","",IFERROR(INDEX(Reactivos!$H$2:$H$435,MATCH(B87,Reactivos!$A$2:$A$435,0)),""))</f>
        <v/>
      </c>
      <c r="F87" s="8"/>
      <c r="G87" s="8"/>
      <c r="H87" s="13"/>
    </row>
    <row r="88" spans="1:8" x14ac:dyDescent="0.3">
      <c r="A88" s="11"/>
      <c r="B88" s="8"/>
      <c r="C88" s="7" t="str">
        <f>IF(B88="","",IFERROR(INDEX(Reactivos!$D$2:$D$435,MATCH(B88,Reactivos!$A$2:$A$435,0)),"ID no existe"))</f>
        <v/>
      </c>
      <c r="D88" s="8"/>
      <c r="E88" s="7" t="str">
        <f>IF(B88="","",IFERROR(INDEX(Reactivos!$H$2:$H$435,MATCH(B88,Reactivos!$A$2:$A$435,0)),""))</f>
        <v/>
      </c>
      <c r="F88" s="8"/>
      <c r="G88" s="8"/>
      <c r="H88" s="13"/>
    </row>
    <row r="89" spans="1:8" x14ac:dyDescent="0.3">
      <c r="A89" s="11"/>
      <c r="B89" s="8"/>
      <c r="C89" s="7" t="str">
        <f>IF(B89="","",IFERROR(INDEX(Reactivos!$D$2:$D$435,MATCH(B89,Reactivos!$A$2:$A$435,0)),"ID no existe"))</f>
        <v/>
      </c>
      <c r="D89" s="8"/>
      <c r="E89" s="7" t="str">
        <f>IF(B89="","",IFERROR(INDEX(Reactivos!$H$2:$H$435,MATCH(B89,Reactivos!$A$2:$A$435,0)),""))</f>
        <v/>
      </c>
      <c r="F89" s="8"/>
      <c r="G89" s="8"/>
      <c r="H89" s="13"/>
    </row>
    <row r="90" spans="1:8" x14ac:dyDescent="0.3">
      <c r="A90" s="11"/>
      <c r="B90" s="8"/>
      <c r="C90" s="7" t="str">
        <f>IF(B90="","",IFERROR(INDEX(Reactivos!$D$2:$D$435,MATCH(B90,Reactivos!$A$2:$A$435,0)),"ID no existe"))</f>
        <v/>
      </c>
      <c r="D90" s="8"/>
      <c r="E90" s="7" t="str">
        <f>IF(B90="","",IFERROR(INDEX(Reactivos!$H$2:$H$435,MATCH(B90,Reactivos!$A$2:$A$435,0)),""))</f>
        <v/>
      </c>
      <c r="F90" s="8"/>
      <c r="G90" s="8"/>
      <c r="H90" s="13"/>
    </row>
    <row r="91" spans="1:8" x14ac:dyDescent="0.3">
      <c r="A91" s="11"/>
      <c r="B91" s="8"/>
      <c r="C91" s="7" t="str">
        <f>IF(B91="","",IFERROR(INDEX(Reactivos!$D$2:$D$435,MATCH(B91,Reactivos!$A$2:$A$435,0)),"ID no existe"))</f>
        <v/>
      </c>
      <c r="D91" s="8"/>
      <c r="E91" s="7" t="str">
        <f>IF(B91="","",IFERROR(INDEX(Reactivos!$H$2:$H$435,MATCH(B91,Reactivos!$A$2:$A$435,0)),""))</f>
        <v/>
      </c>
      <c r="F91" s="8"/>
      <c r="G91" s="8"/>
      <c r="H91" s="13"/>
    </row>
    <row r="92" spans="1:8" x14ac:dyDescent="0.3">
      <c r="A92" s="11"/>
      <c r="B92" s="8"/>
      <c r="C92" s="7" t="str">
        <f>IF(B92="","",IFERROR(INDEX(Reactivos!$D$2:$D$435,MATCH(B92,Reactivos!$A$2:$A$435,0)),"ID no existe"))</f>
        <v/>
      </c>
      <c r="D92" s="8"/>
      <c r="E92" s="7" t="str">
        <f>IF(B92="","",IFERROR(INDEX(Reactivos!$H$2:$H$435,MATCH(B92,Reactivos!$A$2:$A$435,0)),""))</f>
        <v/>
      </c>
      <c r="F92" s="8"/>
      <c r="G92" s="8"/>
      <c r="H92" s="13"/>
    </row>
    <row r="93" spans="1:8" x14ac:dyDescent="0.3">
      <c r="A93" s="11"/>
      <c r="B93" s="8"/>
      <c r="C93" s="7" t="str">
        <f>IF(B93="","",IFERROR(INDEX(Reactivos!$D$2:$D$435,MATCH(B93,Reactivos!$A$2:$A$435,0)),"ID no existe"))</f>
        <v/>
      </c>
      <c r="D93" s="8"/>
      <c r="E93" s="7" t="str">
        <f>IF(B93="","",IFERROR(INDEX(Reactivos!$H$2:$H$435,MATCH(B93,Reactivos!$A$2:$A$435,0)),""))</f>
        <v/>
      </c>
      <c r="F93" s="8"/>
      <c r="G93" s="8"/>
      <c r="H93" s="13"/>
    </row>
    <row r="94" spans="1:8" x14ac:dyDescent="0.3">
      <c r="A94" s="11"/>
      <c r="B94" s="8"/>
      <c r="C94" s="7" t="str">
        <f>IF(B94="","",IFERROR(INDEX(Reactivos!$D$2:$D$435,MATCH(B94,Reactivos!$A$2:$A$435,0)),"ID no existe"))</f>
        <v/>
      </c>
      <c r="D94" s="8"/>
      <c r="E94" s="7" t="str">
        <f>IF(B94="","",IFERROR(INDEX(Reactivos!$H$2:$H$435,MATCH(B94,Reactivos!$A$2:$A$435,0)),""))</f>
        <v/>
      </c>
      <c r="F94" s="8"/>
      <c r="G94" s="8"/>
      <c r="H94" s="13"/>
    </row>
    <row r="95" spans="1:8" x14ac:dyDescent="0.3">
      <c r="A95" s="11"/>
      <c r="B95" s="8"/>
      <c r="C95" s="7" t="str">
        <f>IF(B95="","",IFERROR(INDEX(Reactivos!$D$2:$D$435,MATCH(B95,Reactivos!$A$2:$A$435,0)),"ID no existe"))</f>
        <v/>
      </c>
      <c r="D95" s="8"/>
      <c r="E95" s="7" t="str">
        <f>IF(B95="","",IFERROR(INDEX(Reactivos!$H$2:$H$435,MATCH(B95,Reactivos!$A$2:$A$435,0)),""))</f>
        <v/>
      </c>
      <c r="F95" s="8"/>
      <c r="G95" s="8"/>
      <c r="H95" s="13"/>
    </row>
    <row r="96" spans="1:8" x14ac:dyDescent="0.3">
      <c r="A96" s="11"/>
      <c r="B96" s="8"/>
      <c r="C96" s="7" t="str">
        <f>IF(B96="","",IFERROR(INDEX(Reactivos!$D$2:$D$435,MATCH(B96,Reactivos!$A$2:$A$435,0)),"ID no existe"))</f>
        <v/>
      </c>
      <c r="D96" s="8"/>
      <c r="E96" s="7" t="str">
        <f>IF(B96="","",IFERROR(INDEX(Reactivos!$H$2:$H$435,MATCH(B96,Reactivos!$A$2:$A$435,0)),""))</f>
        <v/>
      </c>
      <c r="F96" s="8"/>
      <c r="G96" s="8"/>
      <c r="H96" s="13"/>
    </row>
    <row r="97" spans="1:8" x14ac:dyDescent="0.3">
      <c r="A97" s="11"/>
      <c r="B97" s="8"/>
      <c r="C97" s="7" t="str">
        <f>IF(B97="","",IFERROR(INDEX(Reactivos!$D$2:$D$435,MATCH(B97,Reactivos!$A$2:$A$435,0)),"ID no existe"))</f>
        <v/>
      </c>
      <c r="D97" s="8"/>
      <c r="E97" s="7" t="str">
        <f>IF(B97="","",IFERROR(INDEX(Reactivos!$H$2:$H$435,MATCH(B97,Reactivos!$A$2:$A$435,0)),""))</f>
        <v/>
      </c>
      <c r="F97" s="8"/>
      <c r="G97" s="8"/>
      <c r="H97" s="13"/>
    </row>
    <row r="98" spans="1:8" x14ac:dyDescent="0.3">
      <c r="A98" s="11"/>
      <c r="B98" s="8"/>
      <c r="C98" s="7" t="str">
        <f>IF(B98="","",IFERROR(INDEX(Reactivos!$D$2:$D$435,MATCH(B98,Reactivos!$A$2:$A$435,0)),"ID no existe"))</f>
        <v/>
      </c>
      <c r="D98" s="8"/>
      <c r="E98" s="7" t="str">
        <f>IF(B98="","",IFERROR(INDEX(Reactivos!$H$2:$H$435,MATCH(B98,Reactivos!$A$2:$A$435,0)),""))</f>
        <v/>
      </c>
      <c r="F98" s="8"/>
      <c r="G98" s="8"/>
      <c r="H98" s="13"/>
    </row>
    <row r="99" spans="1:8" x14ac:dyDescent="0.3">
      <c r="A99" s="11"/>
      <c r="B99" s="8"/>
      <c r="C99" s="7" t="str">
        <f>IF(B99="","",IFERROR(INDEX(Reactivos!$D$2:$D$435,MATCH(B99,Reactivos!$A$2:$A$435,0)),"ID no existe"))</f>
        <v/>
      </c>
      <c r="D99" s="8"/>
      <c r="E99" s="7" t="str">
        <f>IF(B99="","",IFERROR(INDEX(Reactivos!$H$2:$H$435,MATCH(B99,Reactivos!$A$2:$A$435,0)),""))</f>
        <v/>
      </c>
      <c r="F99" s="8"/>
      <c r="G99" s="8"/>
      <c r="H99" s="13"/>
    </row>
    <row r="100" spans="1:8" x14ac:dyDescent="0.3">
      <c r="A100" s="11"/>
      <c r="B100" s="8"/>
      <c r="C100" s="7" t="str">
        <f>IF(B100="","",IFERROR(INDEX(Reactivos!$D$2:$D$435,MATCH(B100,Reactivos!$A$2:$A$435,0)),"ID no existe"))</f>
        <v/>
      </c>
      <c r="D100" s="8"/>
      <c r="E100" s="7" t="str">
        <f>IF(B100="","",IFERROR(INDEX(Reactivos!$H$2:$H$435,MATCH(B100,Reactivos!$A$2:$A$435,0)),""))</f>
        <v/>
      </c>
      <c r="F100" s="8"/>
      <c r="G100" s="8"/>
      <c r="H100" s="13"/>
    </row>
    <row r="101" spans="1:8" x14ac:dyDescent="0.3">
      <c r="A101" s="11"/>
      <c r="B101" s="8"/>
      <c r="C101" s="7" t="str">
        <f>IF(B101="","",IFERROR(INDEX(Reactivos!$D$2:$D$435,MATCH(B101,Reactivos!$A$2:$A$435,0)),"ID no existe"))</f>
        <v/>
      </c>
      <c r="D101" s="8"/>
      <c r="E101" s="7" t="str">
        <f>IF(B101="","",IFERROR(INDEX(Reactivos!$H$2:$H$435,MATCH(B101,Reactivos!$A$2:$A$435,0)),""))</f>
        <v/>
      </c>
      <c r="F101" s="8"/>
      <c r="G101" s="8"/>
      <c r="H101" s="13"/>
    </row>
    <row r="102" spans="1:8" x14ac:dyDescent="0.3">
      <c r="A102" s="11"/>
      <c r="B102" s="8"/>
      <c r="C102" s="7" t="str">
        <f>IF(B102="","",IFERROR(INDEX(Reactivos!$D$2:$D$435,MATCH(B102,Reactivos!$A$2:$A$435,0)),"ID no existe"))</f>
        <v/>
      </c>
      <c r="D102" s="8"/>
      <c r="E102" s="7" t="str">
        <f>IF(B102="","",IFERROR(INDEX(Reactivos!$H$2:$H$435,MATCH(B102,Reactivos!$A$2:$A$435,0)),""))</f>
        <v/>
      </c>
      <c r="F102" s="8"/>
      <c r="G102" s="8"/>
      <c r="H102" s="13"/>
    </row>
    <row r="103" spans="1:8" x14ac:dyDescent="0.3">
      <c r="A103" s="11"/>
      <c r="B103" s="8"/>
      <c r="C103" s="7" t="str">
        <f>IF(B103="","",IFERROR(INDEX(Reactivos!$D$2:$D$435,MATCH(B103,Reactivos!$A$2:$A$435,0)),"ID no existe"))</f>
        <v/>
      </c>
      <c r="D103" s="8"/>
      <c r="E103" s="7" t="str">
        <f>IF(B103="","",IFERROR(INDEX(Reactivos!$H$2:$H$435,MATCH(B103,Reactivos!$A$2:$A$435,0)),""))</f>
        <v/>
      </c>
      <c r="F103" s="8"/>
      <c r="G103" s="8"/>
      <c r="H103" s="13"/>
    </row>
    <row r="104" spans="1:8" x14ac:dyDescent="0.3">
      <c r="A104" s="11"/>
      <c r="B104" s="8"/>
      <c r="C104" s="7" t="str">
        <f>IF(B104="","",IFERROR(INDEX(Reactivos!$D$2:$D$435,MATCH(B104,Reactivos!$A$2:$A$435,0)),"ID no existe"))</f>
        <v/>
      </c>
      <c r="D104" s="8"/>
      <c r="E104" s="7" t="str">
        <f>IF(B104="","",IFERROR(INDEX(Reactivos!$H$2:$H$435,MATCH(B104,Reactivos!$A$2:$A$435,0)),""))</f>
        <v/>
      </c>
      <c r="F104" s="8"/>
      <c r="G104" s="8"/>
      <c r="H104" s="13"/>
    </row>
    <row r="105" spans="1:8" x14ac:dyDescent="0.3">
      <c r="A105" s="11"/>
      <c r="B105" s="8"/>
      <c r="C105" s="7" t="str">
        <f>IF(B105="","",IFERROR(INDEX(Reactivos!$D$2:$D$435,MATCH(B105,Reactivos!$A$2:$A$435,0)),"ID no existe"))</f>
        <v/>
      </c>
      <c r="D105" s="8"/>
      <c r="E105" s="7" t="str">
        <f>IF(B105="","",IFERROR(INDEX(Reactivos!$H$2:$H$435,MATCH(B105,Reactivos!$A$2:$A$435,0)),""))</f>
        <v/>
      </c>
      <c r="F105" s="8"/>
      <c r="G105" s="8"/>
      <c r="H105" s="13"/>
    </row>
    <row r="106" spans="1:8" x14ac:dyDescent="0.3">
      <c r="A106" s="11"/>
      <c r="B106" s="8"/>
      <c r="C106" s="7" t="str">
        <f>IF(B106="","",IFERROR(INDEX(Reactivos!$D$2:$D$435,MATCH(B106,Reactivos!$A$2:$A$435,0)),"ID no existe"))</f>
        <v/>
      </c>
      <c r="D106" s="8"/>
      <c r="E106" s="7" t="str">
        <f>IF(B106="","",IFERROR(INDEX(Reactivos!$H$2:$H$435,MATCH(B106,Reactivos!$A$2:$A$435,0)),""))</f>
        <v/>
      </c>
      <c r="F106" s="8"/>
      <c r="G106" s="8"/>
      <c r="H106" s="13"/>
    </row>
    <row r="107" spans="1:8" x14ac:dyDescent="0.3">
      <c r="A107" s="11"/>
      <c r="B107" s="8"/>
      <c r="C107" s="7" t="str">
        <f>IF(B107="","",IFERROR(INDEX(Reactivos!$D$2:$D$435,MATCH(B107,Reactivos!$A$2:$A$435,0)),"ID no existe"))</f>
        <v/>
      </c>
      <c r="D107" s="8"/>
      <c r="E107" s="7" t="str">
        <f>IF(B107="","",IFERROR(INDEX(Reactivos!$H$2:$H$435,MATCH(B107,Reactivos!$A$2:$A$435,0)),""))</f>
        <v/>
      </c>
      <c r="F107" s="8"/>
      <c r="G107" s="8"/>
      <c r="H107" s="13"/>
    </row>
    <row r="108" spans="1:8" x14ac:dyDescent="0.3">
      <c r="A108" s="11"/>
      <c r="B108" s="8"/>
      <c r="C108" s="7" t="str">
        <f>IF(B108="","",IFERROR(INDEX(Reactivos!$D$2:$D$435,MATCH(B108,Reactivos!$A$2:$A$435,0)),"ID no existe"))</f>
        <v/>
      </c>
      <c r="D108" s="8"/>
      <c r="E108" s="7" t="str">
        <f>IF(B108="","",IFERROR(INDEX(Reactivos!$H$2:$H$435,MATCH(B108,Reactivos!$A$2:$A$435,0)),""))</f>
        <v/>
      </c>
      <c r="F108" s="8"/>
      <c r="G108" s="8"/>
      <c r="H108" s="13"/>
    </row>
    <row r="109" spans="1:8" x14ac:dyDescent="0.3">
      <c r="A109" s="11"/>
      <c r="B109" s="8"/>
      <c r="C109" s="7" t="str">
        <f>IF(B109="","",IFERROR(INDEX(Reactivos!$D$2:$D$435,MATCH(B109,Reactivos!$A$2:$A$435,0)),"ID no existe"))</f>
        <v/>
      </c>
      <c r="D109" s="8"/>
      <c r="E109" s="7" t="str">
        <f>IF(B109="","",IFERROR(INDEX(Reactivos!$H$2:$H$435,MATCH(B109,Reactivos!$A$2:$A$435,0)),""))</f>
        <v/>
      </c>
      <c r="F109" s="8"/>
      <c r="G109" s="8"/>
      <c r="H109" s="13"/>
    </row>
    <row r="110" spans="1:8" x14ac:dyDescent="0.3">
      <c r="A110" s="11"/>
      <c r="B110" s="8"/>
      <c r="C110" s="7" t="str">
        <f>IF(B110="","",IFERROR(INDEX(Reactivos!$D$2:$D$435,MATCH(B110,Reactivos!$A$2:$A$435,0)),"ID no existe"))</f>
        <v/>
      </c>
      <c r="D110" s="8"/>
      <c r="E110" s="7" t="str">
        <f>IF(B110="","",IFERROR(INDEX(Reactivos!$H$2:$H$435,MATCH(B110,Reactivos!$A$2:$A$435,0)),""))</f>
        <v/>
      </c>
      <c r="F110" s="8"/>
      <c r="G110" s="8"/>
      <c r="H110" s="13"/>
    </row>
    <row r="111" spans="1:8" x14ac:dyDescent="0.3">
      <c r="A111" s="11"/>
      <c r="B111" s="8"/>
      <c r="C111" s="7" t="str">
        <f>IF(B111="","",IFERROR(INDEX(Reactivos!$D$2:$D$435,MATCH(B111,Reactivos!$A$2:$A$435,0)),"ID no existe"))</f>
        <v/>
      </c>
      <c r="D111" s="8"/>
      <c r="E111" s="7" t="str">
        <f>IF(B111="","",IFERROR(INDEX(Reactivos!$H$2:$H$435,MATCH(B111,Reactivos!$A$2:$A$435,0)),""))</f>
        <v/>
      </c>
      <c r="F111" s="8"/>
      <c r="G111" s="8"/>
      <c r="H111" s="13"/>
    </row>
    <row r="112" spans="1:8" x14ac:dyDescent="0.3">
      <c r="A112" s="11"/>
      <c r="B112" s="8"/>
      <c r="C112" s="7" t="str">
        <f>IF(B112="","",IFERROR(INDEX(Reactivos!$D$2:$D$435,MATCH(B112,Reactivos!$A$2:$A$435,0)),"ID no existe"))</f>
        <v/>
      </c>
      <c r="D112" s="8"/>
      <c r="E112" s="7" t="str">
        <f>IF(B112="","",IFERROR(INDEX(Reactivos!$H$2:$H$435,MATCH(B112,Reactivos!$A$2:$A$435,0)),""))</f>
        <v/>
      </c>
      <c r="F112" s="8"/>
      <c r="G112" s="8"/>
      <c r="H112" s="13"/>
    </row>
    <row r="113" spans="1:8" x14ac:dyDescent="0.3">
      <c r="A113" s="11"/>
      <c r="B113" s="8"/>
      <c r="C113" s="7" t="str">
        <f>IF(B113="","",IFERROR(INDEX(Reactivos!$D$2:$D$435,MATCH(B113,Reactivos!$A$2:$A$435,0)),"ID no existe"))</f>
        <v/>
      </c>
      <c r="D113" s="8"/>
      <c r="E113" s="7" t="str">
        <f>IF(B113="","",IFERROR(INDEX(Reactivos!$H$2:$H$435,MATCH(B113,Reactivos!$A$2:$A$435,0)),""))</f>
        <v/>
      </c>
      <c r="F113" s="8"/>
      <c r="G113" s="8"/>
      <c r="H113" s="13"/>
    </row>
    <row r="114" spans="1:8" x14ac:dyDescent="0.3">
      <c r="A114" s="11"/>
      <c r="B114" s="8"/>
      <c r="C114" s="7" t="str">
        <f>IF(B114="","",IFERROR(INDEX(Reactivos!$D$2:$D$435,MATCH(B114,Reactivos!$A$2:$A$435,0)),"ID no existe"))</f>
        <v/>
      </c>
      <c r="D114" s="8"/>
      <c r="E114" s="7" t="str">
        <f>IF(B114="","",IFERROR(INDEX(Reactivos!$H$2:$H$435,MATCH(B114,Reactivos!$A$2:$A$435,0)),""))</f>
        <v/>
      </c>
      <c r="F114" s="8"/>
      <c r="G114" s="8"/>
      <c r="H114" s="13"/>
    </row>
    <row r="115" spans="1:8" x14ac:dyDescent="0.3">
      <c r="A115" s="11"/>
      <c r="B115" s="8"/>
      <c r="C115" s="7" t="str">
        <f>IF(B115="","",IFERROR(INDEX(Reactivos!$D$2:$D$435,MATCH(B115,Reactivos!$A$2:$A$435,0)),"ID no existe"))</f>
        <v/>
      </c>
      <c r="D115" s="8"/>
      <c r="E115" s="7" t="str">
        <f>IF(B115="","",IFERROR(INDEX(Reactivos!$H$2:$H$435,MATCH(B115,Reactivos!$A$2:$A$435,0)),""))</f>
        <v/>
      </c>
      <c r="F115" s="8"/>
      <c r="G115" s="8"/>
      <c r="H115" s="13"/>
    </row>
    <row r="116" spans="1:8" x14ac:dyDescent="0.3">
      <c r="A116" s="11"/>
      <c r="B116" s="8"/>
      <c r="C116" s="7" t="str">
        <f>IF(B116="","",IFERROR(INDEX(Reactivos!$D$2:$D$435,MATCH(B116,Reactivos!$A$2:$A$435,0)),"ID no existe"))</f>
        <v/>
      </c>
      <c r="D116" s="8"/>
      <c r="E116" s="7" t="str">
        <f>IF(B116="","",IFERROR(INDEX(Reactivos!$H$2:$H$435,MATCH(B116,Reactivos!$A$2:$A$435,0)),""))</f>
        <v/>
      </c>
      <c r="F116" s="8"/>
      <c r="G116" s="8"/>
      <c r="H116" s="13"/>
    </row>
    <row r="117" spans="1:8" x14ac:dyDescent="0.3">
      <c r="A117" s="11"/>
      <c r="B117" s="8"/>
      <c r="C117" s="7" t="str">
        <f>IF(B117="","",IFERROR(INDEX(Reactivos!$D$2:$D$435,MATCH(B117,Reactivos!$A$2:$A$435,0)),"ID no existe"))</f>
        <v/>
      </c>
      <c r="D117" s="8"/>
      <c r="E117" s="7" t="str">
        <f>IF(B117="","",IFERROR(INDEX(Reactivos!$H$2:$H$435,MATCH(B117,Reactivos!$A$2:$A$435,0)),""))</f>
        <v/>
      </c>
      <c r="F117" s="8"/>
      <c r="G117" s="8"/>
      <c r="H117" s="13"/>
    </row>
    <row r="118" spans="1:8" x14ac:dyDescent="0.3">
      <c r="A118" s="11"/>
      <c r="B118" s="8"/>
      <c r="C118" s="7" t="str">
        <f>IF(B118="","",IFERROR(INDEX(Reactivos!$D$2:$D$435,MATCH(B118,Reactivos!$A$2:$A$435,0)),"ID no existe"))</f>
        <v/>
      </c>
      <c r="D118" s="8"/>
      <c r="E118" s="7" t="str">
        <f>IF(B118="","",IFERROR(INDEX(Reactivos!$H$2:$H$435,MATCH(B118,Reactivos!$A$2:$A$435,0)),""))</f>
        <v/>
      </c>
      <c r="F118" s="8"/>
      <c r="G118" s="8"/>
      <c r="H118" s="13"/>
    </row>
    <row r="119" spans="1:8" x14ac:dyDescent="0.3">
      <c r="A119" s="11"/>
      <c r="B119" s="8"/>
      <c r="C119" s="7" t="str">
        <f>IF(B119="","",IFERROR(INDEX(Reactivos!$D$2:$D$435,MATCH(B119,Reactivos!$A$2:$A$435,0)),"ID no existe"))</f>
        <v/>
      </c>
      <c r="D119" s="8"/>
      <c r="E119" s="7" t="str">
        <f>IF(B119="","",IFERROR(INDEX(Reactivos!$H$2:$H$435,MATCH(B119,Reactivos!$A$2:$A$435,0)),""))</f>
        <v/>
      </c>
      <c r="F119" s="8"/>
      <c r="G119" s="8"/>
      <c r="H119" s="13"/>
    </row>
    <row r="120" spans="1:8" x14ac:dyDescent="0.3">
      <c r="A120" s="11"/>
      <c r="B120" s="8"/>
      <c r="C120" s="7" t="str">
        <f>IF(B120="","",IFERROR(INDEX(Reactivos!$D$2:$D$435,MATCH(B120,Reactivos!$A$2:$A$435,0)),"ID no existe"))</f>
        <v/>
      </c>
      <c r="D120" s="8"/>
      <c r="E120" s="7" t="str">
        <f>IF(B120="","",IFERROR(INDEX(Reactivos!$H$2:$H$435,MATCH(B120,Reactivos!$A$2:$A$435,0)),""))</f>
        <v/>
      </c>
      <c r="F120" s="8"/>
      <c r="G120" s="8"/>
      <c r="H120" s="13"/>
    </row>
    <row r="121" spans="1:8" x14ac:dyDescent="0.3">
      <c r="A121" s="11"/>
      <c r="B121" s="8"/>
      <c r="C121" s="7" t="str">
        <f>IF(B121="","",IFERROR(INDEX(Reactivos!$D$2:$D$435,MATCH(B121,Reactivos!$A$2:$A$435,0)),"ID no existe"))</f>
        <v/>
      </c>
      <c r="D121" s="8"/>
      <c r="E121" s="7" t="str">
        <f>IF(B121="","",IFERROR(INDEX(Reactivos!$H$2:$H$435,MATCH(B121,Reactivos!$A$2:$A$435,0)),""))</f>
        <v/>
      </c>
      <c r="F121" s="8"/>
      <c r="G121" s="8"/>
      <c r="H121" s="13"/>
    </row>
    <row r="122" spans="1:8" x14ac:dyDescent="0.3">
      <c r="A122" s="11"/>
      <c r="B122" s="8"/>
      <c r="C122" s="7" t="str">
        <f>IF(B122="","",IFERROR(INDEX(Reactivos!$D$2:$D$435,MATCH(B122,Reactivos!$A$2:$A$435,0)),"ID no existe"))</f>
        <v/>
      </c>
      <c r="D122" s="8"/>
      <c r="E122" s="7" t="str">
        <f>IF(B122="","",IFERROR(INDEX(Reactivos!$H$2:$H$435,MATCH(B122,Reactivos!$A$2:$A$435,0)),""))</f>
        <v/>
      </c>
      <c r="F122" s="8"/>
      <c r="G122" s="8"/>
      <c r="H122" s="13"/>
    </row>
    <row r="123" spans="1:8" x14ac:dyDescent="0.3">
      <c r="A123" s="11"/>
      <c r="B123" s="8"/>
      <c r="C123" s="7" t="str">
        <f>IF(B123="","",IFERROR(INDEX(Reactivos!$D$2:$D$435,MATCH(B123,Reactivos!$A$2:$A$435,0)),"ID no existe"))</f>
        <v/>
      </c>
      <c r="D123" s="8"/>
      <c r="E123" s="7" t="str">
        <f>IF(B123="","",IFERROR(INDEX(Reactivos!$H$2:$H$435,MATCH(B123,Reactivos!$A$2:$A$435,0)),""))</f>
        <v/>
      </c>
      <c r="F123" s="8"/>
      <c r="G123" s="8"/>
      <c r="H123" s="13"/>
    </row>
    <row r="124" spans="1:8" x14ac:dyDescent="0.3">
      <c r="A124" s="11"/>
      <c r="B124" s="8"/>
      <c r="C124" s="7" t="str">
        <f>IF(B124="","",IFERROR(INDEX(Reactivos!$D$2:$D$435,MATCH(B124,Reactivos!$A$2:$A$435,0)),"ID no existe"))</f>
        <v/>
      </c>
      <c r="D124" s="8"/>
      <c r="E124" s="7" t="str">
        <f>IF(B124="","",IFERROR(INDEX(Reactivos!$H$2:$H$435,MATCH(B124,Reactivos!$A$2:$A$435,0)),""))</f>
        <v/>
      </c>
      <c r="F124" s="8"/>
      <c r="G124" s="8"/>
      <c r="H124" s="13"/>
    </row>
    <row r="125" spans="1:8" x14ac:dyDescent="0.3">
      <c r="A125" s="11"/>
      <c r="B125" s="8"/>
      <c r="C125" s="7" t="str">
        <f>IF(B125="","",IFERROR(INDEX(Reactivos!$D$2:$D$435,MATCH(B125,Reactivos!$A$2:$A$435,0)),"ID no existe"))</f>
        <v/>
      </c>
      <c r="D125" s="8"/>
      <c r="E125" s="7" t="str">
        <f>IF(B125="","",IFERROR(INDEX(Reactivos!$H$2:$H$435,MATCH(B125,Reactivos!$A$2:$A$435,0)),""))</f>
        <v/>
      </c>
      <c r="F125" s="8"/>
      <c r="G125" s="8"/>
      <c r="H125" s="13"/>
    </row>
    <row r="126" spans="1:8" x14ac:dyDescent="0.3">
      <c r="A126" s="11"/>
      <c r="B126" s="8"/>
      <c r="C126" s="7" t="str">
        <f>IF(B126="","",IFERROR(INDEX(Reactivos!$D$2:$D$435,MATCH(B126,Reactivos!$A$2:$A$435,0)),"ID no existe"))</f>
        <v/>
      </c>
      <c r="D126" s="8"/>
      <c r="E126" s="7" t="str">
        <f>IF(B126="","",IFERROR(INDEX(Reactivos!$H$2:$H$435,MATCH(B126,Reactivos!$A$2:$A$435,0)),""))</f>
        <v/>
      </c>
      <c r="F126" s="8"/>
      <c r="G126" s="8"/>
      <c r="H126" s="13"/>
    </row>
    <row r="127" spans="1:8" x14ac:dyDescent="0.3">
      <c r="A127" s="11"/>
      <c r="B127" s="8"/>
      <c r="C127" s="7" t="str">
        <f>IF(B127="","",IFERROR(INDEX(Reactivos!$D$2:$D$435,MATCH(B127,Reactivos!$A$2:$A$435,0)),"ID no existe"))</f>
        <v/>
      </c>
      <c r="D127" s="8"/>
      <c r="E127" s="7" t="str">
        <f>IF(B127="","",IFERROR(INDEX(Reactivos!$H$2:$H$435,MATCH(B127,Reactivos!$A$2:$A$435,0)),""))</f>
        <v/>
      </c>
      <c r="F127" s="8"/>
      <c r="G127" s="8"/>
      <c r="H127" s="13"/>
    </row>
    <row r="128" spans="1:8" x14ac:dyDescent="0.3">
      <c r="A128" s="11"/>
      <c r="B128" s="8"/>
      <c r="C128" s="7" t="str">
        <f>IF(B128="","",IFERROR(INDEX(Reactivos!$D$2:$D$435,MATCH(B128,Reactivos!$A$2:$A$435,0)),"ID no existe"))</f>
        <v/>
      </c>
      <c r="D128" s="8"/>
      <c r="E128" s="7" t="str">
        <f>IF(B128="","",IFERROR(INDEX(Reactivos!$H$2:$H$435,MATCH(B128,Reactivos!$A$2:$A$435,0)),""))</f>
        <v/>
      </c>
      <c r="F128" s="8"/>
      <c r="G128" s="8"/>
      <c r="H128" s="13"/>
    </row>
    <row r="129" spans="1:8" x14ac:dyDescent="0.3">
      <c r="A129" s="11"/>
      <c r="B129" s="8"/>
      <c r="C129" s="7" t="str">
        <f>IF(B129="","",IFERROR(INDEX(Reactivos!$D$2:$D$435,MATCH(B129,Reactivos!$A$2:$A$435,0)),"ID no existe"))</f>
        <v/>
      </c>
      <c r="D129" s="8"/>
      <c r="E129" s="7" t="str">
        <f>IF(B129="","",IFERROR(INDEX(Reactivos!$H$2:$H$435,MATCH(B129,Reactivos!$A$2:$A$435,0)),""))</f>
        <v/>
      </c>
      <c r="F129" s="8"/>
      <c r="G129" s="8"/>
      <c r="H129" s="13"/>
    </row>
    <row r="130" spans="1:8" x14ac:dyDescent="0.3">
      <c r="A130" s="11"/>
      <c r="B130" s="8"/>
      <c r="C130" s="7" t="str">
        <f>IF(B130="","",IFERROR(INDEX(Reactivos!$D$2:$D$435,MATCH(B130,Reactivos!$A$2:$A$435,0)),"ID no existe"))</f>
        <v/>
      </c>
      <c r="D130" s="8"/>
      <c r="E130" s="7" t="str">
        <f>IF(B130="","",IFERROR(INDEX(Reactivos!$H$2:$H$435,MATCH(B130,Reactivos!$A$2:$A$435,0)),""))</f>
        <v/>
      </c>
      <c r="F130" s="8"/>
      <c r="G130" s="8"/>
      <c r="H130" s="13"/>
    </row>
    <row r="131" spans="1:8" x14ac:dyDescent="0.3">
      <c r="A131" s="11"/>
      <c r="B131" s="8"/>
      <c r="C131" s="7" t="str">
        <f>IF(B131="","",IFERROR(INDEX(Reactivos!$D$2:$D$435,MATCH(B131,Reactivos!$A$2:$A$435,0)),"ID no existe"))</f>
        <v/>
      </c>
      <c r="D131" s="8"/>
      <c r="E131" s="7" t="str">
        <f>IF(B131="","",IFERROR(INDEX(Reactivos!$H$2:$H$435,MATCH(B131,Reactivos!$A$2:$A$435,0)),""))</f>
        <v/>
      </c>
      <c r="F131" s="8"/>
      <c r="G131" s="8"/>
      <c r="H131" s="13"/>
    </row>
    <row r="132" spans="1:8" x14ac:dyDescent="0.3">
      <c r="A132" s="11"/>
      <c r="B132" s="8"/>
      <c r="C132" s="7" t="str">
        <f>IF(B132="","",IFERROR(INDEX(Reactivos!$D$2:$D$435,MATCH(B132,Reactivos!$A$2:$A$435,0)),"ID no existe"))</f>
        <v/>
      </c>
      <c r="D132" s="8"/>
      <c r="E132" s="7" t="str">
        <f>IF(B132="","",IFERROR(INDEX(Reactivos!$H$2:$H$435,MATCH(B132,Reactivos!$A$2:$A$435,0)),""))</f>
        <v/>
      </c>
      <c r="F132" s="8"/>
      <c r="G132" s="8"/>
      <c r="H132" s="13"/>
    </row>
    <row r="133" spans="1:8" x14ac:dyDescent="0.3">
      <c r="A133" s="11"/>
      <c r="B133" s="8"/>
      <c r="C133" s="7" t="str">
        <f>IF(B133="","",IFERROR(INDEX(Reactivos!$D$2:$D$435,MATCH(B133,Reactivos!$A$2:$A$435,0)),"ID no existe"))</f>
        <v/>
      </c>
      <c r="D133" s="8"/>
      <c r="E133" s="7" t="str">
        <f>IF(B133="","",IFERROR(INDEX(Reactivos!$H$2:$H$435,MATCH(B133,Reactivos!$A$2:$A$435,0)),""))</f>
        <v/>
      </c>
      <c r="F133" s="8"/>
      <c r="G133" s="8"/>
      <c r="H133" s="13"/>
    </row>
    <row r="134" spans="1:8" x14ac:dyDescent="0.3">
      <c r="A134" s="11"/>
      <c r="B134" s="8"/>
      <c r="C134" s="7" t="str">
        <f>IF(B134="","",IFERROR(INDEX(Reactivos!$D$2:$D$435,MATCH(B134,Reactivos!$A$2:$A$435,0)),"ID no existe"))</f>
        <v/>
      </c>
      <c r="D134" s="8"/>
      <c r="E134" s="7" t="str">
        <f>IF(B134="","",IFERROR(INDEX(Reactivos!$H$2:$H$435,MATCH(B134,Reactivos!$A$2:$A$435,0)),""))</f>
        <v/>
      </c>
      <c r="F134" s="8"/>
      <c r="G134" s="8"/>
      <c r="H134" s="13"/>
    </row>
    <row r="135" spans="1:8" x14ac:dyDescent="0.3">
      <c r="A135" s="11"/>
      <c r="B135" s="8"/>
      <c r="C135" s="7" t="str">
        <f>IF(B135="","",IFERROR(INDEX(Reactivos!$D$2:$D$435,MATCH(B135,Reactivos!$A$2:$A$435,0)),"ID no existe"))</f>
        <v/>
      </c>
      <c r="D135" s="8"/>
      <c r="E135" s="7" t="str">
        <f>IF(B135="","",IFERROR(INDEX(Reactivos!$H$2:$H$435,MATCH(B135,Reactivos!$A$2:$A$435,0)),""))</f>
        <v/>
      </c>
      <c r="F135" s="8"/>
      <c r="G135" s="8"/>
      <c r="H135" s="13"/>
    </row>
    <row r="136" spans="1:8" x14ac:dyDescent="0.3">
      <c r="A136" s="11"/>
      <c r="B136" s="8"/>
      <c r="C136" s="7" t="str">
        <f>IF(B136="","",IFERROR(INDEX(Reactivos!$D$2:$D$435,MATCH(B136,Reactivos!$A$2:$A$435,0)),"ID no existe"))</f>
        <v/>
      </c>
      <c r="D136" s="8"/>
      <c r="E136" s="7" t="str">
        <f>IF(B136="","",IFERROR(INDEX(Reactivos!$H$2:$H$435,MATCH(B136,Reactivos!$A$2:$A$435,0)),""))</f>
        <v/>
      </c>
      <c r="F136" s="8"/>
      <c r="G136" s="8"/>
      <c r="H136" s="13"/>
    </row>
    <row r="137" spans="1:8" x14ac:dyDescent="0.3">
      <c r="A137" s="11"/>
      <c r="B137" s="8"/>
      <c r="C137" s="7" t="str">
        <f>IF(B137="","",IFERROR(INDEX(Reactivos!$D$2:$D$435,MATCH(B137,Reactivos!$A$2:$A$435,0)),"ID no existe"))</f>
        <v/>
      </c>
      <c r="D137" s="8"/>
      <c r="E137" s="7" t="str">
        <f>IF(B137="","",IFERROR(INDEX(Reactivos!$H$2:$H$435,MATCH(B137,Reactivos!$A$2:$A$435,0)),""))</f>
        <v/>
      </c>
      <c r="F137" s="8"/>
      <c r="G137" s="8"/>
      <c r="H137" s="13"/>
    </row>
    <row r="138" spans="1:8" x14ac:dyDescent="0.3">
      <c r="A138" s="11"/>
      <c r="B138" s="8"/>
      <c r="C138" s="7" t="str">
        <f>IF(B138="","",IFERROR(INDEX(Reactivos!$D$2:$D$435,MATCH(B138,Reactivos!$A$2:$A$435,0)),"ID no existe"))</f>
        <v/>
      </c>
      <c r="D138" s="8"/>
      <c r="E138" s="7" t="str">
        <f>IF(B138="","",IFERROR(INDEX(Reactivos!$H$2:$H$435,MATCH(B138,Reactivos!$A$2:$A$435,0)),""))</f>
        <v/>
      </c>
      <c r="F138" s="8"/>
      <c r="G138" s="8"/>
      <c r="H138" s="13"/>
    </row>
    <row r="139" spans="1:8" x14ac:dyDescent="0.3">
      <c r="A139" s="11"/>
      <c r="B139" s="8"/>
      <c r="C139" s="7" t="str">
        <f>IF(B139="","",IFERROR(INDEX(Reactivos!$D$2:$D$435,MATCH(B139,Reactivos!$A$2:$A$435,0)),"ID no existe"))</f>
        <v/>
      </c>
      <c r="D139" s="8"/>
      <c r="E139" s="7" t="str">
        <f>IF(B139="","",IFERROR(INDEX(Reactivos!$H$2:$H$435,MATCH(B139,Reactivos!$A$2:$A$435,0)),""))</f>
        <v/>
      </c>
      <c r="F139" s="8"/>
      <c r="G139" s="8"/>
      <c r="H139" s="13"/>
    </row>
    <row r="140" spans="1:8" x14ac:dyDescent="0.3">
      <c r="A140" s="11"/>
      <c r="B140" s="8"/>
      <c r="C140" s="7" t="str">
        <f>IF(B140="","",IFERROR(INDEX(Reactivos!$D$2:$D$435,MATCH(B140,Reactivos!$A$2:$A$435,0)),"ID no existe"))</f>
        <v/>
      </c>
      <c r="D140" s="8"/>
      <c r="E140" s="7" t="str">
        <f>IF(B140="","",IFERROR(INDEX(Reactivos!$H$2:$H$435,MATCH(B140,Reactivos!$A$2:$A$435,0)),""))</f>
        <v/>
      </c>
      <c r="F140" s="8"/>
      <c r="G140" s="8"/>
      <c r="H140" s="13"/>
    </row>
    <row r="141" spans="1:8" x14ac:dyDescent="0.3">
      <c r="A141" s="11"/>
      <c r="B141" s="8"/>
      <c r="C141" s="7" t="str">
        <f>IF(B141="","",IFERROR(INDEX(Reactivos!$D$2:$D$435,MATCH(B141,Reactivos!$A$2:$A$435,0)),"ID no existe"))</f>
        <v/>
      </c>
      <c r="D141" s="8"/>
      <c r="E141" s="7" t="str">
        <f>IF(B141="","",IFERROR(INDEX(Reactivos!$H$2:$H$435,MATCH(B141,Reactivos!$A$2:$A$435,0)),""))</f>
        <v/>
      </c>
      <c r="F141" s="8"/>
      <c r="G141" s="8"/>
      <c r="H141" s="13"/>
    </row>
    <row r="142" spans="1:8" x14ac:dyDescent="0.3">
      <c r="A142" s="11"/>
      <c r="B142" s="8"/>
      <c r="C142" s="7" t="str">
        <f>IF(B142="","",IFERROR(INDEX(Reactivos!$D$2:$D$435,MATCH(B142,Reactivos!$A$2:$A$435,0)),"ID no existe"))</f>
        <v/>
      </c>
      <c r="D142" s="8"/>
      <c r="E142" s="7" t="str">
        <f>IF(B142="","",IFERROR(INDEX(Reactivos!$H$2:$H$435,MATCH(B142,Reactivos!$A$2:$A$435,0)),""))</f>
        <v/>
      </c>
      <c r="F142" s="8"/>
      <c r="G142" s="8"/>
      <c r="H142" s="13"/>
    </row>
    <row r="143" spans="1:8" x14ac:dyDescent="0.3">
      <c r="A143" s="11"/>
      <c r="B143" s="8"/>
      <c r="C143" s="7" t="str">
        <f>IF(B143="","",IFERROR(INDEX(Reactivos!$D$2:$D$435,MATCH(B143,Reactivos!$A$2:$A$435,0)),"ID no existe"))</f>
        <v/>
      </c>
      <c r="D143" s="8"/>
      <c r="E143" s="7" t="str">
        <f>IF(B143="","",IFERROR(INDEX(Reactivos!$H$2:$H$435,MATCH(B143,Reactivos!$A$2:$A$435,0)),""))</f>
        <v/>
      </c>
      <c r="F143" s="8"/>
      <c r="G143" s="8"/>
      <c r="H143" s="13"/>
    </row>
    <row r="144" spans="1:8" x14ac:dyDescent="0.3">
      <c r="A144" s="11"/>
      <c r="B144" s="8"/>
      <c r="C144" s="7" t="str">
        <f>IF(B144="","",IFERROR(INDEX(Reactivos!$D$2:$D$435,MATCH(B144,Reactivos!$A$2:$A$435,0)),"ID no existe"))</f>
        <v/>
      </c>
      <c r="D144" s="8"/>
      <c r="E144" s="7" t="str">
        <f>IF(B144="","",IFERROR(INDEX(Reactivos!$H$2:$H$435,MATCH(B144,Reactivos!$A$2:$A$435,0)),""))</f>
        <v/>
      </c>
      <c r="F144" s="8"/>
      <c r="G144" s="8"/>
      <c r="H144" s="13"/>
    </row>
    <row r="145" spans="1:8" x14ac:dyDescent="0.3">
      <c r="A145" s="11"/>
      <c r="B145" s="8"/>
      <c r="C145" s="7" t="str">
        <f>IF(B145="","",IFERROR(INDEX(Reactivos!$D$2:$D$435,MATCH(B145,Reactivos!$A$2:$A$435,0)),"ID no existe"))</f>
        <v/>
      </c>
      <c r="D145" s="8"/>
      <c r="E145" s="7" t="str">
        <f>IF(B145="","",IFERROR(INDEX(Reactivos!$H$2:$H$435,MATCH(B145,Reactivos!$A$2:$A$435,0)),""))</f>
        <v/>
      </c>
      <c r="F145" s="8"/>
      <c r="G145" s="8"/>
      <c r="H145" s="13"/>
    </row>
    <row r="146" spans="1:8" x14ac:dyDescent="0.3">
      <c r="A146" s="11"/>
      <c r="B146" s="8"/>
      <c r="C146" s="7" t="str">
        <f>IF(B146="","",IFERROR(INDEX(Reactivos!$D$2:$D$435,MATCH(B146,Reactivos!$A$2:$A$435,0)),"ID no existe"))</f>
        <v/>
      </c>
      <c r="D146" s="8"/>
      <c r="E146" s="7" t="str">
        <f>IF(B146="","",IFERROR(INDEX(Reactivos!$H$2:$H$435,MATCH(B146,Reactivos!$A$2:$A$435,0)),""))</f>
        <v/>
      </c>
      <c r="F146" s="8"/>
      <c r="G146" s="8"/>
      <c r="H146" s="13"/>
    </row>
    <row r="147" spans="1:8" x14ac:dyDescent="0.3">
      <c r="A147" s="11"/>
      <c r="B147" s="8"/>
      <c r="C147" s="7" t="str">
        <f>IF(B147="","",IFERROR(INDEX(Reactivos!$D$2:$D$435,MATCH(B147,Reactivos!$A$2:$A$435,0)),"ID no existe"))</f>
        <v/>
      </c>
      <c r="D147" s="8"/>
      <c r="E147" s="7" t="str">
        <f>IF(B147="","",IFERROR(INDEX(Reactivos!$H$2:$H$435,MATCH(B147,Reactivos!$A$2:$A$435,0)),""))</f>
        <v/>
      </c>
      <c r="F147" s="8"/>
      <c r="G147" s="8"/>
      <c r="H147" s="13"/>
    </row>
    <row r="148" spans="1:8" x14ac:dyDescent="0.3">
      <c r="A148" s="11"/>
      <c r="B148" s="8"/>
      <c r="C148" s="7" t="str">
        <f>IF(B148="","",IFERROR(INDEX(Reactivos!$D$2:$D$435,MATCH(B148,Reactivos!$A$2:$A$435,0)),"ID no existe"))</f>
        <v/>
      </c>
      <c r="D148" s="8"/>
      <c r="E148" s="7" t="str">
        <f>IF(B148="","",IFERROR(INDEX(Reactivos!$H$2:$H$435,MATCH(B148,Reactivos!$A$2:$A$435,0)),""))</f>
        <v/>
      </c>
      <c r="F148" s="8"/>
      <c r="G148" s="8"/>
      <c r="H148" s="13"/>
    </row>
    <row r="149" spans="1:8" x14ac:dyDescent="0.3">
      <c r="A149" s="11"/>
      <c r="B149" s="8"/>
      <c r="C149" s="7" t="str">
        <f>IF(B149="","",IFERROR(INDEX(Reactivos!$D$2:$D$435,MATCH(B149,Reactivos!$A$2:$A$435,0)),"ID no existe"))</f>
        <v/>
      </c>
      <c r="D149" s="8"/>
      <c r="E149" s="7" t="str">
        <f>IF(B149="","",IFERROR(INDEX(Reactivos!$H$2:$H$435,MATCH(B149,Reactivos!$A$2:$A$435,0)),""))</f>
        <v/>
      </c>
      <c r="F149" s="8"/>
      <c r="G149" s="8"/>
      <c r="H149" s="13"/>
    </row>
    <row r="150" spans="1:8" x14ac:dyDescent="0.3">
      <c r="A150" s="11"/>
      <c r="B150" s="8"/>
      <c r="C150" s="7" t="str">
        <f>IF(B150="","",IFERROR(INDEX(Reactivos!$D$2:$D$435,MATCH(B150,Reactivos!$A$2:$A$435,0)),"ID no existe"))</f>
        <v/>
      </c>
      <c r="D150" s="8"/>
      <c r="E150" s="7" t="str">
        <f>IF(B150="","",IFERROR(INDEX(Reactivos!$H$2:$H$435,MATCH(B150,Reactivos!$A$2:$A$435,0)),""))</f>
        <v/>
      </c>
      <c r="F150" s="8"/>
      <c r="G150" s="8"/>
      <c r="H150" s="13"/>
    </row>
    <row r="151" spans="1:8" x14ac:dyDescent="0.3">
      <c r="A151" s="11"/>
      <c r="B151" s="8"/>
      <c r="C151" s="7" t="str">
        <f>IF(B151="","",IFERROR(INDEX(Reactivos!$D$2:$D$435,MATCH(B151,Reactivos!$A$2:$A$435,0)),"ID no existe"))</f>
        <v/>
      </c>
      <c r="D151" s="8"/>
      <c r="E151" s="7" t="str">
        <f>IF(B151="","",IFERROR(INDEX(Reactivos!$H$2:$H$435,MATCH(B151,Reactivos!$A$2:$A$435,0)),""))</f>
        <v/>
      </c>
      <c r="F151" s="8"/>
      <c r="G151" s="8"/>
      <c r="H151" s="13"/>
    </row>
    <row r="152" spans="1:8" x14ac:dyDescent="0.3">
      <c r="A152" s="11"/>
      <c r="B152" s="8"/>
      <c r="C152" s="7" t="str">
        <f>IF(B152="","",IFERROR(INDEX(Reactivos!$D$2:$D$435,MATCH(B152,Reactivos!$A$2:$A$435,0)),"ID no existe"))</f>
        <v/>
      </c>
      <c r="D152" s="8"/>
      <c r="E152" s="7" t="str">
        <f>IF(B152="","",IFERROR(INDEX(Reactivos!$H$2:$H$435,MATCH(B152,Reactivos!$A$2:$A$435,0)),""))</f>
        <v/>
      </c>
      <c r="F152" s="8"/>
      <c r="G152" s="8"/>
      <c r="H152" s="13"/>
    </row>
    <row r="153" spans="1:8" x14ac:dyDescent="0.3">
      <c r="A153" s="11"/>
      <c r="B153" s="8"/>
      <c r="C153" s="7" t="str">
        <f>IF(B153="","",IFERROR(INDEX(Reactivos!$D$2:$D$435,MATCH(B153,Reactivos!$A$2:$A$435,0)),"ID no existe"))</f>
        <v/>
      </c>
      <c r="D153" s="8"/>
      <c r="E153" s="7" t="str">
        <f>IF(B153="","",IFERROR(INDEX(Reactivos!$H$2:$H$435,MATCH(B153,Reactivos!$A$2:$A$435,0)),""))</f>
        <v/>
      </c>
      <c r="F153" s="8"/>
      <c r="G153" s="8"/>
      <c r="H153" s="13"/>
    </row>
    <row r="154" spans="1:8" x14ac:dyDescent="0.3">
      <c r="A154" s="11"/>
      <c r="B154" s="8"/>
      <c r="C154" s="7" t="str">
        <f>IF(B154="","",IFERROR(INDEX(Reactivos!$D$2:$D$435,MATCH(B154,Reactivos!$A$2:$A$435,0)),"ID no existe"))</f>
        <v/>
      </c>
      <c r="D154" s="8"/>
      <c r="E154" s="7" t="str">
        <f>IF(B154="","",IFERROR(INDEX(Reactivos!$H$2:$H$435,MATCH(B154,Reactivos!$A$2:$A$435,0)),""))</f>
        <v/>
      </c>
      <c r="F154" s="8"/>
      <c r="G154" s="8"/>
      <c r="H154" s="13"/>
    </row>
    <row r="155" spans="1:8" x14ac:dyDescent="0.3">
      <c r="A155" s="11"/>
      <c r="B155" s="8"/>
      <c r="C155" s="7" t="str">
        <f>IF(B155="","",IFERROR(INDEX(Reactivos!$D$2:$D$435,MATCH(B155,Reactivos!$A$2:$A$435,0)),"ID no existe"))</f>
        <v/>
      </c>
      <c r="D155" s="8"/>
      <c r="E155" s="7" t="str">
        <f>IF(B155="","",IFERROR(INDEX(Reactivos!$H$2:$H$435,MATCH(B155,Reactivos!$A$2:$A$435,0)),""))</f>
        <v/>
      </c>
      <c r="F155" s="8"/>
      <c r="G155" s="8"/>
      <c r="H155" s="13"/>
    </row>
    <row r="156" spans="1:8" x14ac:dyDescent="0.3">
      <c r="A156" s="11"/>
      <c r="B156" s="8"/>
      <c r="C156" s="7" t="str">
        <f>IF(B156="","",IFERROR(INDEX(Reactivos!$D$2:$D$435,MATCH(B156,Reactivos!$A$2:$A$435,0)),"ID no existe"))</f>
        <v/>
      </c>
      <c r="D156" s="8"/>
      <c r="E156" s="7" t="str">
        <f>IF(B156="","",IFERROR(INDEX(Reactivos!$H$2:$H$435,MATCH(B156,Reactivos!$A$2:$A$435,0)),""))</f>
        <v/>
      </c>
      <c r="F156" s="8"/>
      <c r="G156" s="8"/>
      <c r="H156" s="13"/>
    </row>
    <row r="157" spans="1:8" x14ac:dyDescent="0.3">
      <c r="A157" s="11"/>
      <c r="B157" s="8"/>
      <c r="C157" s="7" t="str">
        <f>IF(B157="","",IFERROR(INDEX(Reactivos!$D$2:$D$435,MATCH(B157,Reactivos!$A$2:$A$435,0)),"ID no existe"))</f>
        <v/>
      </c>
      <c r="D157" s="8"/>
      <c r="E157" s="7" t="str">
        <f>IF(B157="","",IFERROR(INDEX(Reactivos!$H$2:$H$435,MATCH(B157,Reactivos!$A$2:$A$435,0)),""))</f>
        <v/>
      </c>
      <c r="F157" s="8"/>
      <c r="G157" s="8"/>
      <c r="H157" s="13"/>
    </row>
    <row r="158" spans="1:8" x14ac:dyDescent="0.3">
      <c r="A158" s="11"/>
      <c r="B158" s="8"/>
      <c r="C158" s="7" t="str">
        <f>IF(B158="","",IFERROR(INDEX(Reactivos!$D$2:$D$435,MATCH(B158,Reactivos!$A$2:$A$435,0)),"ID no existe"))</f>
        <v/>
      </c>
      <c r="D158" s="8"/>
      <c r="E158" s="7" t="str">
        <f>IF(B158="","",IFERROR(INDEX(Reactivos!$H$2:$H$435,MATCH(B158,Reactivos!$A$2:$A$435,0)),""))</f>
        <v/>
      </c>
      <c r="F158" s="8"/>
      <c r="G158" s="8"/>
      <c r="H158" s="13"/>
    </row>
    <row r="159" spans="1:8" x14ac:dyDescent="0.3">
      <c r="A159" s="11"/>
      <c r="B159" s="8"/>
      <c r="C159" s="7" t="str">
        <f>IF(B159="","",IFERROR(INDEX(Reactivos!$D$2:$D$435,MATCH(B159,Reactivos!$A$2:$A$435,0)),"ID no existe"))</f>
        <v/>
      </c>
      <c r="D159" s="8"/>
      <c r="E159" s="7" t="str">
        <f>IF(B159="","",IFERROR(INDEX(Reactivos!$H$2:$H$435,MATCH(B159,Reactivos!$A$2:$A$435,0)),""))</f>
        <v/>
      </c>
      <c r="F159" s="8"/>
      <c r="G159" s="8"/>
      <c r="H159" s="13"/>
    </row>
    <row r="160" spans="1:8" x14ac:dyDescent="0.3">
      <c r="A160" s="11"/>
      <c r="B160" s="8"/>
      <c r="C160" s="7" t="str">
        <f>IF(B160="","",IFERROR(INDEX(Reactivos!$D$2:$D$435,MATCH(B160,Reactivos!$A$2:$A$435,0)),"ID no existe"))</f>
        <v/>
      </c>
      <c r="D160" s="8"/>
      <c r="E160" s="7" t="str">
        <f>IF(B160="","",IFERROR(INDEX(Reactivos!$H$2:$H$435,MATCH(B160,Reactivos!$A$2:$A$435,0)),""))</f>
        <v/>
      </c>
      <c r="F160" s="8"/>
      <c r="G160" s="8"/>
      <c r="H160" s="13"/>
    </row>
    <row r="161" spans="1:8" x14ac:dyDescent="0.3">
      <c r="A161" s="11"/>
      <c r="B161" s="8"/>
      <c r="C161" s="7" t="str">
        <f>IF(B161="","",IFERROR(INDEX(Reactivos!$D$2:$D$435,MATCH(B161,Reactivos!$A$2:$A$435,0)),"ID no existe"))</f>
        <v/>
      </c>
      <c r="D161" s="8"/>
      <c r="E161" s="7" t="str">
        <f>IF(B161="","",IFERROR(INDEX(Reactivos!$H$2:$H$435,MATCH(B161,Reactivos!$A$2:$A$435,0)),""))</f>
        <v/>
      </c>
      <c r="F161" s="8"/>
      <c r="G161" s="8"/>
      <c r="H161" s="13"/>
    </row>
    <row r="162" spans="1:8" x14ac:dyDescent="0.3">
      <c r="A162" s="11"/>
      <c r="B162" s="8"/>
      <c r="C162" s="7" t="str">
        <f>IF(B162="","",IFERROR(INDEX(Reactivos!$D$2:$D$435,MATCH(B162,Reactivos!$A$2:$A$435,0)),"ID no existe"))</f>
        <v/>
      </c>
      <c r="D162" s="8"/>
      <c r="E162" s="7" t="str">
        <f>IF(B162="","",IFERROR(INDEX(Reactivos!$H$2:$H$435,MATCH(B162,Reactivos!$A$2:$A$435,0)),""))</f>
        <v/>
      </c>
      <c r="F162" s="8"/>
      <c r="G162" s="8"/>
      <c r="H162" s="13"/>
    </row>
    <row r="163" spans="1:8" x14ac:dyDescent="0.3">
      <c r="A163" s="11"/>
      <c r="B163" s="8"/>
      <c r="C163" s="7" t="str">
        <f>IF(B163="","",IFERROR(INDEX(Reactivos!$D$2:$D$435,MATCH(B163,Reactivos!$A$2:$A$435,0)),"ID no existe"))</f>
        <v/>
      </c>
      <c r="D163" s="8"/>
      <c r="E163" s="7" t="str">
        <f>IF(B163="","",IFERROR(INDEX(Reactivos!$H$2:$H$435,MATCH(B163,Reactivos!$A$2:$A$435,0)),""))</f>
        <v/>
      </c>
      <c r="F163" s="8"/>
      <c r="G163" s="8"/>
      <c r="H163" s="13"/>
    </row>
    <row r="164" spans="1:8" x14ac:dyDescent="0.3">
      <c r="A164" s="11"/>
      <c r="B164" s="8"/>
      <c r="C164" s="7" t="str">
        <f>IF(B164="","",IFERROR(INDEX(Reactivos!$D$2:$D$435,MATCH(B164,Reactivos!$A$2:$A$435,0)),"ID no existe"))</f>
        <v/>
      </c>
      <c r="D164" s="8"/>
      <c r="E164" s="7" t="str">
        <f>IF(B164="","",IFERROR(INDEX(Reactivos!$H$2:$H$435,MATCH(B164,Reactivos!$A$2:$A$435,0)),""))</f>
        <v/>
      </c>
      <c r="F164" s="8"/>
      <c r="G164" s="8"/>
      <c r="H164" s="13"/>
    </row>
    <row r="165" spans="1:8" x14ac:dyDescent="0.3">
      <c r="A165" s="11"/>
      <c r="B165" s="8"/>
      <c r="C165" s="7" t="str">
        <f>IF(B165="","",IFERROR(INDEX(Reactivos!$D$2:$D$435,MATCH(B165,Reactivos!$A$2:$A$435,0)),"ID no existe"))</f>
        <v/>
      </c>
      <c r="D165" s="8"/>
      <c r="E165" s="7" t="str">
        <f>IF(B165="","",IFERROR(INDEX(Reactivos!$H$2:$H$435,MATCH(B165,Reactivos!$A$2:$A$435,0)),""))</f>
        <v/>
      </c>
      <c r="F165" s="8"/>
      <c r="G165" s="8"/>
      <c r="H165" s="13"/>
    </row>
    <row r="166" spans="1:8" x14ac:dyDescent="0.3">
      <c r="A166" s="11"/>
      <c r="B166" s="8"/>
      <c r="C166" s="7" t="str">
        <f>IF(B166="","",IFERROR(INDEX(Reactivos!$D$2:$D$435,MATCH(B166,Reactivos!$A$2:$A$435,0)),"ID no existe"))</f>
        <v/>
      </c>
      <c r="D166" s="8"/>
      <c r="E166" s="7" t="str">
        <f>IF(B166="","",IFERROR(INDEX(Reactivos!$H$2:$H$435,MATCH(B166,Reactivos!$A$2:$A$435,0)),""))</f>
        <v/>
      </c>
      <c r="F166" s="8"/>
      <c r="G166" s="8"/>
      <c r="H166" s="13"/>
    </row>
    <row r="167" spans="1:8" x14ac:dyDescent="0.3">
      <c r="A167" s="11"/>
      <c r="B167" s="8"/>
      <c r="C167" s="7" t="str">
        <f>IF(B167="","",IFERROR(INDEX(Reactivos!$D$2:$D$435,MATCH(B167,Reactivos!$A$2:$A$435,0)),"ID no existe"))</f>
        <v/>
      </c>
      <c r="D167" s="8"/>
      <c r="E167" s="7" t="str">
        <f>IF(B167="","",IFERROR(INDEX(Reactivos!$H$2:$H$435,MATCH(B167,Reactivos!$A$2:$A$435,0)),""))</f>
        <v/>
      </c>
      <c r="F167" s="8"/>
      <c r="G167" s="8"/>
      <c r="H167" s="13"/>
    </row>
    <row r="168" spans="1:8" x14ac:dyDescent="0.3">
      <c r="A168" s="11"/>
      <c r="B168" s="8"/>
      <c r="C168" s="7" t="str">
        <f>IF(B168="","",IFERROR(INDEX(Reactivos!$D$2:$D$435,MATCH(B168,Reactivos!$A$2:$A$435,0)),"ID no existe"))</f>
        <v/>
      </c>
      <c r="D168" s="8"/>
      <c r="E168" s="7" t="str">
        <f>IF(B168="","",IFERROR(INDEX(Reactivos!$H$2:$H$435,MATCH(B168,Reactivos!$A$2:$A$435,0)),""))</f>
        <v/>
      </c>
      <c r="F168" s="8"/>
      <c r="G168" s="8"/>
      <c r="H168" s="13"/>
    </row>
    <row r="169" spans="1:8" x14ac:dyDescent="0.3">
      <c r="A169" s="11"/>
      <c r="B169" s="8"/>
      <c r="C169" s="7" t="str">
        <f>IF(B169="","",IFERROR(INDEX(Reactivos!$D$2:$D$435,MATCH(B169,Reactivos!$A$2:$A$435,0)),"ID no existe"))</f>
        <v/>
      </c>
      <c r="D169" s="8"/>
      <c r="E169" s="7" t="str">
        <f>IF(B169="","",IFERROR(INDEX(Reactivos!$H$2:$H$435,MATCH(B169,Reactivos!$A$2:$A$435,0)),""))</f>
        <v/>
      </c>
      <c r="F169" s="8"/>
      <c r="G169" s="8"/>
      <c r="H169" s="13"/>
    </row>
    <row r="170" spans="1:8" x14ac:dyDescent="0.3">
      <c r="A170" s="11"/>
      <c r="B170" s="8"/>
      <c r="C170" s="7" t="str">
        <f>IF(B170="","",IFERROR(INDEX(Reactivos!$D$2:$D$435,MATCH(B170,Reactivos!$A$2:$A$435,0)),"ID no existe"))</f>
        <v/>
      </c>
      <c r="D170" s="8"/>
      <c r="E170" s="7" t="str">
        <f>IF(B170="","",IFERROR(INDEX(Reactivos!$H$2:$H$435,MATCH(B170,Reactivos!$A$2:$A$435,0)),""))</f>
        <v/>
      </c>
      <c r="F170" s="8"/>
      <c r="G170" s="8"/>
      <c r="H170" s="13"/>
    </row>
    <row r="171" spans="1:8" x14ac:dyDescent="0.3">
      <c r="A171" s="11"/>
      <c r="B171" s="8"/>
      <c r="C171" s="7" t="str">
        <f>IF(B171="","",IFERROR(INDEX(Reactivos!$D$2:$D$435,MATCH(B171,Reactivos!$A$2:$A$435,0)),"ID no existe"))</f>
        <v/>
      </c>
      <c r="D171" s="8"/>
      <c r="E171" s="7" t="str">
        <f>IF(B171="","",IFERROR(INDEX(Reactivos!$H$2:$H$435,MATCH(B171,Reactivos!$A$2:$A$435,0)),""))</f>
        <v/>
      </c>
      <c r="F171" s="8"/>
      <c r="G171" s="8"/>
      <c r="H171" s="13"/>
    </row>
    <row r="172" spans="1:8" x14ac:dyDescent="0.3">
      <c r="A172" s="11"/>
      <c r="B172" s="8"/>
      <c r="C172" s="7" t="str">
        <f>IF(B172="","",IFERROR(INDEX(Reactivos!$D$2:$D$435,MATCH(B172,Reactivos!$A$2:$A$435,0)),"ID no existe"))</f>
        <v/>
      </c>
      <c r="D172" s="8"/>
      <c r="E172" s="7" t="str">
        <f>IF(B172="","",IFERROR(INDEX(Reactivos!$H$2:$H$435,MATCH(B172,Reactivos!$A$2:$A$435,0)),""))</f>
        <v/>
      </c>
      <c r="F172" s="8"/>
      <c r="G172" s="8"/>
      <c r="H172" s="13"/>
    </row>
    <row r="173" spans="1:8" x14ac:dyDescent="0.3">
      <c r="A173" s="11"/>
      <c r="B173" s="8"/>
      <c r="C173" s="7" t="str">
        <f>IF(B173="","",IFERROR(INDEX(Reactivos!$D$2:$D$435,MATCH(B173,Reactivos!$A$2:$A$435,0)),"ID no existe"))</f>
        <v/>
      </c>
      <c r="D173" s="8"/>
      <c r="E173" s="7" t="str">
        <f>IF(B173="","",IFERROR(INDEX(Reactivos!$H$2:$H$435,MATCH(B173,Reactivos!$A$2:$A$435,0)),""))</f>
        <v/>
      </c>
      <c r="F173" s="8"/>
      <c r="G173" s="8"/>
      <c r="H173" s="13"/>
    </row>
    <row r="174" spans="1:8" x14ac:dyDescent="0.3">
      <c r="A174" s="11"/>
      <c r="B174" s="8"/>
      <c r="C174" s="7" t="str">
        <f>IF(B174="","",IFERROR(INDEX(Reactivos!$D$2:$D$435,MATCH(B174,Reactivos!$A$2:$A$435,0)),"ID no existe"))</f>
        <v/>
      </c>
      <c r="D174" s="8"/>
      <c r="E174" s="7" t="str">
        <f>IF(B174="","",IFERROR(INDEX(Reactivos!$H$2:$H$435,MATCH(B174,Reactivos!$A$2:$A$435,0)),""))</f>
        <v/>
      </c>
      <c r="F174" s="8"/>
      <c r="G174" s="8"/>
      <c r="H174" s="13"/>
    </row>
    <row r="175" spans="1:8" x14ac:dyDescent="0.3">
      <c r="A175" s="11"/>
      <c r="B175" s="8"/>
      <c r="C175" s="7" t="str">
        <f>IF(B175="","",IFERROR(INDEX(Reactivos!$D$2:$D$435,MATCH(B175,Reactivos!$A$2:$A$435,0)),"ID no existe"))</f>
        <v/>
      </c>
      <c r="D175" s="8"/>
      <c r="E175" s="7" t="str">
        <f>IF(B175="","",IFERROR(INDEX(Reactivos!$H$2:$H$435,MATCH(B175,Reactivos!$A$2:$A$435,0)),""))</f>
        <v/>
      </c>
      <c r="F175" s="8"/>
      <c r="G175" s="8"/>
      <c r="H175" s="13"/>
    </row>
    <row r="176" spans="1:8" x14ac:dyDescent="0.3">
      <c r="A176" s="11"/>
      <c r="B176" s="8"/>
      <c r="C176" s="7" t="str">
        <f>IF(B176="","",IFERROR(INDEX(Reactivos!$D$2:$D$435,MATCH(B176,Reactivos!$A$2:$A$435,0)),"ID no existe"))</f>
        <v/>
      </c>
      <c r="D176" s="8"/>
      <c r="E176" s="7" t="str">
        <f>IF(B176="","",IFERROR(INDEX(Reactivos!$H$2:$H$435,MATCH(B176,Reactivos!$A$2:$A$435,0)),""))</f>
        <v/>
      </c>
      <c r="F176" s="8"/>
      <c r="G176" s="8"/>
      <c r="H176" s="13"/>
    </row>
    <row r="177" spans="1:8" x14ac:dyDescent="0.3">
      <c r="A177" s="11"/>
      <c r="B177" s="8"/>
      <c r="C177" s="7" t="str">
        <f>IF(B177="","",IFERROR(INDEX(Reactivos!$D$2:$D$435,MATCH(B177,Reactivos!$A$2:$A$435,0)),"ID no existe"))</f>
        <v/>
      </c>
      <c r="D177" s="8"/>
      <c r="E177" s="7" t="str">
        <f>IF(B177="","",IFERROR(INDEX(Reactivos!$H$2:$H$435,MATCH(B177,Reactivos!$A$2:$A$435,0)),""))</f>
        <v/>
      </c>
      <c r="F177" s="8"/>
      <c r="G177" s="8"/>
      <c r="H177" s="13"/>
    </row>
    <row r="178" spans="1:8" x14ac:dyDescent="0.3">
      <c r="A178" s="11"/>
      <c r="B178" s="8"/>
      <c r="C178" s="7" t="str">
        <f>IF(B178="","",IFERROR(INDEX(Reactivos!$D$2:$D$435,MATCH(B178,Reactivos!$A$2:$A$435,0)),"ID no existe"))</f>
        <v/>
      </c>
      <c r="D178" s="8"/>
      <c r="E178" s="7" t="str">
        <f>IF(B178="","",IFERROR(INDEX(Reactivos!$H$2:$H$435,MATCH(B178,Reactivos!$A$2:$A$435,0)),""))</f>
        <v/>
      </c>
      <c r="F178" s="8"/>
      <c r="G178" s="8"/>
      <c r="H178" s="13"/>
    </row>
    <row r="179" spans="1:8" x14ac:dyDescent="0.3">
      <c r="A179" s="11"/>
      <c r="B179" s="8"/>
      <c r="C179" s="7" t="str">
        <f>IF(B179="","",IFERROR(INDEX(Reactivos!$D$2:$D$435,MATCH(B179,Reactivos!$A$2:$A$435,0)),"ID no existe"))</f>
        <v/>
      </c>
      <c r="D179" s="8"/>
      <c r="E179" s="7" t="str">
        <f>IF(B179="","",IFERROR(INDEX(Reactivos!$H$2:$H$435,MATCH(B179,Reactivos!$A$2:$A$435,0)),""))</f>
        <v/>
      </c>
      <c r="F179" s="8"/>
      <c r="G179" s="8"/>
      <c r="H179" s="13"/>
    </row>
    <row r="180" spans="1:8" x14ac:dyDescent="0.3">
      <c r="A180" s="11"/>
      <c r="B180" s="8"/>
      <c r="C180" s="7" t="str">
        <f>IF(B180="","",IFERROR(INDEX(Reactivos!$D$2:$D$435,MATCH(B180,Reactivos!$A$2:$A$435,0)),"ID no existe"))</f>
        <v/>
      </c>
      <c r="D180" s="8"/>
      <c r="E180" s="7" t="str">
        <f>IF(B180="","",IFERROR(INDEX(Reactivos!$H$2:$H$435,MATCH(B180,Reactivos!$A$2:$A$435,0)),""))</f>
        <v/>
      </c>
      <c r="F180" s="8"/>
      <c r="G180" s="8"/>
      <c r="H180" s="13"/>
    </row>
    <row r="181" spans="1:8" x14ac:dyDescent="0.3">
      <c r="A181" s="11"/>
      <c r="B181" s="8"/>
      <c r="C181" s="7" t="str">
        <f>IF(B181="","",IFERROR(INDEX(Reactivos!$D$2:$D$435,MATCH(B181,Reactivos!$A$2:$A$435,0)),"ID no existe"))</f>
        <v/>
      </c>
      <c r="D181" s="8"/>
      <c r="E181" s="7" t="str">
        <f>IF(B181="","",IFERROR(INDEX(Reactivos!$H$2:$H$435,MATCH(B181,Reactivos!$A$2:$A$435,0)),""))</f>
        <v/>
      </c>
      <c r="F181" s="8"/>
      <c r="G181" s="8"/>
      <c r="H181" s="13"/>
    </row>
    <row r="182" spans="1:8" x14ac:dyDescent="0.3">
      <c r="A182" s="11"/>
      <c r="B182" s="8"/>
      <c r="C182" s="7" t="str">
        <f>IF(B182="","",IFERROR(INDEX(Reactivos!$D$2:$D$435,MATCH(B182,Reactivos!$A$2:$A$435,0)),"ID no existe"))</f>
        <v/>
      </c>
      <c r="D182" s="8"/>
      <c r="E182" s="7" t="str">
        <f>IF(B182="","",IFERROR(INDEX(Reactivos!$H$2:$H$435,MATCH(B182,Reactivos!$A$2:$A$435,0)),""))</f>
        <v/>
      </c>
      <c r="F182" s="8"/>
      <c r="G182" s="8"/>
      <c r="H182" s="13"/>
    </row>
    <row r="183" spans="1:8" x14ac:dyDescent="0.3">
      <c r="A183" s="11"/>
      <c r="B183" s="8"/>
      <c r="C183" s="7" t="str">
        <f>IF(B183="","",IFERROR(INDEX(Reactivos!$D$2:$D$435,MATCH(B183,Reactivos!$A$2:$A$435,0)),"ID no existe"))</f>
        <v/>
      </c>
      <c r="D183" s="8"/>
      <c r="E183" s="7" t="str">
        <f>IF(B183="","",IFERROR(INDEX(Reactivos!$H$2:$H$435,MATCH(B183,Reactivos!$A$2:$A$435,0)),""))</f>
        <v/>
      </c>
      <c r="F183" s="8"/>
      <c r="G183" s="8"/>
      <c r="H183" s="13"/>
    </row>
    <row r="184" spans="1:8" x14ac:dyDescent="0.3">
      <c r="A184" s="11"/>
      <c r="B184" s="8"/>
      <c r="C184" s="7" t="str">
        <f>IF(B184="","",IFERROR(INDEX(Reactivos!$D$2:$D$435,MATCH(B184,Reactivos!$A$2:$A$435,0)),"ID no existe"))</f>
        <v/>
      </c>
      <c r="D184" s="8"/>
      <c r="E184" s="7" t="str">
        <f>IF(B184="","",IFERROR(INDEX(Reactivos!$H$2:$H$435,MATCH(B184,Reactivos!$A$2:$A$435,0)),""))</f>
        <v/>
      </c>
      <c r="F184" s="8"/>
      <c r="G184" s="8"/>
      <c r="H184" s="13"/>
    </row>
    <row r="185" spans="1:8" x14ac:dyDescent="0.3">
      <c r="A185" s="11"/>
      <c r="B185" s="8"/>
      <c r="C185" s="7" t="str">
        <f>IF(B185="","",IFERROR(INDEX(Reactivos!$D$2:$D$435,MATCH(B185,Reactivos!$A$2:$A$435,0)),"ID no existe"))</f>
        <v/>
      </c>
      <c r="D185" s="8"/>
      <c r="E185" s="7" t="str">
        <f>IF(B185="","",IFERROR(INDEX(Reactivos!$H$2:$H$435,MATCH(B185,Reactivos!$A$2:$A$435,0)),""))</f>
        <v/>
      </c>
      <c r="F185" s="8"/>
      <c r="G185" s="8"/>
      <c r="H185" s="13"/>
    </row>
    <row r="186" spans="1:8" x14ac:dyDescent="0.3">
      <c r="A186" s="11"/>
      <c r="B186" s="8"/>
      <c r="C186" s="7" t="str">
        <f>IF(B186="","",IFERROR(INDEX(Reactivos!$D$2:$D$435,MATCH(B186,Reactivos!$A$2:$A$435,0)),"ID no existe"))</f>
        <v/>
      </c>
      <c r="D186" s="8"/>
      <c r="E186" s="7" t="str">
        <f>IF(B186="","",IFERROR(INDEX(Reactivos!$H$2:$H$435,MATCH(B186,Reactivos!$A$2:$A$435,0)),""))</f>
        <v/>
      </c>
      <c r="F186" s="8"/>
      <c r="G186" s="8"/>
      <c r="H186" s="13"/>
    </row>
    <row r="187" spans="1:8" x14ac:dyDescent="0.3">
      <c r="A187" s="11"/>
      <c r="B187" s="8"/>
      <c r="C187" s="7" t="str">
        <f>IF(B187="","",IFERROR(INDEX(Reactivos!$D$2:$D$435,MATCH(B187,Reactivos!$A$2:$A$435,0)),"ID no existe"))</f>
        <v/>
      </c>
      <c r="D187" s="8"/>
      <c r="E187" s="7" t="str">
        <f>IF(B187="","",IFERROR(INDEX(Reactivos!$H$2:$H$435,MATCH(B187,Reactivos!$A$2:$A$435,0)),""))</f>
        <v/>
      </c>
      <c r="F187" s="8"/>
      <c r="G187" s="8"/>
      <c r="H187" s="13"/>
    </row>
    <row r="188" spans="1:8" x14ac:dyDescent="0.3">
      <c r="A188" s="11"/>
      <c r="B188" s="8"/>
      <c r="C188" s="7" t="str">
        <f>IF(B188="","",IFERROR(INDEX(Reactivos!$D$2:$D$435,MATCH(B188,Reactivos!$A$2:$A$435,0)),"ID no existe"))</f>
        <v/>
      </c>
      <c r="D188" s="8"/>
      <c r="E188" s="7" t="str">
        <f>IF(B188="","",IFERROR(INDEX(Reactivos!$H$2:$H$435,MATCH(B188,Reactivos!$A$2:$A$435,0)),""))</f>
        <v/>
      </c>
      <c r="F188" s="8"/>
      <c r="G188" s="8"/>
      <c r="H188" s="13"/>
    </row>
    <row r="189" spans="1:8" x14ac:dyDescent="0.3">
      <c r="A189" s="11"/>
      <c r="B189" s="8"/>
      <c r="C189" s="7" t="str">
        <f>IF(B189="","",IFERROR(INDEX(Reactivos!$D$2:$D$435,MATCH(B189,Reactivos!$A$2:$A$435,0)),"ID no existe"))</f>
        <v/>
      </c>
      <c r="D189" s="8"/>
      <c r="E189" s="7" t="str">
        <f>IF(B189="","",IFERROR(INDEX(Reactivos!$H$2:$H$435,MATCH(B189,Reactivos!$A$2:$A$435,0)),""))</f>
        <v/>
      </c>
      <c r="F189" s="8"/>
      <c r="G189" s="8"/>
      <c r="H189" s="13"/>
    </row>
    <row r="190" spans="1:8" x14ac:dyDescent="0.3">
      <c r="A190" s="11"/>
      <c r="B190" s="8"/>
      <c r="C190" s="7" t="str">
        <f>IF(B190="","",IFERROR(INDEX(Reactivos!$D$2:$D$435,MATCH(B190,Reactivos!$A$2:$A$435,0)),"ID no existe"))</f>
        <v/>
      </c>
      <c r="D190" s="8"/>
      <c r="E190" s="7" t="str">
        <f>IF(B190="","",IFERROR(INDEX(Reactivos!$H$2:$H$435,MATCH(B190,Reactivos!$A$2:$A$435,0)),""))</f>
        <v/>
      </c>
      <c r="F190" s="8"/>
      <c r="G190" s="8"/>
      <c r="H190" s="13"/>
    </row>
    <row r="191" spans="1:8" x14ac:dyDescent="0.3">
      <c r="A191" s="11"/>
      <c r="B191" s="8"/>
      <c r="C191" s="7" t="str">
        <f>IF(B191="","",IFERROR(INDEX(Reactivos!$D$2:$D$435,MATCH(B191,Reactivos!$A$2:$A$435,0)),"ID no existe"))</f>
        <v/>
      </c>
      <c r="D191" s="8"/>
      <c r="E191" s="7" t="str">
        <f>IF(B191="","",IFERROR(INDEX(Reactivos!$H$2:$H$435,MATCH(B191,Reactivos!$A$2:$A$435,0)),""))</f>
        <v/>
      </c>
      <c r="F191" s="8"/>
      <c r="G191" s="8"/>
      <c r="H191" s="13"/>
    </row>
    <row r="192" spans="1:8" x14ac:dyDescent="0.3">
      <c r="A192" s="11"/>
      <c r="B192" s="8"/>
      <c r="C192" s="7" t="str">
        <f>IF(B192="","",IFERROR(INDEX(Reactivos!$D$2:$D$435,MATCH(B192,Reactivos!$A$2:$A$435,0)),"ID no existe"))</f>
        <v/>
      </c>
      <c r="D192" s="8"/>
      <c r="E192" s="7" t="str">
        <f>IF(B192="","",IFERROR(INDEX(Reactivos!$H$2:$H$435,MATCH(B192,Reactivos!$A$2:$A$435,0)),""))</f>
        <v/>
      </c>
      <c r="F192" s="8"/>
      <c r="G192" s="8"/>
      <c r="H192" s="13"/>
    </row>
    <row r="193" spans="1:8" x14ac:dyDescent="0.3">
      <c r="A193" s="11"/>
      <c r="B193" s="8"/>
      <c r="C193" s="7" t="str">
        <f>IF(B193="","",IFERROR(INDEX(Reactivos!$D$2:$D$435,MATCH(B193,Reactivos!$A$2:$A$435,0)),"ID no existe"))</f>
        <v/>
      </c>
      <c r="D193" s="8"/>
      <c r="E193" s="7" t="str">
        <f>IF(B193="","",IFERROR(INDEX(Reactivos!$H$2:$H$435,MATCH(B193,Reactivos!$A$2:$A$435,0)),""))</f>
        <v/>
      </c>
      <c r="F193" s="8"/>
      <c r="G193" s="8"/>
      <c r="H193" s="13"/>
    </row>
    <row r="194" spans="1:8" x14ac:dyDescent="0.3">
      <c r="A194" s="11"/>
      <c r="B194" s="8"/>
      <c r="C194" s="7" t="str">
        <f>IF(B194="","",IFERROR(INDEX(Reactivos!$D$2:$D$435,MATCH(B194,Reactivos!$A$2:$A$435,0)),"ID no existe"))</f>
        <v/>
      </c>
      <c r="D194" s="8"/>
      <c r="E194" s="7" t="str">
        <f>IF(B194="","",IFERROR(INDEX(Reactivos!$H$2:$H$435,MATCH(B194,Reactivos!$A$2:$A$435,0)),""))</f>
        <v/>
      </c>
      <c r="F194" s="8"/>
      <c r="G194" s="8"/>
      <c r="H194" s="13"/>
    </row>
    <row r="195" spans="1:8" x14ac:dyDescent="0.3">
      <c r="A195" s="11"/>
      <c r="B195" s="8"/>
      <c r="C195" s="7" t="str">
        <f>IF(B195="","",IFERROR(INDEX(Reactivos!$D$2:$D$435,MATCH(B195,Reactivos!$A$2:$A$435,0)),"ID no existe"))</f>
        <v/>
      </c>
      <c r="D195" s="8"/>
      <c r="E195" s="7" t="str">
        <f>IF(B195="","",IFERROR(INDEX(Reactivos!$H$2:$H$435,MATCH(B195,Reactivos!$A$2:$A$435,0)),""))</f>
        <v/>
      </c>
      <c r="F195" s="8"/>
      <c r="G195" s="8"/>
      <c r="H195" s="13"/>
    </row>
    <row r="196" spans="1:8" x14ac:dyDescent="0.3">
      <c r="A196" s="11"/>
      <c r="B196" s="8"/>
      <c r="C196" s="7" t="str">
        <f>IF(B196="","",IFERROR(INDEX(Reactivos!$D$2:$D$435,MATCH(B196,Reactivos!$A$2:$A$435,0)),"ID no existe"))</f>
        <v/>
      </c>
      <c r="D196" s="8"/>
      <c r="E196" s="7" t="str">
        <f>IF(B196="","",IFERROR(INDEX(Reactivos!$H$2:$H$435,MATCH(B196,Reactivos!$A$2:$A$435,0)),""))</f>
        <v/>
      </c>
      <c r="F196" s="8"/>
      <c r="G196" s="8"/>
      <c r="H196" s="13"/>
    </row>
    <row r="197" spans="1:8" x14ac:dyDescent="0.3">
      <c r="A197" s="11"/>
      <c r="B197" s="8"/>
      <c r="C197" s="7" t="str">
        <f>IF(B197="","",IFERROR(INDEX(Reactivos!$D$2:$D$435,MATCH(B197,Reactivos!$A$2:$A$435,0)),"ID no existe"))</f>
        <v/>
      </c>
      <c r="D197" s="8"/>
      <c r="E197" s="7" t="str">
        <f>IF(B197="","",IFERROR(INDEX(Reactivos!$H$2:$H$435,MATCH(B197,Reactivos!$A$2:$A$435,0)),""))</f>
        <v/>
      </c>
      <c r="F197" s="8"/>
      <c r="G197" s="8"/>
      <c r="H197" s="13"/>
    </row>
    <row r="198" spans="1:8" x14ac:dyDescent="0.3">
      <c r="A198" s="11"/>
      <c r="B198" s="8"/>
      <c r="C198" s="7" t="str">
        <f>IF(B198="","",IFERROR(INDEX(Reactivos!$D$2:$D$435,MATCH(B198,Reactivos!$A$2:$A$435,0)),"ID no existe"))</f>
        <v/>
      </c>
      <c r="D198" s="8"/>
      <c r="E198" s="7" t="str">
        <f>IF(B198="","",IFERROR(INDEX(Reactivos!$H$2:$H$435,MATCH(B198,Reactivos!$A$2:$A$435,0)),""))</f>
        <v/>
      </c>
      <c r="F198" s="8"/>
      <c r="G198" s="8"/>
      <c r="H198" s="13"/>
    </row>
    <row r="199" spans="1:8" x14ac:dyDescent="0.3">
      <c r="A199" s="11"/>
      <c r="B199" s="8"/>
      <c r="C199" s="7" t="str">
        <f>IF(B199="","",IFERROR(INDEX(Reactivos!$D$2:$D$435,MATCH(B199,Reactivos!$A$2:$A$435,0)),"ID no existe"))</f>
        <v/>
      </c>
      <c r="D199" s="8"/>
      <c r="E199" s="7" t="str">
        <f>IF(B199="","",IFERROR(INDEX(Reactivos!$H$2:$H$435,MATCH(B199,Reactivos!$A$2:$A$435,0)),""))</f>
        <v/>
      </c>
      <c r="F199" s="8"/>
      <c r="G199" s="8"/>
      <c r="H199" s="13"/>
    </row>
    <row r="200" spans="1:8" x14ac:dyDescent="0.3">
      <c r="A200" s="11"/>
      <c r="B200" s="8"/>
      <c r="C200" s="7" t="str">
        <f>IF(B200="","",IFERROR(INDEX(Reactivos!$D$2:$D$435,MATCH(B200,Reactivos!$A$2:$A$435,0)),"ID no existe"))</f>
        <v/>
      </c>
      <c r="D200" s="8"/>
      <c r="E200" s="7" t="str">
        <f>IF(B200="","",IFERROR(INDEX(Reactivos!$H$2:$H$435,MATCH(B200,Reactivos!$A$2:$A$435,0)),""))</f>
        <v/>
      </c>
      <c r="F200" s="8"/>
      <c r="G200" s="8"/>
      <c r="H200" s="13"/>
    </row>
    <row r="201" spans="1:8" x14ac:dyDescent="0.3">
      <c r="A201" s="11"/>
      <c r="B201" s="8"/>
      <c r="C201" s="7" t="str">
        <f>IF(B201="","",IFERROR(INDEX(Reactivos!$D$2:$D$435,MATCH(B201,Reactivos!$A$2:$A$435,0)),"ID no existe"))</f>
        <v/>
      </c>
      <c r="D201" s="8"/>
      <c r="E201" s="7" t="str">
        <f>IF(B201="","",IFERROR(INDEX(Reactivos!$H$2:$H$435,MATCH(B201,Reactivos!$A$2:$A$435,0)),""))</f>
        <v/>
      </c>
      <c r="F201" s="8"/>
      <c r="G201" s="8"/>
      <c r="H201" s="13"/>
    </row>
    <row r="202" spans="1:8" x14ac:dyDescent="0.3">
      <c r="A202" s="11"/>
      <c r="B202" s="8"/>
      <c r="C202" s="7" t="str">
        <f>IF(B202="","",IFERROR(INDEX(Reactivos!$D$2:$D$435,MATCH(B202,Reactivos!$A$2:$A$435,0)),"ID no existe"))</f>
        <v/>
      </c>
      <c r="D202" s="8"/>
      <c r="E202" s="7" t="str">
        <f>IF(B202="","",IFERROR(INDEX(Reactivos!$H$2:$H$435,MATCH(B202,Reactivos!$A$2:$A$435,0)),""))</f>
        <v/>
      </c>
      <c r="F202" s="8"/>
      <c r="G202" s="8"/>
      <c r="H202" s="13"/>
    </row>
    <row r="203" spans="1:8" x14ac:dyDescent="0.3">
      <c r="A203" s="11"/>
      <c r="B203" s="8"/>
      <c r="C203" s="7" t="str">
        <f>IF(B203="","",IFERROR(INDEX(Reactivos!$D$2:$D$435,MATCH(B203,Reactivos!$A$2:$A$435,0)),"ID no existe"))</f>
        <v/>
      </c>
      <c r="D203" s="8"/>
      <c r="E203" s="7" t="str">
        <f>IF(B203="","",IFERROR(INDEX(Reactivos!$H$2:$H$435,MATCH(B203,Reactivos!$A$2:$A$435,0)),""))</f>
        <v/>
      </c>
      <c r="F203" s="8"/>
      <c r="G203" s="8"/>
      <c r="H203" s="13"/>
    </row>
    <row r="204" spans="1:8" x14ac:dyDescent="0.3">
      <c r="A204" s="11"/>
      <c r="B204" s="8"/>
      <c r="C204" s="7" t="str">
        <f>IF(B204="","",IFERROR(INDEX(Reactivos!$D$2:$D$435,MATCH(B204,Reactivos!$A$2:$A$435,0)),"ID no existe"))</f>
        <v/>
      </c>
      <c r="D204" s="8"/>
      <c r="E204" s="7" t="str">
        <f>IF(B204="","",IFERROR(INDEX(Reactivos!$H$2:$H$435,MATCH(B204,Reactivos!$A$2:$A$435,0)),""))</f>
        <v/>
      </c>
      <c r="F204" s="8"/>
      <c r="G204" s="8"/>
      <c r="H204" s="13"/>
    </row>
    <row r="205" spans="1:8" x14ac:dyDescent="0.3">
      <c r="A205" s="11"/>
      <c r="B205" s="8"/>
      <c r="C205" s="7" t="str">
        <f>IF(B205="","",IFERROR(INDEX(Reactivos!$D$2:$D$435,MATCH(B205,Reactivos!$A$2:$A$435,0)),"ID no existe"))</f>
        <v/>
      </c>
      <c r="D205" s="8"/>
      <c r="E205" s="7" t="str">
        <f>IF(B205="","",IFERROR(INDEX(Reactivos!$H$2:$H$435,MATCH(B205,Reactivos!$A$2:$A$435,0)),""))</f>
        <v/>
      </c>
      <c r="F205" s="8"/>
      <c r="G205" s="8"/>
      <c r="H205" s="13"/>
    </row>
    <row r="206" spans="1:8" x14ac:dyDescent="0.3">
      <c r="A206" s="11"/>
      <c r="B206" s="8"/>
      <c r="C206" s="7" t="str">
        <f>IF(B206="","",IFERROR(INDEX(Reactivos!$D$2:$D$435,MATCH(B206,Reactivos!$A$2:$A$435,0)),"ID no existe"))</f>
        <v/>
      </c>
      <c r="D206" s="8"/>
      <c r="E206" s="7" t="str">
        <f>IF(B206="","",IFERROR(INDEX(Reactivos!$H$2:$H$435,MATCH(B206,Reactivos!$A$2:$A$435,0)),""))</f>
        <v/>
      </c>
      <c r="F206" s="8"/>
      <c r="G206" s="8"/>
      <c r="H206" s="13"/>
    </row>
    <row r="207" spans="1:8" x14ac:dyDescent="0.3">
      <c r="A207" s="11"/>
      <c r="B207" s="8"/>
      <c r="C207" s="7" t="str">
        <f>IF(B207="","",IFERROR(INDEX(Reactivos!$D$2:$D$435,MATCH(B207,Reactivos!$A$2:$A$435,0)),"ID no existe"))</f>
        <v/>
      </c>
      <c r="D207" s="8"/>
      <c r="E207" s="7" t="str">
        <f>IF(B207="","",IFERROR(INDEX(Reactivos!$H$2:$H$435,MATCH(B207,Reactivos!$A$2:$A$435,0)),""))</f>
        <v/>
      </c>
      <c r="F207" s="8"/>
      <c r="G207" s="8"/>
      <c r="H207" s="13"/>
    </row>
    <row r="208" spans="1:8" x14ac:dyDescent="0.3">
      <c r="A208" s="11"/>
      <c r="B208" s="8"/>
      <c r="C208" s="7" t="str">
        <f>IF(B208="","",IFERROR(INDEX(Reactivos!$D$2:$D$435,MATCH(B208,Reactivos!$A$2:$A$435,0)),"ID no existe"))</f>
        <v/>
      </c>
      <c r="D208" s="8"/>
      <c r="E208" s="7" t="str">
        <f>IF(B208="","",IFERROR(INDEX(Reactivos!$H$2:$H$435,MATCH(B208,Reactivos!$A$2:$A$435,0)),""))</f>
        <v/>
      </c>
      <c r="F208" s="8"/>
      <c r="G208" s="8"/>
      <c r="H208" s="13"/>
    </row>
    <row r="209" spans="1:8" x14ac:dyDescent="0.3">
      <c r="A209" s="11"/>
      <c r="B209" s="8"/>
      <c r="C209" s="7" t="str">
        <f>IF(B209="","",IFERROR(INDEX(Reactivos!$D$2:$D$435,MATCH(B209,Reactivos!$A$2:$A$435,0)),"ID no existe"))</f>
        <v/>
      </c>
      <c r="D209" s="8"/>
      <c r="E209" s="7" t="str">
        <f>IF(B209="","",IFERROR(INDEX(Reactivos!$H$2:$H$435,MATCH(B209,Reactivos!$A$2:$A$435,0)),""))</f>
        <v/>
      </c>
      <c r="F209" s="8"/>
      <c r="G209" s="8"/>
      <c r="H209" s="13"/>
    </row>
    <row r="210" spans="1:8" x14ac:dyDescent="0.3">
      <c r="A210" s="11"/>
      <c r="B210" s="8"/>
      <c r="C210" s="7" t="str">
        <f>IF(B210="","",IFERROR(INDEX(Reactivos!$D$2:$D$435,MATCH(B210,Reactivos!$A$2:$A$435,0)),"ID no existe"))</f>
        <v/>
      </c>
      <c r="D210" s="8"/>
      <c r="E210" s="7" t="str">
        <f>IF(B210="","",IFERROR(INDEX(Reactivos!$H$2:$H$435,MATCH(B210,Reactivos!$A$2:$A$435,0)),""))</f>
        <v/>
      </c>
      <c r="F210" s="8"/>
      <c r="G210" s="8"/>
      <c r="H210" s="13"/>
    </row>
    <row r="211" spans="1:8" x14ac:dyDescent="0.3">
      <c r="A211" s="11"/>
      <c r="B211" s="8"/>
      <c r="C211" s="7" t="str">
        <f>IF(B211="","",IFERROR(INDEX(Reactivos!$D$2:$D$435,MATCH(B211,Reactivos!$A$2:$A$435,0)),"ID no existe"))</f>
        <v/>
      </c>
      <c r="D211" s="8"/>
      <c r="E211" s="7" t="str">
        <f>IF(B211="","",IFERROR(INDEX(Reactivos!$H$2:$H$435,MATCH(B211,Reactivos!$A$2:$A$435,0)),""))</f>
        <v/>
      </c>
      <c r="F211" s="8"/>
      <c r="G211" s="8"/>
      <c r="H211" s="13"/>
    </row>
    <row r="212" spans="1:8" x14ac:dyDescent="0.3">
      <c r="A212" s="11"/>
      <c r="B212" s="8"/>
      <c r="C212" s="7" t="str">
        <f>IF(B212="","",IFERROR(INDEX(Reactivos!$D$2:$D$435,MATCH(B212,Reactivos!$A$2:$A$435,0)),"ID no existe"))</f>
        <v/>
      </c>
      <c r="D212" s="8"/>
      <c r="E212" s="7" t="str">
        <f>IF(B212="","",IFERROR(INDEX(Reactivos!$H$2:$H$435,MATCH(B212,Reactivos!$A$2:$A$435,0)),""))</f>
        <v/>
      </c>
      <c r="F212" s="8"/>
      <c r="G212" s="8"/>
      <c r="H212" s="13"/>
    </row>
    <row r="213" spans="1:8" x14ac:dyDescent="0.3">
      <c r="A213" s="11"/>
      <c r="B213" s="8"/>
      <c r="C213" s="7" t="str">
        <f>IF(B213="","",IFERROR(INDEX(Reactivos!$D$2:$D$435,MATCH(B213,Reactivos!$A$2:$A$435,0)),"ID no existe"))</f>
        <v/>
      </c>
      <c r="D213" s="8"/>
      <c r="E213" s="7" t="str">
        <f>IF(B213="","",IFERROR(INDEX(Reactivos!$H$2:$H$435,MATCH(B213,Reactivos!$A$2:$A$435,0)),""))</f>
        <v/>
      </c>
      <c r="F213" s="8"/>
      <c r="G213" s="8"/>
      <c r="H213" s="13"/>
    </row>
    <row r="214" spans="1:8" x14ac:dyDescent="0.3">
      <c r="A214" s="11"/>
      <c r="B214" s="8"/>
      <c r="C214" s="7" t="str">
        <f>IF(B214="","",IFERROR(INDEX(Reactivos!$D$2:$D$435,MATCH(B214,Reactivos!$A$2:$A$435,0)),"ID no existe"))</f>
        <v/>
      </c>
      <c r="D214" s="8"/>
      <c r="E214" s="7" t="str">
        <f>IF(B214="","",IFERROR(INDEX(Reactivos!$H$2:$H$435,MATCH(B214,Reactivos!$A$2:$A$435,0)),""))</f>
        <v/>
      </c>
      <c r="F214" s="8"/>
      <c r="G214" s="8"/>
      <c r="H214" s="13"/>
    </row>
    <row r="215" spans="1:8" x14ac:dyDescent="0.3">
      <c r="A215" s="11"/>
      <c r="B215" s="8"/>
      <c r="C215" s="7" t="str">
        <f>IF(B215="","",IFERROR(INDEX(Reactivos!$D$2:$D$435,MATCH(B215,Reactivos!$A$2:$A$435,0)),"ID no existe"))</f>
        <v/>
      </c>
      <c r="D215" s="8"/>
      <c r="E215" s="7" t="str">
        <f>IF(B215="","",IFERROR(INDEX(Reactivos!$H$2:$H$435,MATCH(B215,Reactivos!$A$2:$A$435,0)),""))</f>
        <v/>
      </c>
      <c r="F215" s="8"/>
      <c r="G215" s="8"/>
      <c r="H215" s="13"/>
    </row>
    <row r="216" spans="1:8" x14ac:dyDescent="0.3">
      <c r="A216" s="11"/>
      <c r="B216" s="8"/>
      <c r="C216" s="7" t="str">
        <f>IF(B216="","",IFERROR(INDEX(Reactivos!$D$2:$D$435,MATCH(B216,Reactivos!$A$2:$A$435,0)),"ID no existe"))</f>
        <v/>
      </c>
      <c r="D216" s="8"/>
      <c r="E216" s="7" t="str">
        <f>IF(B216="","",IFERROR(INDEX(Reactivos!$H$2:$H$435,MATCH(B216,Reactivos!$A$2:$A$435,0)),""))</f>
        <v/>
      </c>
      <c r="F216" s="8"/>
      <c r="G216" s="8"/>
      <c r="H216" s="13"/>
    </row>
    <row r="217" spans="1:8" x14ac:dyDescent="0.3">
      <c r="A217" s="11"/>
      <c r="B217" s="8"/>
      <c r="C217" s="7" t="str">
        <f>IF(B217="","",IFERROR(INDEX(Reactivos!$D$2:$D$435,MATCH(B217,Reactivos!$A$2:$A$435,0)),"ID no existe"))</f>
        <v/>
      </c>
      <c r="D217" s="8"/>
      <c r="E217" s="7" t="str">
        <f>IF(B217="","",IFERROR(INDEX(Reactivos!$H$2:$H$435,MATCH(B217,Reactivos!$A$2:$A$435,0)),""))</f>
        <v/>
      </c>
      <c r="F217" s="8"/>
      <c r="G217" s="8"/>
      <c r="H217" s="13"/>
    </row>
    <row r="218" spans="1:8" x14ac:dyDescent="0.3">
      <c r="A218" s="11"/>
      <c r="B218" s="8"/>
      <c r="C218" s="7" t="str">
        <f>IF(B218="","",IFERROR(INDEX(Reactivos!$D$2:$D$435,MATCH(B218,Reactivos!$A$2:$A$435,0)),"ID no existe"))</f>
        <v/>
      </c>
      <c r="D218" s="8"/>
      <c r="E218" s="7" t="str">
        <f>IF(B218="","",IFERROR(INDEX(Reactivos!$H$2:$H$435,MATCH(B218,Reactivos!$A$2:$A$435,0)),""))</f>
        <v/>
      </c>
      <c r="F218" s="8"/>
      <c r="G218" s="8"/>
      <c r="H218" s="13"/>
    </row>
    <row r="219" spans="1:8" x14ac:dyDescent="0.3">
      <c r="A219" s="11"/>
      <c r="B219" s="8"/>
      <c r="C219" s="7" t="str">
        <f>IF(B219="","",IFERROR(INDEX(Reactivos!$D$2:$D$435,MATCH(B219,Reactivos!$A$2:$A$435,0)),"ID no existe"))</f>
        <v/>
      </c>
      <c r="D219" s="8"/>
      <c r="E219" s="7" t="str">
        <f>IF(B219="","",IFERROR(INDEX(Reactivos!$H$2:$H$435,MATCH(B219,Reactivos!$A$2:$A$435,0)),""))</f>
        <v/>
      </c>
      <c r="F219" s="8"/>
      <c r="G219" s="8"/>
      <c r="H219" s="13"/>
    </row>
    <row r="220" spans="1:8" x14ac:dyDescent="0.3">
      <c r="A220" s="11"/>
      <c r="B220" s="8"/>
      <c r="C220" s="7" t="str">
        <f>IF(B220="","",IFERROR(INDEX(Reactivos!$D$2:$D$435,MATCH(B220,Reactivos!$A$2:$A$435,0)),"ID no existe"))</f>
        <v/>
      </c>
      <c r="D220" s="8"/>
      <c r="E220" s="7" t="str">
        <f>IF(B220="","",IFERROR(INDEX(Reactivos!$H$2:$H$435,MATCH(B220,Reactivos!$A$2:$A$435,0)),""))</f>
        <v/>
      </c>
      <c r="F220" s="8"/>
      <c r="G220" s="8"/>
      <c r="H220" s="13"/>
    </row>
    <row r="221" spans="1:8" x14ac:dyDescent="0.3">
      <c r="A221" s="11"/>
      <c r="B221" s="8"/>
      <c r="C221" s="7" t="str">
        <f>IF(B221="","",IFERROR(INDEX(Reactivos!$D$2:$D$435,MATCH(B221,Reactivos!$A$2:$A$435,0)),"ID no existe"))</f>
        <v/>
      </c>
      <c r="D221" s="8"/>
      <c r="E221" s="7" t="str">
        <f>IF(B221="","",IFERROR(INDEX(Reactivos!$H$2:$H$435,MATCH(B221,Reactivos!$A$2:$A$435,0)),""))</f>
        <v/>
      </c>
      <c r="F221" s="8"/>
      <c r="G221" s="8"/>
      <c r="H221" s="13"/>
    </row>
    <row r="222" spans="1:8" x14ac:dyDescent="0.3">
      <c r="A222" s="11"/>
      <c r="B222" s="8"/>
      <c r="C222" s="7" t="str">
        <f>IF(B222="","",IFERROR(INDEX(Reactivos!$D$2:$D$435,MATCH(B222,Reactivos!$A$2:$A$435,0)),"ID no existe"))</f>
        <v/>
      </c>
      <c r="D222" s="8"/>
      <c r="E222" s="7" t="str">
        <f>IF(B222="","",IFERROR(INDEX(Reactivos!$H$2:$H$435,MATCH(B222,Reactivos!$A$2:$A$435,0)),""))</f>
        <v/>
      </c>
      <c r="F222" s="8"/>
      <c r="G222" s="8"/>
      <c r="H222" s="13"/>
    </row>
    <row r="223" spans="1:8" x14ac:dyDescent="0.3">
      <c r="A223" s="11"/>
      <c r="B223" s="8"/>
      <c r="C223" s="7" t="str">
        <f>IF(B223="","",IFERROR(INDEX(Reactivos!$D$2:$D$435,MATCH(B223,Reactivos!$A$2:$A$435,0)),"ID no existe"))</f>
        <v/>
      </c>
      <c r="D223" s="8"/>
      <c r="E223" s="7" t="str">
        <f>IF(B223="","",IFERROR(INDEX(Reactivos!$H$2:$H$435,MATCH(B223,Reactivos!$A$2:$A$435,0)),""))</f>
        <v/>
      </c>
      <c r="F223" s="8"/>
      <c r="G223" s="8"/>
      <c r="H223" s="13"/>
    </row>
    <row r="224" spans="1:8" x14ac:dyDescent="0.3">
      <c r="A224" s="11"/>
      <c r="B224" s="8"/>
      <c r="C224" s="7" t="str">
        <f>IF(B224="","",IFERROR(INDEX(Reactivos!$D$2:$D$435,MATCH(B224,Reactivos!$A$2:$A$435,0)),"ID no existe"))</f>
        <v/>
      </c>
      <c r="D224" s="8"/>
      <c r="E224" s="7" t="str">
        <f>IF(B224="","",IFERROR(INDEX(Reactivos!$H$2:$H$435,MATCH(B224,Reactivos!$A$2:$A$435,0)),""))</f>
        <v/>
      </c>
      <c r="F224" s="8"/>
      <c r="G224" s="8"/>
      <c r="H224" s="13"/>
    </row>
    <row r="225" spans="1:8" x14ac:dyDescent="0.3">
      <c r="A225" s="11"/>
      <c r="B225" s="8"/>
      <c r="C225" s="7" t="str">
        <f>IF(B225="","",IFERROR(INDEX(Reactivos!$D$2:$D$435,MATCH(B225,Reactivos!$A$2:$A$435,0)),"ID no existe"))</f>
        <v/>
      </c>
      <c r="D225" s="8"/>
      <c r="E225" s="7" t="str">
        <f>IF(B225="","",IFERROR(INDEX(Reactivos!$H$2:$H$435,MATCH(B225,Reactivos!$A$2:$A$435,0)),""))</f>
        <v/>
      </c>
      <c r="F225" s="8"/>
      <c r="G225" s="8"/>
      <c r="H225" s="13"/>
    </row>
    <row r="226" spans="1:8" x14ac:dyDescent="0.3">
      <c r="A226" s="11"/>
      <c r="B226" s="8"/>
      <c r="C226" s="7" t="str">
        <f>IF(B226="","",IFERROR(INDEX(Reactivos!$D$2:$D$435,MATCH(B226,Reactivos!$A$2:$A$435,0)),"ID no existe"))</f>
        <v/>
      </c>
      <c r="D226" s="8"/>
      <c r="E226" s="7" t="str">
        <f>IF(B226="","",IFERROR(INDEX(Reactivos!$H$2:$H$435,MATCH(B226,Reactivos!$A$2:$A$435,0)),""))</f>
        <v/>
      </c>
      <c r="F226" s="8"/>
      <c r="G226" s="8"/>
      <c r="H226" s="13"/>
    </row>
    <row r="227" spans="1:8" x14ac:dyDescent="0.3">
      <c r="A227" s="11"/>
      <c r="B227" s="8"/>
      <c r="C227" s="7" t="str">
        <f>IF(B227="","",IFERROR(INDEX(Reactivos!$D$2:$D$435,MATCH(B227,Reactivos!$A$2:$A$435,0)),"ID no existe"))</f>
        <v/>
      </c>
      <c r="D227" s="8"/>
      <c r="E227" s="7" t="str">
        <f>IF(B227="","",IFERROR(INDEX(Reactivos!$H$2:$H$435,MATCH(B227,Reactivos!$A$2:$A$435,0)),""))</f>
        <v/>
      </c>
      <c r="F227" s="8"/>
      <c r="G227" s="8"/>
      <c r="H227" s="13"/>
    </row>
    <row r="228" spans="1:8" x14ac:dyDescent="0.3">
      <c r="A228" s="11"/>
      <c r="B228" s="8"/>
      <c r="C228" s="7" t="str">
        <f>IF(B228="","",IFERROR(INDEX(Reactivos!$D$2:$D$435,MATCH(B228,Reactivos!$A$2:$A$435,0)),"ID no existe"))</f>
        <v/>
      </c>
      <c r="D228" s="8"/>
      <c r="E228" s="7" t="str">
        <f>IF(B228="","",IFERROR(INDEX(Reactivos!$H$2:$H$435,MATCH(B228,Reactivos!$A$2:$A$435,0)),""))</f>
        <v/>
      </c>
      <c r="F228" s="8"/>
      <c r="G228" s="8"/>
      <c r="H228" s="13"/>
    </row>
    <row r="229" spans="1:8" x14ac:dyDescent="0.3">
      <c r="A229" s="11"/>
      <c r="B229" s="8"/>
      <c r="C229" s="7" t="str">
        <f>IF(B229="","",IFERROR(INDEX(Reactivos!$D$2:$D$435,MATCH(B229,Reactivos!$A$2:$A$435,0)),"ID no existe"))</f>
        <v/>
      </c>
      <c r="D229" s="8"/>
      <c r="E229" s="7" t="str">
        <f>IF(B229="","",IFERROR(INDEX(Reactivos!$H$2:$H$435,MATCH(B229,Reactivos!$A$2:$A$435,0)),""))</f>
        <v/>
      </c>
      <c r="F229" s="8"/>
      <c r="G229" s="8"/>
      <c r="H229" s="13"/>
    </row>
    <row r="230" spans="1:8" x14ac:dyDescent="0.3">
      <c r="A230" s="11"/>
      <c r="B230" s="8"/>
      <c r="C230" s="7" t="str">
        <f>IF(B230="","",IFERROR(INDEX(Reactivos!$D$2:$D$435,MATCH(B230,Reactivos!$A$2:$A$435,0)),"ID no existe"))</f>
        <v/>
      </c>
      <c r="D230" s="8"/>
      <c r="E230" s="7" t="str">
        <f>IF(B230="","",IFERROR(INDEX(Reactivos!$H$2:$H$435,MATCH(B230,Reactivos!$A$2:$A$435,0)),""))</f>
        <v/>
      </c>
      <c r="F230" s="8"/>
      <c r="G230" s="8"/>
      <c r="H230" s="13"/>
    </row>
    <row r="231" spans="1:8" x14ac:dyDescent="0.3">
      <c r="A231" s="11"/>
      <c r="B231" s="8"/>
      <c r="C231" s="7" t="str">
        <f>IF(B231="","",IFERROR(INDEX(Reactivos!$D$2:$D$435,MATCH(B231,Reactivos!$A$2:$A$435,0)),"ID no existe"))</f>
        <v/>
      </c>
      <c r="D231" s="8"/>
      <c r="E231" s="7" t="str">
        <f>IF(B231="","",IFERROR(INDEX(Reactivos!$H$2:$H$435,MATCH(B231,Reactivos!$A$2:$A$435,0)),""))</f>
        <v/>
      </c>
      <c r="F231" s="8"/>
      <c r="G231" s="8"/>
      <c r="H231" s="13"/>
    </row>
    <row r="232" spans="1:8" x14ac:dyDescent="0.3">
      <c r="A232" s="11"/>
      <c r="B232" s="8"/>
      <c r="C232" s="7" t="str">
        <f>IF(B232="","",IFERROR(INDEX(Reactivos!$D$2:$D$435,MATCH(B232,Reactivos!$A$2:$A$435,0)),"ID no existe"))</f>
        <v/>
      </c>
      <c r="D232" s="8"/>
      <c r="E232" s="7" t="str">
        <f>IF(B232="","",IFERROR(INDEX(Reactivos!$H$2:$H$435,MATCH(B232,Reactivos!$A$2:$A$435,0)),""))</f>
        <v/>
      </c>
      <c r="F232" s="8"/>
      <c r="G232" s="8"/>
      <c r="H232" s="13"/>
    </row>
    <row r="233" spans="1:8" x14ac:dyDescent="0.3">
      <c r="A233" s="11"/>
      <c r="B233" s="8"/>
      <c r="C233" s="7" t="str">
        <f>IF(B233="","",IFERROR(INDEX(Reactivos!$D$2:$D$435,MATCH(B233,Reactivos!$A$2:$A$435,0)),"ID no existe"))</f>
        <v/>
      </c>
      <c r="D233" s="8"/>
      <c r="E233" s="7" t="str">
        <f>IF(B233="","",IFERROR(INDEX(Reactivos!$H$2:$H$435,MATCH(B233,Reactivos!$A$2:$A$435,0)),""))</f>
        <v/>
      </c>
      <c r="F233" s="8"/>
      <c r="G233" s="8"/>
      <c r="H233" s="13"/>
    </row>
    <row r="234" spans="1:8" x14ac:dyDescent="0.3">
      <c r="A234" s="11"/>
      <c r="B234" s="8"/>
      <c r="C234" s="7" t="str">
        <f>IF(B234="","",IFERROR(INDEX(Reactivos!$D$2:$D$435,MATCH(B234,Reactivos!$A$2:$A$435,0)),"ID no existe"))</f>
        <v/>
      </c>
      <c r="D234" s="8"/>
      <c r="E234" s="7" t="str">
        <f>IF(B234="","",IFERROR(INDEX(Reactivos!$H$2:$H$435,MATCH(B234,Reactivos!$A$2:$A$435,0)),""))</f>
        <v/>
      </c>
      <c r="F234" s="8"/>
      <c r="G234" s="8"/>
      <c r="H234" s="13"/>
    </row>
    <row r="235" spans="1:8" x14ac:dyDescent="0.3">
      <c r="A235" s="11"/>
      <c r="B235" s="8"/>
      <c r="C235" s="7" t="str">
        <f>IF(B235="","",IFERROR(INDEX(Reactivos!$D$2:$D$435,MATCH(B235,Reactivos!$A$2:$A$435,0)),"ID no existe"))</f>
        <v/>
      </c>
      <c r="D235" s="8"/>
      <c r="E235" s="7" t="str">
        <f>IF(B235="","",IFERROR(INDEX(Reactivos!$H$2:$H$435,MATCH(B235,Reactivos!$A$2:$A$435,0)),""))</f>
        <v/>
      </c>
      <c r="F235" s="8"/>
      <c r="G235" s="8"/>
      <c r="H235" s="13"/>
    </row>
    <row r="236" spans="1:8" x14ac:dyDescent="0.3">
      <c r="A236" s="11"/>
      <c r="B236" s="8"/>
      <c r="C236" s="7" t="str">
        <f>IF(B236="","",IFERROR(INDEX(Reactivos!$D$2:$D$435,MATCH(B236,Reactivos!$A$2:$A$435,0)),"ID no existe"))</f>
        <v/>
      </c>
      <c r="D236" s="8"/>
      <c r="E236" s="7" t="str">
        <f>IF(B236="","",IFERROR(INDEX(Reactivos!$H$2:$H$435,MATCH(B236,Reactivos!$A$2:$A$435,0)),""))</f>
        <v/>
      </c>
      <c r="F236" s="8"/>
      <c r="G236" s="8"/>
      <c r="H236" s="13"/>
    </row>
    <row r="237" spans="1:8" x14ac:dyDescent="0.3">
      <c r="A237" s="11"/>
      <c r="B237" s="8"/>
      <c r="C237" s="7" t="str">
        <f>IF(B237="","",IFERROR(INDEX(Reactivos!$D$2:$D$435,MATCH(B237,Reactivos!$A$2:$A$435,0)),"ID no existe"))</f>
        <v/>
      </c>
      <c r="D237" s="8"/>
      <c r="E237" s="7" t="str">
        <f>IF(B237="","",IFERROR(INDEX(Reactivos!$H$2:$H$435,MATCH(B237,Reactivos!$A$2:$A$435,0)),""))</f>
        <v/>
      </c>
      <c r="F237" s="8"/>
      <c r="G237" s="8"/>
      <c r="H237" s="13"/>
    </row>
    <row r="238" spans="1:8" x14ac:dyDescent="0.3">
      <c r="A238" s="11"/>
      <c r="B238" s="8"/>
      <c r="C238" s="7" t="str">
        <f>IF(B238="","",IFERROR(INDEX(Reactivos!$D$2:$D$435,MATCH(B238,Reactivos!$A$2:$A$435,0)),"ID no existe"))</f>
        <v/>
      </c>
      <c r="D238" s="8"/>
      <c r="E238" s="7" t="str">
        <f>IF(B238="","",IFERROR(INDEX(Reactivos!$H$2:$H$435,MATCH(B238,Reactivos!$A$2:$A$435,0)),""))</f>
        <v/>
      </c>
      <c r="F238" s="8"/>
      <c r="G238" s="8"/>
      <c r="H238" s="13"/>
    </row>
    <row r="239" spans="1:8" x14ac:dyDescent="0.3">
      <c r="A239" s="11"/>
      <c r="B239" s="8"/>
      <c r="C239" s="7" t="str">
        <f>IF(B239="","",IFERROR(INDEX(Reactivos!$D$2:$D$435,MATCH(B239,Reactivos!$A$2:$A$435,0)),"ID no existe"))</f>
        <v/>
      </c>
      <c r="D239" s="8"/>
      <c r="E239" s="7" t="str">
        <f>IF(B239="","",IFERROR(INDEX(Reactivos!$H$2:$H$435,MATCH(B239,Reactivos!$A$2:$A$435,0)),""))</f>
        <v/>
      </c>
      <c r="F239" s="8"/>
      <c r="G239" s="8"/>
      <c r="H239" s="13"/>
    </row>
    <row r="240" spans="1:8" x14ac:dyDescent="0.3">
      <c r="A240" s="11"/>
      <c r="B240" s="8"/>
      <c r="C240" s="7" t="str">
        <f>IF(B240="","",IFERROR(INDEX(Reactivos!$D$2:$D$435,MATCH(B240,Reactivos!$A$2:$A$435,0)),"ID no existe"))</f>
        <v/>
      </c>
      <c r="D240" s="8"/>
      <c r="E240" s="7" t="str">
        <f>IF(B240="","",IFERROR(INDEX(Reactivos!$H$2:$H$435,MATCH(B240,Reactivos!$A$2:$A$435,0)),""))</f>
        <v/>
      </c>
      <c r="F240" s="8"/>
      <c r="G240" s="8"/>
      <c r="H240" s="13"/>
    </row>
    <row r="241" spans="1:8" x14ac:dyDescent="0.3">
      <c r="A241" s="11"/>
      <c r="B241" s="8"/>
      <c r="C241" s="7" t="str">
        <f>IF(B241="","",IFERROR(INDEX(Reactivos!$D$2:$D$435,MATCH(B241,Reactivos!$A$2:$A$435,0)),"ID no existe"))</f>
        <v/>
      </c>
      <c r="D241" s="8"/>
      <c r="E241" s="7" t="str">
        <f>IF(B241="","",IFERROR(INDEX(Reactivos!$H$2:$H$435,MATCH(B241,Reactivos!$A$2:$A$435,0)),""))</f>
        <v/>
      </c>
      <c r="F241" s="8"/>
      <c r="G241" s="8"/>
      <c r="H241" s="13"/>
    </row>
    <row r="242" spans="1:8" x14ac:dyDescent="0.3">
      <c r="A242" s="11"/>
      <c r="B242" s="8"/>
      <c r="C242" s="7" t="str">
        <f>IF(B242="","",IFERROR(INDEX(Reactivos!$D$2:$D$435,MATCH(B242,Reactivos!$A$2:$A$435,0)),"ID no existe"))</f>
        <v/>
      </c>
      <c r="D242" s="8"/>
      <c r="E242" s="7" t="str">
        <f>IF(B242="","",IFERROR(INDEX(Reactivos!$H$2:$H$435,MATCH(B242,Reactivos!$A$2:$A$435,0)),""))</f>
        <v/>
      </c>
      <c r="F242" s="8"/>
      <c r="G242" s="8"/>
      <c r="H242" s="13"/>
    </row>
    <row r="243" spans="1:8" x14ac:dyDescent="0.3">
      <c r="A243" s="11"/>
      <c r="B243" s="8"/>
      <c r="C243" s="7" t="str">
        <f>IF(B243="","",IFERROR(INDEX(Reactivos!$D$2:$D$435,MATCH(B243,Reactivos!$A$2:$A$435,0)),"ID no existe"))</f>
        <v/>
      </c>
      <c r="D243" s="8"/>
      <c r="E243" s="7" t="str">
        <f>IF(B243="","",IFERROR(INDEX(Reactivos!$H$2:$H$435,MATCH(B243,Reactivos!$A$2:$A$435,0)),""))</f>
        <v/>
      </c>
      <c r="F243" s="8"/>
      <c r="G243" s="8"/>
      <c r="H243" s="13"/>
    </row>
    <row r="244" spans="1:8" x14ac:dyDescent="0.3">
      <c r="A244" s="11"/>
      <c r="B244" s="8"/>
      <c r="C244" s="7" t="str">
        <f>IF(B244="","",IFERROR(INDEX(Reactivos!$D$2:$D$435,MATCH(B244,Reactivos!$A$2:$A$435,0)),"ID no existe"))</f>
        <v/>
      </c>
      <c r="D244" s="8"/>
      <c r="E244" s="7" t="str">
        <f>IF(B244="","",IFERROR(INDEX(Reactivos!$H$2:$H$435,MATCH(B244,Reactivos!$A$2:$A$435,0)),""))</f>
        <v/>
      </c>
      <c r="F244" s="8"/>
      <c r="G244" s="8"/>
      <c r="H244" s="13"/>
    </row>
    <row r="245" spans="1:8" x14ac:dyDescent="0.3">
      <c r="A245" s="11"/>
      <c r="B245" s="8"/>
      <c r="C245" s="7" t="str">
        <f>IF(B245="","",IFERROR(INDEX(Reactivos!$D$2:$D$435,MATCH(B245,Reactivos!$A$2:$A$435,0)),"ID no existe"))</f>
        <v/>
      </c>
      <c r="D245" s="8"/>
      <c r="E245" s="7" t="str">
        <f>IF(B245="","",IFERROR(INDEX(Reactivos!$H$2:$H$435,MATCH(B245,Reactivos!$A$2:$A$435,0)),""))</f>
        <v/>
      </c>
      <c r="F245" s="8"/>
      <c r="G245" s="8"/>
      <c r="H245" s="13"/>
    </row>
    <row r="246" spans="1:8" x14ac:dyDescent="0.3">
      <c r="A246" s="11"/>
      <c r="B246" s="8"/>
      <c r="C246" s="7" t="str">
        <f>IF(B246="","",IFERROR(INDEX(Reactivos!$D$2:$D$435,MATCH(B246,Reactivos!$A$2:$A$435,0)),"ID no existe"))</f>
        <v/>
      </c>
      <c r="D246" s="8"/>
      <c r="E246" s="7" t="str">
        <f>IF(B246="","",IFERROR(INDEX(Reactivos!$H$2:$H$435,MATCH(B246,Reactivos!$A$2:$A$435,0)),""))</f>
        <v/>
      </c>
      <c r="F246" s="8"/>
      <c r="G246" s="8"/>
      <c r="H246" s="13"/>
    </row>
    <row r="247" spans="1:8" x14ac:dyDescent="0.3">
      <c r="A247" s="11"/>
      <c r="B247" s="8"/>
      <c r="C247" s="7" t="str">
        <f>IF(B247="","",IFERROR(INDEX(Reactivos!$D$2:$D$435,MATCH(B247,Reactivos!$A$2:$A$435,0)),"ID no existe"))</f>
        <v/>
      </c>
      <c r="D247" s="8"/>
      <c r="E247" s="7" t="str">
        <f>IF(B247="","",IFERROR(INDEX(Reactivos!$H$2:$H$435,MATCH(B247,Reactivos!$A$2:$A$435,0)),""))</f>
        <v/>
      </c>
      <c r="F247" s="8"/>
      <c r="G247" s="8"/>
      <c r="H247" s="13"/>
    </row>
    <row r="248" spans="1:8" x14ac:dyDescent="0.3">
      <c r="A248" s="11"/>
      <c r="B248" s="8"/>
      <c r="C248" s="7" t="str">
        <f>IF(B248="","",IFERROR(INDEX(Reactivos!$D$2:$D$435,MATCH(B248,Reactivos!$A$2:$A$435,0)),"ID no existe"))</f>
        <v/>
      </c>
      <c r="D248" s="8"/>
      <c r="E248" s="7" t="str">
        <f>IF(B248="","",IFERROR(INDEX(Reactivos!$H$2:$H$435,MATCH(B248,Reactivos!$A$2:$A$435,0)),""))</f>
        <v/>
      </c>
      <c r="F248" s="8"/>
      <c r="G248" s="8"/>
      <c r="H248" s="13"/>
    </row>
    <row r="249" spans="1:8" x14ac:dyDescent="0.3">
      <c r="A249" s="11"/>
      <c r="B249" s="8"/>
      <c r="C249" s="7" t="str">
        <f>IF(B249="","",IFERROR(INDEX(Reactivos!$D$2:$D$435,MATCH(B249,Reactivos!$A$2:$A$435,0)),"ID no existe"))</f>
        <v/>
      </c>
      <c r="D249" s="8"/>
      <c r="E249" s="7" t="str">
        <f>IF(B249="","",IFERROR(INDEX(Reactivos!$H$2:$H$435,MATCH(B249,Reactivos!$A$2:$A$435,0)),""))</f>
        <v/>
      </c>
      <c r="F249" s="8"/>
      <c r="G249" s="8"/>
      <c r="H249" s="13"/>
    </row>
    <row r="250" spans="1:8" x14ac:dyDescent="0.3">
      <c r="A250" s="11"/>
      <c r="B250" s="8"/>
      <c r="C250" s="7" t="str">
        <f>IF(B250="","",IFERROR(INDEX(Reactivos!$D$2:$D$435,MATCH(B250,Reactivos!$A$2:$A$435,0)),"ID no existe"))</f>
        <v/>
      </c>
      <c r="D250" s="8"/>
      <c r="E250" s="7" t="str">
        <f>IF(B250="","",IFERROR(INDEX(Reactivos!$H$2:$H$435,MATCH(B250,Reactivos!$A$2:$A$435,0)),""))</f>
        <v/>
      </c>
      <c r="F250" s="8"/>
      <c r="G250" s="8"/>
      <c r="H250" s="13"/>
    </row>
    <row r="251" spans="1:8" x14ac:dyDescent="0.3">
      <c r="A251" s="11"/>
      <c r="B251" s="8"/>
      <c r="C251" s="7" t="str">
        <f>IF(B251="","",IFERROR(INDEX(Reactivos!$D$2:$D$435,MATCH(B251,Reactivos!$A$2:$A$435,0)),"ID no existe"))</f>
        <v/>
      </c>
      <c r="D251" s="8"/>
      <c r="E251" s="7" t="str">
        <f>IF(B251="","",IFERROR(INDEX(Reactivos!$H$2:$H$435,MATCH(B251,Reactivos!$A$2:$A$435,0)),""))</f>
        <v/>
      </c>
      <c r="F251" s="8"/>
      <c r="G251" s="8"/>
      <c r="H251" s="13"/>
    </row>
    <row r="252" spans="1:8" x14ac:dyDescent="0.3">
      <c r="A252" s="11"/>
      <c r="B252" s="8"/>
      <c r="C252" s="7" t="str">
        <f>IF(B252="","",IFERROR(INDEX(Reactivos!$D$2:$D$435,MATCH(B252,Reactivos!$A$2:$A$435,0)),"ID no existe"))</f>
        <v/>
      </c>
      <c r="D252" s="8"/>
      <c r="E252" s="7" t="str">
        <f>IF(B252="","",IFERROR(INDEX(Reactivos!$H$2:$H$435,MATCH(B252,Reactivos!$A$2:$A$435,0)),""))</f>
        <v/>
      </c>
      <c r="F252" s="8"/>
      <c r="G252" s="8"/>
      <c r="H252" s="13"/>
    </row>
    <row r="253" spans="1:8" x14ac:dyDescent="0.3">
      <c r="A253" s="11"/>
      <c r="B253" s="8"/>
      <c r="C253" s="7" t="str">
        <f>IF(B253="","",IFERROR(INDEX(Reactivos!$D$2:$D$435,MATCH(B253,Reactivos!$A$2:$A$435,0)),"ID no existe"))</f>
        <v/>
      </c>
      <c r="D253" s="8"/>
      <c r="E253" s="7" t="str">
        <f>IF(B253="","",IFERROR(INDEX(Reactivos!$H$2:$H$435,MATCH(B253,Reactivos!$A$2:$A$435,0)),""))</f>
        <v/>
      </c>
      <c r="F253" s="8"/>
      <c r="G253" s="8"/>
      <c r="H253" s="13"/>
    </row>
    <row r="254" spans="1:8" x14ac:dyDescent="0.3">
      <c r="A254" s="11"/>
      <c r="B254" s="8"/>
      <c r="C254" s="7" t="str">
        <f>IF(B254="","",IFERROR(INDEX(Reactivos!$D$2:$D$435,MATCH(B254,Reactivos!$A$2:$A$435,0)),"ID no existe"))</f>
        <v/>
      </c>
      <c r="D254" s="8"/>
      <c r="E254" s="7" t="str">
        <f>IF(B254="","",IFERROR(INDEX(Reactivos!$H$2:$H$435,MATCH(B254,Reactivos!$A$2:$A$435,0)),""))</f>
        <v/>
      </c>
      <c r="F254" s="8"/>
      <c r="G254" s="8"/>
      <c r="H254" s="13"/>
    </row>
    <row r="255" spans="1:8" x14ac:dyDescent="0.3">
      <c r="A255" s="11"/>
      <c r="B255" s="8"/>
      <c r="C255" s="7" t="str">
        <f>IF(B255="","",IFERROR(INDEX(Reactivos!$D$2:$D$435,MATCH(B255,Reactivos!$A$2:$A$435,0)),"ID no existe"))</f>
        <v/>
      </c>
      <c r="D255" s="8"/>
      <c r="E255" s="7" t="str">
        <f>IF(B255="","",IFERROR(INDEX(Reactivos!$H$2:$H$435,MATCH(B255,Reactivos!$A$2:$A$435,0)),""))</f>
        <v/>
      </c>
      <c r="F255" s="8"/>
      <c r="G255" s="8"/>
      <c r="H255" s="13"/>
    </row>
    <row r="256" spans="1:8" x14ac:dyDescent="0.3">
      <c r="A256" s="11"/>
      <c r="B256" s="8"/>
      <c r="C256" s="7" t="str">
        <f>IF(B256="","",IFERROR(INDEX(Reactivos!$D$2:$D$435,MATCH(B256,Reactivos!$A$2:$A$435,0)),"ID no existe"))</f>
        <v/>
      </c>
      <c r="D256" s="8"/>
      <c r="E256" s="7" t="str">
        <f>IF(B256="","",IFERROR(INDEX(Reactivos!$H$2:$H$435,MATCH(B256,Reactivos!$A$2:$A$435,0)),""))</f>
        <v/>
      </c>
      <c r="F256" s="8"/>
      <c r="G256" s="8"/>
      <c r="H256" s="13"/>
    </row>
    <row r="257" spans="1:8" x14ac:dyDescent="0.3">
      <c r="A257" s="11"/>
      <c r="B257" s="8"/>
      <c r="C257" s="7" t="str">
        <f>IF(B257="","",IFERROR(INDEX(Reactivos!$D$2:$D$435,MATCH(B257,Reactivos!$A$2:$A$435,0)),"ID no existe"))</f>
        <v/>
      </c>
      <c r="D257" s="8"/>
      <c r="E257" s="7" t="str">
        <f>IF(B257="","",IFERROR(INDEX(Reactivos!$H$2:$H$435,MATCH(B257,Reactivos!$A$2:$A$435,0)),""))</f>
        <v/>
      </c>
      <c r="F257" s="8"/>
      <c r="G257" s="8"/>
      <c r="H257" s="13"/>
    </row>
    <row r="258" spans="1:8" x14ac:dyDescent="0.3">
      <c r="A258" s="11"/>
      <c r="B258" s="8"/>
      <c r="C258" s="7" t="str">
        <f>IF(B258="","",IFERROR(INDEX(Reactivos!$D$2:$D$435,MATCH(B258,Reactivos!$A$2:$A$435,0)),"ID no existe"))</f>
        <v/>
      </c>
      <c r="D258" s="8"/>
      <c r="E258" s="7" t="str">
        <f>IF(B258="","",IFERROR(INDEX(Reactivos!$H$2:$H$435,MATCH(B258,Reactivos!$A$2:$A$435,0)),""))</f>
        <v/>
      </c>
      <c r="F258" s="8"/>
      <c r="G258" s="8"/>
      <c r="H258" s="13"/>
    </row>
    <row r="259" spans="1:8" x14ac:dyDescent="0.3">
      <c r="A259" s="11"/>
      <c r="B259" s="8"/>
      <c r="C259" s="7" t="str">
        <f>IF(B259="","",IFERROR(INDEX(Reactivos!$D$2:$D$435,MATCH(B259,Reactivos!$A$2:$A$435,0)),"ID no existe"))</f>
        <v/>
      </c>
      <c r="D259" s="8"/>
      <c r="E259" s="7" t="str">
        <f>IF(B259="","",IFERROR(INDEX(Reactivos!$H$2:$H$435,MATCH(B259,Reactivos!$A$2:$A$435,0)),""))</f>
        <v/>
      </c>
      <c r="F259" s="8"/>
      <c r="G259" s="8"/>
      <c r="H259" s="13"/>
    </row>
    <row r="260" spans="1:8" x14ac:dyDescent="0.3">
      <c r="A260" s="11"/>
      <c r="B260" s="8"/>
      <c r="C260" s="7" t="str">
        <f>IF(B260="","",IFERROR(INDEX(Reactivos!$D$2:$D$435,MATCH(B260,Reactivos!$A$2:$A$435,0)),"ID no existe"))</f>
        <v/>
      </c>
      <c r="D260" s="8"/>
      <c r="E260" s="7" t="str">
        <f>IF(B260="","",IFERROR(INDEX(Reactivos!$H$2:$H$435,MATCH(B260,Reactivos!$A$2:$A$435,0)),""))</f>
        <v/>
      </c>
      <c r="F260" s="8"/>
      <c r="G260" s="8"/>
      <c r="H260" s="13"/>
    </row>
    <row r="261" spans="1:8" x14ac:dyDescent="0.3">
      <c r="A261" s="11"/>
      <c r="B261" s="8"/>
      <c r="C261" s="7" t="str">
        <f>IF(B261="","",IFERROR(INDEX(Reactivos!$D$2:$D$435,MATCH(B261,Reactivos!$A$2:$A$435,0)),"ID no existe"))</f>
        <v/>
      </c>
      <c r="D261" s="8"/>
      <c r="E261" s="7" t="str">
        <f>IF(B261="","",IFERROR(INDEX(Reactivos!$H$2:$H$435,MATCH(B261,Reactivos!$A$2:$A$435,0)),""))</f>
        <v/>
      </c>
      <c r="F261" s="8"/>
      <c r="G261" s="8"/>
      <c r="H261" s="13"/>
    </row>
    <row r="262" spans="1:8" x14ac:dyDescent="0.3">
      <c r="A262" s="11"/>
      <c r="B262" s="8"/>
      <c r="C262" s="7" t="str">
        <f>IF(B262="","",IFERROR(INDEX(Reactivos!$D$2:$D$435,MATCH(B262,Reactivos!$A$2:$A$435,0)),"ID no existe"))</f>
        <v/>
      </c>
      <c r="D262" s="8"/>
      <c r="E262" s="7" t="str">
        <f>IF(B262="","",IFERROR(INDEX(Reactivos!$H$2:$H$435,MATCH(B262,Reactivos!$A$2:$A$435,0)),""))</f>
        <v/>
      </c>
      <c r="F262" s="8"/>
      <c r="G262" s="8"/>
      <c r="H262" s="13"/>
    </row>
    <row r="263" spans="1:8" x14ac:dyDescent="0.3">
      <c r="A263" s="11"/>
      <c r="B263" s="8"/>
      <c r="C263" s="7" t="str">
        <f>IF(B263="","",IFERROR(INDEX(Reactivos!$D$2:$D$435,MATCH(B263,Reactivos!$A$2:$A$435,0)),"ID no existe"))</f>
        <v/>
      </c>
      <c r="D263" s="8"/>
      <c r="E263" s="7" t="str">
        <f>IF(B263="","",IFERROR(INDEX(Reactivos!$H$2:$H$435,MATCH(B263,Reactivos!$A$2:$A$435,0)),""))</f>
        <v/>
      </c>
      <c r="F263" s="8"/>
      <c r="G263" s="8"/>
      <c r="H263" s="13"/>
    </row>
    <row r="264" spans="1:8" x14ac:dyDescent="0.3">
      <c r="A264" s="11"/>
      <c r="B264" s="8"/>
      <c r="C264" s="7" t="str">
        <f>IF(B264="","",IFERROR(INDEX(Reactivos!$D$2:$D$435,MATCH(B264,Reactivos!$A$2:$A$435,0)),"ID no existe"))</f>
        <v/>
      </c>
      <c r="D264" s="8"/>
      <c r="E264" s="7" t="str">
        <f>IF(B264="","",IFERROR(INDEX(Reactivos!$H$2:$H$435,MATCH(B264,Reactivos!$A$2:$A$435,0)),""))</f>
        <v/>
      </c>
      <c r="F264" s="8"/>
      <c r="G264" s="8"/>
      <c r="H264" s="13"/>
    </row>
    <row r="265" spans="1:8" x14ac:dyDescent="0.3">
      <c r="A265" s="11"/>
      <c r="B265" s="8"/>
      <c r="C265" s="7" t="str">
        <f>IF(B265="","",IFERROR(INDEX(Reactivos!$D$2:$D$435,MATCH(B265,Reactivos!$A$2:$A$435,0)),"ID no existe"))</f>
        <v/>
      </c>
      <c r="D265" s="8"/>
      <c r="E265" s="7" t="str">
        <f>IF(B265="","",IFERROR(INDEX(Reactivos!$H$2:$H$435,MATCH(B265,Reactivos!$A$2:$A$435,0)),""))</f>
        <v/>
      </c>
      <c r="F265" s="8"/>
      <c r="G265" s="8"/>
      <c r="H265" s="13"/>
    </row>
    <row r="266" spans="1:8" x14ac:dyDescent="0.3">
      <c r="A266" s="11"/>
      <c r="B266" s="8"/>
      <c r="C266" s="7" t="str">
        <f>IF(B266="","",IFERROR(INDEX(Reactivos!$D$2:$D$435,MATCH(B266,Reactivos!$A$2:$A$435,0)),"ID no existe"))</f>
        <v/>
      </c>
      <c r="D266" s="8"/>
      <c r="E266" s="7" t="str">
        <f>IF(B266="","",IFERROR(INDEX(Reactivos!$H$2:$H$435,MATCH(B266,Reactivos!$A$2:$A$435,0)),""))</f>
        <v/>
      </c>
      <c r="F266" s="8"/>
      <c r="G266" s="8"/>
      <c r="H266" s="13"/>
    </row>
    <row r="267" spans="1:8" x14ac:dyDescent="0.3">
      <c r="A267" s="11"/>
      <c r="B267" s="8"/>
      <c r="C267" s="7" t="str">
        <f>IF(B267="","",IFERROR(INDEX(Reactivos!$D$2:$D$435,MATCH(B267,Reactivos!$A$2:$A$435,0)),"ID no existe"))</f>
        <v/>
      </c>
      <c r="D267" s="8"/>
      <c r="E267" s="7" t="str">
        <f>IF(B267="","",IFERROR(INDEX(Reactivos!$H$2:$H$435,MATCH(B267,Reactivos!$A$2:$A$435,0)),""))</f>
        <v/>
      </c>
      <c r="F267" s="8"/>
      <c r="G267" s="8"/>
      <c r="H267" s="13"/>
    </row>
    <row r="268" spans="1:8" x14ac:dyDescent="0.3">
      <c r="A268" s="11"/>
      <c r="B268" s="8"/>
      <c r="C268" s="7" t="str">
        <f>IF(B268="","",IFERROR(INDEX(Reactivos!$D$2:$D$435,MATCH(B268,Reactivos!$A$2:$A$435,0)),"ID no existe"))</f>
        <v/>
      </c>
      <c r="D268" s="8"/>
      <c r="E268" s="7" t="str">
        <f>IF(B268="","",IFERROR(INDEX(Reactivos!$H$2:$H$435,MATCH(B268,Reactivos!$A$2:$A$435,0)),""))</f>
        <v/>
      </c>
      <c r="F268" s="8"/>
      <c r="G268" s="8"/>
      <c r="H268" s="13"/>
    </row>
    <row r="269" spans="1:8" x14ac:dyDescent="0.3">
      <c r="A269" s="11"/>
      <c r="B269" s="8"/>
      <c r="C269" s="7" t="str">
        <f>IF(B269="","",IFERROR(INDEX(Reactivos!$D$2:$D$435,MATCH(B269,Reactivos!$A$2:$A$435,0)),"ID no existe"))</f>
        <v/>
      </c>
      <c r="D269" s="8"/>
      <c r="E269" s="7" t="str">
        <f>IF(B269="","",IFERROR(INDEX(Reactivos!$H$2:$H$435,MATCH(B269,Reactivos!$A$2:$A$435,0)),""))</f>
        <v/>
      </c>
      <c r="F269" s="8"/>
      <c r="G269" s="8"/>
      <c r="H269" s="13"/>
    </row>
    <row r="270" spans="1:8" x14ac:dyDescent="0.3">
      <c r="A270" s="11"/>
      <c r="B270" s="8"/>
      <c r="C270" s="7" t="str">
        <f>IF(B270="","",IFERROR(INDEX(Reactivos!$D$2:$D$435,MATCH(B270,Reactivos!$A$2:$A$435,0)),"ID no existe"))</f>
        <v/>
      </c>
      <c r="D270" s="8"/>
      <c r="E270" s="7" t="str">
        <f>IF(B270="","",IFERROR(INDEX(Reactivos!$H$2:$H$435,MATCH(B270,Reactivos!$A$2:$A$435,0)),""))</f>
        <v/>
      </c>
      <c r="F270" s="8"/>
      <c r="G270" s="8"/>
      <c r="H270" s="13"/>
    </row>
    <row r="271" spans="1:8" x14ac:dyDescent="0.3">
      <c r="A271" s="11"/>
      <c r="B271" s="8"/>
      <c r="C271" s="7" t="str">
        <f>IF(B271="","",IFERROR(INDEX(Reactivos!$D$2:$D$435,MATCH(B271,Reactivos!$A$2:$A$435,0)),"ID no existe"))</f>
        <v/>
      </c>
      <c r="D271" s="8"/>
      <c r="E271" s="7" t="str">
        <f>IF(B271="","",IFERROR(INDEX(Reactivos!$H$2:$H$435,MATCH(B271,Reactivos!$A$2:$A$435,0)),""))</f>
        <v/>
      </c>
      <c r="F271" s="8"/>
      <c r="G271" s="8"/>
      <c r="H271" s="13"/>
    </row>
    <row r="272" spans="1:8" x14ac:dyDescent="0.3">
      <c r="A272" s="11"/>
      <c r="B272" s="8"/>
      <c r="C272" s="7" t="str">
        <f>IF(B272="","",IFERROR(INDEX(Reactivos!$D$2:$D$435,MATCH(B272,Reactivos!$A$2:$A$435,0)),"ID no existe"))</f>
        <v/>
      </c>
      <c r="D272" s="8"/>
      <c r="E272" s="7" t="str">
        <f>IF(B272="","",IFERROR(INDEX(Reactivos!$H$2:$H$435,MATCH(B272,Reactivos!$A$2:$A$435,0)),""))</f>
        <v/>
      </c>
      <c r="F272" s="8"/>
      <c r="G272" s="8"/>
      <c r="H272" s="13"/>
    </row>
    <row r="273" spans="1:8" x14ac:dyDescent="0.3">
      <c r="A273" s="11"/>
      <c r="B273" s="8"/>
      <c r="C273" s="7" t="str">
        <f>IF(B273="","",IFERROR(INDEX(Reactivos!$D$2:$D$435,MATCH(B273,Reactivos!$A$2:$A$435,0)),"ID no existe"))</f>
        <v/>
      </c>
      <c r="D273" s="8"/>
      <c r="E273" s="7" t="str">
        <f>IF(B273="","",IFERROR(INDEX(Reactivos!$H$2:$H$435,MATCH(B273,Reactivos!$A$2:$A$435,0)),""))</f>
        <v/>
      </c>
      <c r="F273" s="8"/>
      <c r="G273" s="8"/>
      <c r="H273" s="13"/>
    </row>
    <row r="274" spans="1:8" x14ac:dyDescent="0.3">
      <c r="A274" s="11"/>
      <c r="B274" s="8"/>
      <c r="C274" s="7" t="str">
        <f>IF(B274="","",IFERROR(INDEX(Reactivos!$D$2:$D$435,MATCH(B274,Reactivos!$A$2:$A$435,0)),"ID no existe"))</f>
        <v/>
      </c>
      <c r="D274" s="8"/>
      <c r="E274" s="7" t="str">
        <f>IF(B274="","",IFERROR(INDEX(Reactivos!$H$2:$H$435,MATCH(B274,Reactivos!$A$2:$A$435,0)),""))</f>
        <v/>
      </c>
      <c r="F274" s="8"/>
      <c r="G274" s="8"/>
      <c r="H274" s="13"/>
    </row>
    <row r="275" spans="1:8" x14ac:dyDescent="0.3">
      <c r="A275" s="11"/>
      <c r="B275" s="8"/>
      <c r="C275" s="7" t="str">
        <f>IF(B275="","",IFERROR(INDEX(Reactivos!$D$2:$D$435,MATCH(B275,Reactivos!$A$2:$A$435,0)),"ID no existe"))</f>
        <v/>
      </c>
      <c r="D275" s="8"/>
      <c r="E275" s="7" t="str">
        <f>IF(B275="","",IFERROR(INDEX(Reactivos!$H$2:$H$435,MATCH(B275,Reactivos!$A$2:$A$435,0)),""))</f>
        <v/>
      </c>
      <c r="F275" s="8"/>
      <c r="G275" s="8"/>
      <c r="H275" s="13"/>
    </row>
    <row r="276" spans="1:8" x14ac:dyDescent="0.3">
      <c r="A276" s="11"/>
      <c r="B276" s="8"/>
      <c r="C276" s="7" t="str">
        <f>IF(B276="","",IFERROR(INDEX(Reactivos!$D$2:$D$435,MATCH(B276,Reactivos!$A$2:$A$435,0)),"ID no existe"))</f>
        <v/>
      </c>
      <c r="D276" s="8"/>
      <c r="E276" s="7" t="str">
        <f>IF(B276="","",IFERROR(INDEX(Reactivos!$H$2:$H$435,MATCH(B276,Reactivos!$A$2:$A$435,0)),""))</f>
        <v/>
      </c>
      <c r="F276" s="8"/>
      <c r="G276" s="8"/>
      <c r="H276" s="13"/>
    </row>
    <row r="277" spans="1:8" x14ac:dyDescent="0.3">
      <c r="A277" s="11"/>
      <c r="B277" s="8"/>
      <c r="C277" s="7" t="str">
        <f>IF(B277="","",IFERROR(INDEX(Reactivos!$D$2:$D$435,MATCH(B277,Reactivos!$A$2:$A$435,0)),"ID no existe"))</f>
        <v/>
      </c>
      <c r="D277" s="8"/>
      <c r="E277" s="7" t="str">
        <f>IF(B277="","",IFERROR(INDEX(Reactivos!$H$2:$H$435,MATCH(B277,Reactivos!$A$2:$A$435,0)),""))</f>
        <v/>
      </c>
      <c r="F277" s="8"/>
      <c r="G277" s="8"/>
      <c r="H277" s="13"/>
    </row>
    <row r="278" spans="1:8" x14ac:dyDescent="0.3">
      <c r="A278" s="11"/>
      <c r="B278" s="8"/>
      <c r="C278" s="7" t="str">
        <f>IF(B278="","",IFERROR(INDEX(Reactivos!$D$2:$D$435,MATCH(B278,Reactivos!$A$2:$A$435,0)),"ID no existe"))</f>
        <v/>
      </c>
      <c r="D278" s="8"/>
      <c r="E278" s="7" t="str">
        <f>IF(B278="","",IFERROR(INDEX(Reactivos!$H$2:$H$435,MATCH(B278,Reactivos!$A$2:$A$435,0)),""))</f>
        <v/>
      </c>
      <c r="F278" s="8"/>
      <c r="G278" s="8"/>
      <c r="H278" s="13"/>
    </row>
    <row r="279" spans="1:8" x14ac:dyDescent="0.3">
      <c r="A279" s="11"/>
      <c r="B279" s="8"/>
      <c r="C279" s="7" t="str">
        <f>IF(B279="","",IFERROR(INDEX(Reactivos!$D$2:$D$435,MATCH(B279,Reactivos!$A$2:$A$435,0)),"ID no existe"))</f>
        <v/>
      </c>
      <c r="D279" s="8"/>
      <c r="E279" s="7" t="str">
        <f>IF(B279="","",IFERROR(INDEX(Reactivos!$H$2:$H$435,MATCH(B279,Reactivos!$A$2:$A$435,0)),""))</f>
        <v/>
      </c>
      <c r="F279" s="8"/>
      <c r="G279" s="8"/>
      <c r="H279" s="13"/>
    </row>
    <row r="280" spans="1:8" x14ac:dyDescent="0.3">
      <c r="A280" s="11"/>
      <c r="B280" s="8"/>
      <c r="C280" s="7" t="str">
        <f>IF(B280="","",IFERROR(INDEX(Reactivos!$D$2:$D$435,MATCH(B280,Reactivos!$A$2:$A$435,0)),"ID no existe"))</f>
        <v/>
      </c>
      <c r="D280" s="8"/>
      <c r="E280" s="7" t="str">
        <f>IF(B280="","",IFERROR(INDEX(Reactivos!$H$2:$H$435,MATCH(B280,Reactivos!$A$2:$A$435,0)),""))</f>
        <v/>
      </c>
      <c r="F280" s="8"/>
      <c r="G280" s="8"/>
      <c r="H280" s="13"/>
    </row>
    <row r="281" spans="1:8" x14ac:dyDescent="0.3">
      <c r="A281" s="11"/>
      <c r="B281" s="8"/>
      <c r="C281" s="7" t="str">
        <f>IF(B281="","",IFERROR(INDEX(Reactivos!$D$2:$D$435,MATCH(B281,Reactivos!$A$2:$A$435,0)),"ID no existe"))</f>
        <v/>
      </c>
      <c r="D281" s="8"/>
      <c r="E281" s="7" t="str">
        <f>IF(B281="","",IFERROR(INDEX(Reactivos!$H$2:$H$435,MATCH(B281,Reactivos!$A$2:$A$435,0)),""))</f>
        <v/>
      </c>
      <c r="F281" s="8"/>
      <c r="G281" s="8"/>
      <c r="H281" s="13"/>
    </row>
    <row r="282" spans="1:8" x14ac:dyDescent="0.3">
      <c r="A282" s="11"/>
      <c r="B282" s="8"/>
      <c r="C282" s="7" t="str">
        <f>IF(B282="","",IFERROR(INDEX(Reactivos!$D$2:$D$435,MATCH(B282,Reactivos!$A$2:$A$435,0)),"ID no existe"))</f>
        <v/>
      </c>
      <c r="D282" s="8"/>
      <c r="E282" s="7" t="str">
        <f>IF(B282="","",IFERROR(INDEX(Reactivos!$H$2:$H$435,MATCH(B282,Reactivos!$A$2:$A$435,0)),""))</f>
        <v/>
      </c>
      <c r="F282" s="8"/>
      <c r="G282" s="8"/>
      <c r="H282" s="13"/>
    </row>
    <row r="283" spans="1:8" x14ac:dyDescent="0.3">
      <c r="A283" s="11"/>
      <c r="B283" s="8"/>
      <c r="C283" s="7" t="str">
        <f>IF(B283="","",IFERROR(INDEX(Reactivos!$D$2:$D$435,MATCH(B283,Reactivos!$A$2:$A$435,0)),"ID no existe"))</f>
        <v/>
      </c>
      <c r="D283" s="8"/>
      <c r="E283" s="7" t="str">
        <f>IF(B283="","",IFERROR(INDEX(Reactivos!$H$2:$H$435,MATCH(B283,Reactivos!$A$2:$A$435,0)),""))</f>
        <v/>
      </c>
      <c r="F283" s="8"/>
      <c r="G283" s="8"/>
      <c r="H283" s="13"/>
    </row>
    <row r="284" spans="1:8" x14ac:dyDescent="0.3">
      <c r="A284" s="11"/>
      <c r="B284" s="8"/>
      <c r="C284" s="7" t="str">
        <f>IF(B284="","",IFERROR(INDEX(Reactivos!$D$2:$D$435,MATCH(B284,Reactivos!$A$2:$A$435,0)),"ID no existe"))</f>
        <v/>
      </c>
      <c r="D284" s="8"/>
      <c r="E284" s="7" t="str">
        <f>IF(B284="","",IFERROR(INDEX(Reactivos!$H$2:$H$435,MATCH(B284,Reactivos!$A$2:$A$435,0)),""))</f>
        <v/>
      </c>
      <c r="F284" s="8"/>
      <c r="G284" s="8"/>
      <c r="H284" s="13"/>
    </row>
    <row r="285" spans="1:8" x14ac:dyDescent="0.3">
      <c r="A285" s="11"/>
      <c r="B285" s="8"/>
      <c r="C285" s="7" t="str">
        <f>IF(B285="","",IFERROR(INDEX(Reactivos!$D$2:$D$435,MATCH(B285,Reactivos!$A$2:$A$435,0)),"ID no existe"))</f>
        <v/>
      </c>
      <c r="D285" s="8"/>
      <c r="E285" s="7" t="str">
        <f>IF(B285="","",IFERROR(INDEX(Reactivos!$H$2:$H$435,MATCH(B285,Reactivos!$A$2:$A$435,0)),""))</f>
        <v/>
      </c>
      <c r="F285" s="8"/>
      <c r="G285" s="8"/>
      <c r="H285" s="13"/>
    </row>
    <row r="286" spans="1:8" x14ac:dyDescent="0.3">
      <c r="A286" s="11"/>
      <c r="B286" s="8"/>
      <c r="C286" s="7" t="str">
        <f>IF(B286="","",IFERROR(INDEX(Reactivos!$D$2:$D$435,MATCH(B286,Reactivos!$A$2:$A$435,0)),"ID no existe"))</f>
        <v/>
      </c>
      <c r="D286" s="8"/>
      <c r="E286" s="7" t="str">
        <f>IF(B286="","",IFERROR(INDEX(Reactivos!$H$2:$H$435,MATCH(B286,Reactivos!$A$2:$A$435,0)),""))</f>
        <v/>
      </c>
      <c r="F286" s="8"/>
      <c r="G286" s="8"/>
      <c r="H286" s="13"/>
    </row>
    <row r="287" spans="1:8" x14ac:dyDescent="0.3">
      <c r="A287" s="11"/>
      <c r="B287" s="8"/>
      <c r="C287" s="7" t="str">
        <f>IF(B287="","",IFERROR(INDEX(Reactivos!$D$2:$D$435,MATCH(B287,Reactivos!$A$2:$A$435,0)),"ID no existe"))</f>
        <v/>
      </c>
      <c r="D287" s="8"/>
      <c r="E287" s="7" t="str">
        <f>IF(B287="","",IFERROR(INDEX(Reactivos!$H$2:$H$435,MATCH(B287,Reactivos!$A$2:$A$435,0)),""))</f>
        <v/>
      </c>
      <c r="F287" s="8"/>
      <c r="G287" s="8"/>
      <c r="H287" s="13"/>
    </row>
    <row r="288" spans="1:8" x14ac:dyDescent="0.3">
      <c r="A288" s="11"/>
      <c r="B288" s="8"/>
      <c r="C288" s="7" t="str">
        <f>IF(B288="","",IFERROR(INDEX(Reactivos!$D$2:$D$435,MATCH(B288,Reactivos!$A$2:$A$435,0)),"ID no existe"))</f>
        <v/>
      </c>
      <c r="D288" s="8"/>
      <c r="E288" s="7" t="str">
        <f>IF(B288="","",IFERROR(INDEX(Reactivos!$H$2:$H$435,MATCH(B288,Reactivos!$A$2:$A$435,0)),""))</f>
        <v/>
      </c>
      <c r="F288" s="8"/>
      <c r="G288" s="8"/>
      <c r="H288" s="13"/>
    </row>
    <row r="289" spans="1:8" x14ac:dyDescent="0.3">
      <c r="A289" s="11"/>
      <c r="B289" s="8"/>
      <c r="C289" s="7" t="str">
        <f>IF(B289="","",IFERROR(INDEX(Reactivos!$D$2:$D$435,MATCH(B289,Reactivos!$A$2:$A$435,0)),"ID no existe"))</f>
        <v/>
      </c>
      <c r="D289" s="8"/>
      <c r="E289" s="7" t="str">
        <f>IF(B289="","",IFERROR(INDEX(Reactivos!$H$2:$H$435,MATCH(B289,Reactivos!$A$2:$A$435,0)),""))</f>
        <v/>
      </c>
      <c r="F289" s="8"/>
      <c r="G289" s="8"/>
      <c r="H289" s="13"/>
    </row>
    <row r="290" spans="1:8" x14ac:dyDescent="0.3">
      <c r="A290" s="11"/>
      <c r="B290" s="8"/>
      <c r="C290" s="7" t="str">
        <f>IF(B290="","",IFERROR(INDEX(Reactivos!$D$2:$D$435,MATCH(B290,Reactivos!$A$2:$A$435,0)),"ID no existe"))</f>
        <v/>
      </c>
      <c r="D290" s="8"/>
      <c r="E290" s="7" t="str">
        <f>IF(B290="","",IFERROR(INDEX(Reactivos!$H$2:$H$435,MATCH(B290,Reactivos!$A$2:$A$435,0)),""))</f>
        <v/>
      </c>
      <c r="F290" s="8"/>
      <c r="G290" s="8"/>
      <c r="H290" s="13"/>
    </row>
    <row r="291" spans="1:8" x14ac:dyDescent="0.3">
      <c r="A291" s="11"/>
      <c r="B291" s="8"/>
      <c r="C291" s="7" t="str">
        <f>IF(B291="","",IFERROR(INDEX(Reactivos!$D$2:$D$435,MATCH(B291,Reactivos!$A$2:$A$435,0)),"ID no existe"))</f>
        <v/>
      </c>
      <c r="D291" s="8"/>
      <c r="E291" s="7" t="str">
        <f>IF(B291="","",IFERROR(INDEX(Reactivos!$H$2:$H$435,MATCH(B291,Reactivos!$A$2:$A$435,0)),""))</f>
        <v/>
      </c>
      <c r="F291" s="8"/>
      <c r="G291" s="8"/>
      <c r="H291" s="13"/>
    </row>
    <row r="292" spans="1:8" x14ac:dyDescent="0.3">
      <c r="A292" s="11"/>
      <c r="B292" s="8"/>
      <c r="C292" s="7" t="str">
        <f>IF(B292="","",IFERROR(INDEX(Reactivos!$D$2:$D$435,MATCH(B292,Reactivos!$A$2:$A$435,0)),"ID no existe"))</f>
        <v/>
      </c>
      <c r="D292" s="8"/>
      <c r="E292" s="7" t="str">
        <f>IF(B292="","",IFERROR(INDEX(Reactivos!$H$2:$H$435,MATCH(B292,Reactivos!$A$2:$A$435,0)),""))</f>
        <v/>
      </c>
      <c r="F292" s="8"/>
      <c r="G292" s="8"/>
      <c r="H292" s="13"/>
    </row>
    <row r="293" spans="1:8" x14ac:dyDescent="0.3">
      <c r="A293" s="11"/>
      <c r="B293" s="8"/>
      <c r="C293" s="7" t="str">
        <f>IF(B293="","",IFERROR(INDEX(Reactivos!$D$2:$D$435,MATCH(B293,Reactivos!$A$2:$A$435,0)),"ID no existe"))</f>
        <v/>
      </c>
      <c r="D293" s="8"/>
      <c r="E293" s="7" t="str">
        <f>IF(B293="","",IFERROR(INDEX(Reactivos!$H$2:$H$435,MATCH(B293,Reactivos!$A$2:$A$435,0)),""))</f>
        <v/>
      </c>
      <c r="F293" s="8"/>
      <c r="G293" s="8"/>
      <c r="H293" s="13"/>
    </row>
    <row r="294" spans="1:8" x14ac:dyDescent="0.3">
      <c r="A294" s="11"/>
      <c r="B294" s="8"/>
      <c r="C294" s="7" t="str">
        <f>IF(B294="","",IFERROR(INDEX(Reactivos!$D$2:$D$435,MATCH(B294,Reactivos!$A$2:$A$435,0)),"ID no existe"))</f>
        <v/>
      </c>
      <c r="D294" s="8"/>
      <c r="E294" s="7" t="str">
        <f>IF(B294="","",IFERROR(INDEX(Reactivos!$H$2:$H$435,MATCH(B294,Reactivos!$A$2:$A$435,0)),""))</f>
        <v/>
      </c>
      <c r="F294" s="8"/>
      <c r="G294" s="8"/>
      <c r="H294" s="13"/>
    </row>
    <row r="295" spans="1:8" x14ac:dyDescent="0.3">
      <c r="A295" s="11"/>
      <c r="B295" s="8"/>
      <c r="C295" s="7" t="str">
        <f>IF(B295="","",IFERROR(INDEX(Reactivos!$D$2:$D$435,MATCH(B295,Reactivos!$A$2:$A$435,0)),"ID no existe"))</f>
        <v/>
      </c>
      <c r="D295" s="8"/>
      <c r="E295" s="7" t="str">
        <f>IF(B295="","",IFERROR(INDEX(Reactivos!$H$2:$H$435,MATCH(B295,Reactivos!$A$2:$A$435,0)),""))</f>
        <v/>
      </c>
      <c r="F295" s="8"/>
      <c r="G295" s="8"/>
      <c r="H295" s="13"/>
    </row>
    <row r="296" spans="1:8" x14ac:dyDescent="0.3">
      <c r="A296" s="11"/>
      <c r="B296" s="8"/>
      <c r="C296" s="7" t="str">
        <f>IF(B296="","",IFERROR(INDEX(Reactivos!$D$2:$D$435,MATCH(B296,Reactivos!$A$2:$A$435,0)),"ID no existe"))</f>
        <v/>
      </c>
      <c r="D296" s="8"/>
      <c r="E296" s="7" t="str">
        <f>IF(B296="","",IFERROR(INDEX(Reactivos!$H$2:$H$435,MATCH(B296,Reactivos!$A$2:$A$435,0)),""))</f>
        <v/>
      </c>
      <c r="F296" s="8"/>
      <c r="G296" s="8"/>
      <c r="H296" s="13"/>
    </row>
    <row r="297" spans="1:8" x14ac:dyDescent="0.3">
      <c r="A297" s="11"/>
      <c r="B297" s="8"/>
      <c r="C297" s="7" t="str">
        <f>IF(B297="","",IFERROR(INDEX(Reactivos!$D$2:$D$435,MATCH(B297,Reactivos!$A$2:$A$435,0)),"ID no existe"))</f>
        <v/>
      </c>
      <c r="D297" s="8"/>
      <c r="E297" s="7" t="str">
        <f>IF(B297="","",IFERROR(INDEX(Reactivos!$H$2:$H$435,MATCH(B297,Reactivos!$A$2:$A$435,0)),""))</f>
        <v/>
      </c>
      <c r="F297" s="8"/>
      <c r="G297" s="8"/>
      <c r="H297" s="13"/>
    </row>
    <row r="298" spans="1:8" x14ac:dyDescent="0.3">
      <c r="A298" s="11"/>
      <c r="B298" s="8"/>
      <c r="C298" s="7" t="str">
        <f>IF(B298="","",IFERROR(INDEX(Reactivos!$D$2:$D$435,MATCH(B298,Reactivos!$A$2:$A$435,0)),"ID no existe"))</f>
        <v/>
      </c>
      <c r="D298" s="8"/>
      <c r="E298" s="7" t="str">
        <f>IF(B298="","",IFERROR(INDEX(Reactivos!$H$2:$H$435,MATCH(B298,Reactivos!$A$2:$A$435,0)),""))</f>
        <v/>
      </c>
      <c r="F298" s="8"/>
      <c r="G298" s="8"/>
      <c r="H298" s="13"/>
    </row>
    <row r="299" spans="1:8" x14ac:dyDescent="0.3">
      <c r="A299" s="11"/>
      <c r="B299" s="8"/>
      <c r="C299" s="7" t="str">
        <f>IF(B299="","",IFERROR(INDEX(Reactivos!$D$2:$D$435,MATCH(B299,Reactivos!$A$2:$A$435,0)),"ID no existe"))</f>
        <v/>
      </c>
      <c r="D299" s="8"/>
      <c r="E299" s="7" t="str">
        <f>IF(B299="","",IFERROR(INDEX(Reactivos!$H$2:$H$435,MATCH(B299,Reactivos!$A$2:$A$435,0)),""))</f>
        <v/>
      </c>
      <c r="F299" s="8"/>
      <c r="G299" s="8"/>
      <c r="H299" s="13"/>
    </row>
    <row r="300" spans="1:8" x14ac:dyDescent="0.3">
      <c r="A300" s="11"/>
      <c r="B300" s="8"/>
      <c r="C300" s="7" t="str">
        <f>IF(B300="","",IFERROR(INDEX(Reactivos!$D$2:$D$435,MATCH(B300,Reactivos!$A$2:$A$435,0)),"ID no existe"))</f>
        <v/>
      </c>
      <c r="D300" s="8"/>
      <c r="E300" s="7" t="str">
        <f>IF(B300="","",IFERROR(INDEX(Reactivos!$H$2:$H$435,MATCH(B300,Reactivos!$A$2:$A$435,0)),""))</f>
        <v/>
      </c>
      <c r="F300" s="8"/>
      <c r="G300" s="8"/>
      <c r="H300" s="13"/>
    </row>
    <row r="301" spans="1:8" x14ac:dyDescent="0.3">
      <c r="A301" s="11"/>
      <c r="B301" s="8"/>
      <c r="C301" s="7" t="str">
        <f>IF(B301="","",IFERROR(INDEX(Reactivos!$D$2:$D$435,MATCH(B301,Reactivos!$A$2:$A$435,0)),"ID no existe"))</f>
        <v/>
      </c>
      <c r="D301" s="8"/>
      <c r="E301" s="7" t="str">
        <f>IF(B301="","",IFERROR(INDEX(Reactivos!$H$2:$H$435,MATCH(B301,Reactivos!$A$2:$A$435,0)),""))</f>
        <v/>
      </c>
      <c r="F301" s="8"/>
      <c r="G301" s="8"/>
      <c r="H301" s="13"/>
    </row>
    <row r="302" spans="1:8" x14ac:dyDescent="0.3">
      <c r="A302" s="11"/>
      <c r="B302" s="8"/>
      <c r="C302" s="7" t="str">
        <f>IF(B302="","",IFERROR(INDEX(Reactivos!$D$2:$D$435,MATCH(B302,Reactivos!$A$2:$A$435,0)),"ID no existe"))</f>
        <v/>
      </c>
      <c r="D302" s="8"/>
      <c r="E302" s="7" t="str">
        <f>IF(B302="","",IFERROR(INDEX(Reactivos!$H$2:$H$435,MATCH(B302,Reactivos!$A$2:$A$435,0)),""))</f>
        <v/>
      </c>
      <c r="F302" s="8"/>
      <c r="G302" s="8"/>
      <c r="H302" s="13"/>
    </row>
    <row r="303" spans="1:8" x14ac:dyDescent="0.3">
      <c r="A303" s="11"/>
      <c r="B303" s="8"/>
      <c r="C303" s="7" t="str">
        <f>IF(B303="","",IFERROR(INDEX(Reactivos!$D$2:$D$435,MATCH(B303,Reactivos!$A$2:$A$435,0)),"ID no existe"))</f>
        <v/>
      </c>
      <c r="D303" s="8"/>
      <c r="E303" s="7" t="str">
        <f>IF(B303="","",IFERROR(INDEX(Reactivos!$H$2:$H$435,MATCH(B303,Reactivos!$A$2:$A$435,0)),""))</f>
        <v/>
      </c>
      <c r="F303" s="8"/>
      <c r="G303" s="8"/>
      <c r="H303" s="13"/>
    </row>
    <row r="304" spans="1:8" x14ac:dyDescent="0.3">
      <c r="A304" s="11"/>
      <c r="B304" s="8"/>
      <c r="C304" s="7" t="str">
        <f>IF(B304="","",IFERROR(INDEX(Reactivos!$D$2:$D$435,MATCH(B304,Reactivos!$A$2:$A$435,0)),"ID no existe"))</f>
        <v/>
      </c>
      <c r="D304" s="8"/>
      <c r="E304" s="7" t="str">
        <f>IF(B304="","",IFERROR(INDEX(Reactivos!$H$2:$H$435,MATCH(B304,Reactivos!$A$2:$A$435,0)),""))</f>
        <v/>
      </c>
      <c r="F304" s="8"/>
      <c r="G304" s="8"/>
      <c r="H304" s="13"/>
    </row>
    <row r="305" spans="1:8" x14ac:dyDescent="0.3">
      <c r="A305" s="11"/>
      <c r="B305" s="8"/>
      <c r="C305" s="7" t="str">
        <f>IF(B305="","",IFERROR(INDEX(Reactivos!$D$2:$D$435,MATCH(B305,Reactivos!$A$2:$A$435,0)),"ID no existe"))</f>
        <v/>
      </c>
      <c r="D305" s="8"/>
      <c r="E305" s="7" t="str">
        <f>IF(B305="","",IFERROR(INDEX(Reactivos!$H$2:$H$435,MATCH(B305,Reactivos!$A$2:$A$435,0)),""))</f>
        <v/>
      </c>
      <c r="F305" s="8"/>
      <c r="G305" s="8"/>
      <c r="H305" s="13"/>
    </row>
    <row r="306" spans="1:8" x14ac:dyDescent="0.3">
      <c r="A306" s="11"/>
      <c r="B306" s="8"/>
      <c r="C306" s="7" t="str">
        <f>IF(B306="","",IFERROR(INDEX(Reactivos!$D$2:$D$435,MATCH(B306,Reactivos!$A$2:$A$435,0)),"ID no existe"))</f>
        <v/>
      </c>
      <c r="D306" s="8"/>
      <c r="E306" s="7" t="str">
        <f>IF(B306="","",IFERROR(INDEX(Reactivos!$H$2:$H$435,MATCH(B306,Reactivos!$A$2:$A$435,0)),""))</f>
        <v/>
      </c>
      <c r="F306" s="8"/>
      <c r="G306" s="8"/>
      <c r="H306" s="13"/>
    </row>
    <row r="307" spans="1:8" x14ac:dyDescent="0.3">
      <c r="A307" s="11"/>
      <c r="B307" s="8"/>
      <c r="C307" s="7" t="str">
        <f>IF(B307="","",IFERROR(INDEX(Reactivos!$D$2:$D$435,MATCH(B307,Reactivos!$A$2:$A$435,0)),"ID no existe"))</f>
        <v/>
      </c>
      <c r="D307" s="8"/>
      <c r="E307" s="7" t="str">
        <f>IF(B307="","",IFERROR(INDEX(Reactivos!$H$2:$H$435,MATCH(B307,Reactivos!$A$2:$A$435,0)),""))</f>
        <v/>
      </c>
      <c r="F307" s="8"/>
      <c r="G307" s="8"/>
      <c r="H307" s="13"/>
    </row>
    <row r="308" spans="1:8" x14ac:dyDescent="0.3">
      <c r="A308" s="11"/>
      <c r="B308" s="8"/>
      <c r="C308" s="7" t="str">
        <f>IF(B308="","",IFERROR(INDEX(Reactivos!$D$2:$D$435,MATCH(B308,Reactivos!$A$2:$A$435,0)),"ID no existe"))</f>
        <v/>
      </c>
      <c r="D308" s="8"/>
      <c r="E308" s="7" t="str">
        <f>IF(B308="","",IFERROR(INDEX(Reactivos!$H$2:$H$435,MATCH(B308,Reactivos!$A$2:$A$435,0)),""))</f>
        <v/>
      </c>
      <c r="F308" s="8"/>
      <c r="G308" s="8"/>
      <c r="H308" s="13"/>
    </row>
    <row r="309" spans="1:8" x14ac:dyDescent="0.3">
      <c r="A309" s="11"/>
      <c r="B309" s="8"/>
      <c r="C309" s="7" t="str">
        <f>IF(B309="","",IFERROR(INDEX(Reactivos!$D$2:$D$435,MATCH(B309,Reactivos!$A$2:$A$435,0)),"ID no existe"))</f>
        <v/>
      </c>
      <c r="D309" s="8"/>
      <c r="E309" s="7" t="str">
        <f>IF(B309="","",IFERROR(INDEX(Reactivos!$H$2:$H$435,MATCH(B309,Reactivos!$A$2:$A$435,0)),""))</f>
        <v/>
      </c>
      <c r="F309" s="8"/>
      <c r="G309" s="8"/>
      <c r="H309" s="13"/>
    </row>
    <row r="310" spans="1:8" x14ac:dyDescent="0.3">
      <c r="A310" s="11"/>
      <c r="B310" s="8"/>
      <c r="C310" s="7" t="str">
        <f>IF(B310="","",IFERROR(INDEX(Reactivos!$D$2:$D$435,MATCH(B310,Reactivos!$A$2:$A$435,0)),"ID no existe"))</f>
        <v/>
      </c>
      <c r="D310" s="8"/>
      <c r="E310" s="7" t="str">
        <f>IF(B310="","",IFERROR(INDEX(Reactivos!$H$2:$H$435,MATCH(B310,Reactivos!$A$2:$A$435,0)),""))</f>
        <v/>
      </c>
      <c r="F310" s="8"/>
      <c r="G310" s="8"/>
      <c r="H310" s="13"/>
    </row>
    <row r="311" spans="1:8" x14ac:dyDescent="0.3">
      <c r="A311" s="11"/>
      <c r="B311" s="8"/>
      <c r="C311" s="7" t="str">
        <f>IF(B311="","",IFERROR(INDEX(Reactivos!$D$2:$D$435,MATCH(B311,Reactivos!$A$2:$A$435,0)),"ID no existe"))</f>
        <v/>
      </c>
      <c r="D311" s="8"/>
      <c r="E311" s="7" t="str">
        <f>IF(B311="","",IFERROR(INDEX(Reactivos!$H$2:$H$435,MATCH(B311,Reactivos!$A$2:$A$435,0)),""))</f>
        <v/>
      </c>
      <c r="F311" s="8"/>
      <c r="G311" s="8"/>
      <c r="H311" s="13"/>
    </row>
    <row r="312" spans="1:8" x14ac:dyDescent="0.3">
      <c r="A312" s="11"/>
      <c r="B312" s="8"/>
      <c r="C312" s="7" t="str">
        <f>IF(B312="","",IFERROR(INDEX(Reactivos!$D$2:$D$435,MATCH(B312,Reactivos!$A$2:$A$435,0)),"ID no existe"))</f>
        <v/>
      </c>
      <c r="D312" s="8"/>
      <c r="E312" s="7" t="str">
        <f>IF(B312="","",IFERROR(INDEX(Reactivos!$H$2:$H$435,MATCH(B312,Reactivos!$A$2:$A$435,0)),""))</f>
        <v/>
      </c>
      <c r="F312" s="8"/>
      <c r="G312" s="8"/>
      <c r="H312" s="13"/>
    </row>
    <row r="313" spans="1:8" x14ac:dyDescent="0.3">
      <c r="A313" s="11"/>
      <c r="B313" s="8"/>
      <c r="C313" s="7" t="str">
        <f>IF(B313="","",IFERROR(INDEX(Reactivos!$D$2:$D$435,MATCH(B313,Reactivos!$A$2:$A$435,0)),"ID no existe"))</f>
        <v/>
      </c>
      <c r="D313" s="8"/>
      <c r="E313" s="7" t="str">
        <f>IF(B313="","",IFERROR(INDEX(Reactivos!$H$2:$H$435,MATCH(B313,Reactivos!$A$2:$A$435,0)),""))</f>
        <v/>
      </c>
      <c r="F313" s="8"/>
      <c r="G313" s="8"/>
      <c r="H313" s="13"/>
    </row>
    <row r="314" spans="1:8" x14ac:dyDescent="0.3">
      <c r="A314" s="11"/>
      <c r="B314" s="8"/>
      <c r="C314" s="7" t="str">
        <f>IF(B314="","",IFERROR(INDEX(Reactivos!$D$2:$D$435,MATCH(B314,Reactivos!$A$2:$A$435,0)),"ID no existe"))</f>
        <v/>
      </c>
      <c r="D314" s="8"/>
      <c r="E314" s="7" t="str">
        <f>IF(B314="","",IFERROR(INDEX(Reactivos!$H$2:$H$435,MATCH(B314,Reactivos!$A$2:$A$435,0)),""))</f>
        <v/>
      </c>
      <c r="F314" s="8"/>
      <c r="G314" s="8"/>
      <c r="H314" s="13"/>
    </row>
    <row r="315" spans="1:8" x14ac:dyDescent="0.3">
      <c r="A315" s="11"/>
      <c r="B315" s="8"/>
      <c r="C315" s="7" t="str">
        <f>IF(B315="","",IFERROR(INDEX(Reactivos!$D$2:$D$435,MATCH(B315,Reactivos!$A$2:$A$435,0)),"ID no existe"))</f>
        <v/>
      </c>
      <c r="D315" s="8"/>
      <c r="E315" s="7" t="str">
        <f>IF(B315="","",IFERROR(INDEX(Reactivos!$H$2:$H$435,MATCH(B315,Reactivos!$A$2:$A$435,0)),""))</f>
        <v/>
      </c>
      <c r="F315" s="8"/>
      <c r="G315" s="8"/>
      <c r="H315" s="13"/>
    </row>
    <row r="316" spans="1:8" x14ac:dyDescent="0.3">
      <c r="A316" s="11"/>
      <c r="B316" s="8"/>
      <c r="C316" s="7" t="str">
        <f>IF(B316="","",IFERROR(INDEX(Reactivos!$D$2:$D$435,MATCH(B316,Reactivos!$A$2:$A$435,0)),"ID no existe"))</f>
        <v/>
      </c>
      <c r="D316" s="8"/>
      <c r="E316" s="7" t="str">
        <f>IF(B316="","",IFERROR(INDEX(Reactivos!$H$2:$H$435,MATCH(B316,Reactivos!$A$2:$A$435,0)),""))</f>
        <v/>
      </c>
      <c r="F316" s="8"/>
      <c r="G316" s="8"/>
      <c r="H316" s="13"/>
    </row>
    <row r="317" spans="1:8" x14ac:dyDescent="0.3">
      <c r="A317" s="11"/>
      <c r="B317" s="8"/>
      <c r="C317" s="7" t="str">
        <f>IF(B317="","",IFERROR(INDEX(Reactivos!$D$2:$D$435,MATCH(B317,Reactivos!$A$2:$A$435,0)),"ID no existe"))</f>
        <v/>
      </c>
      <c r="D317" s="8"/>
      <c r="E317" s="7" t="str">
        <f>IF(B317="","",IFERROR(INDEX(Reactivos!$H$2:$H$435,MATCH(B317,Reactivos!$A$2:$A$435,0)),""))</f>
        <v/>
      </c>
      <c r="F317" s="8"/>
      <c r="G317" s="8"/>
      <c r="H317" s="13"/>
    </row>
    <row r="318" spans="1:8" x14ac:dyDescent="0.3">
      <c r="A318" s="11"/>
      <c r="B318" s="8"/>
      <c r="C318" s="7" t="str">
        <f>IF(B318="","",IFERROR(INDEX(Reactivos!$D$2:$D$435,MATCH(B318,Reactivos!$A$2:$A$435,0)),"ID no existe"))</f>
        <v/>
      </c>
      <c r="D318" s="8"/>
      <c r="E318" s="7" t="str">
        <f>IF(B318="","",IFERROR(INDEX(Reactivos!$H$2:$H$435,MATCH(B318,Reactivos!$A$2:$A$435,0)),""))</f>
        <v/>
      </c>
      <c r="F318" s="8"/>
      <c r="G318" s="8"/>
      <c r="H318" s="13"/>
    </row>
    <row r="319" spans="1:8" x14ac:dyDescent="0.3">
      <c r="A319" s="11"/>
      <c r="B319" s="8"/>
      <c r="C319" s="7" t="str">
        <f>IF(B319="","",IFERROR(INDEX(Reactivos!$D$2:$D$435,MATCH(B319,Reactivos!$A$2:$A$435,0)),"ID no existe"))</f>
        <v/>
      </c>
      <c r="D319" s="8"/>
      <c r="E319" s="7" t="str">
        <f>IF(B319="","",IFERROR(INDEX(Reactivos!$H$2:$H$435,MATCH(B319,Reactivos!$A$2:$A$435,0)),""))</f>
        <v/>
      </c>
      <c r="F319" s="8"/>
      <c r="G319" s="8"/>
      <c r="H319" s="13"/>
    </row>
    <row r="320" spans="1:8" x14ac:dyDescent="0.3">
      <c r="A320" s="11"/>
      <c r="B320" s="8"/>
      <c r="C320" s="7" t="str">
        <f>IF(B320="","",IFERROR(INDEX(Reactivos!$D$2:$D$435,MATCH(B320,Reactivos!$A$2:$A$435,0)),"ID no existe"))</f>
        <v/>
      </c>
      <c r="D320" s="8"/>
      <c r="E320" s="7" t="str">
        <f>IF(B320="","",IFERROR(INDEX(Reactivos!$H$2:$H$435,MATCH(B320,Reactivos!$A$2:$A$435,0)),""))</f>
        <v/>
      </c>
      <c r="F320" s="8"/>
      <c r="G320" s="8"/>
      <c r="H320" s="13"/>
    </row>
    <row r="321" spans="1:8" x14ac:dyDescent="0.3">
      <c r="A321" s="11"/>
      <c r="B321" s="8"/>
      <c r="C321" s="7" t="str">
        <f>IF(B321="","",IFERROR(INDEX(Reactivos!$D$2:$D$435,MATCH(B321,Reactivos!$A$2:$A$435,0)),"ID no existe"))</f>
        <v/>
      </c>
      <c r="D321" s="8"/>
      <c r="E321" s="7" t="str">
        <f>IF(B321="","",IFERROR(INDEX(Reactivos!$H$2:$H$435,MATCH(B321,Reactivos!$A$2:$A$435,0)),""))</f>
        <v/>
      </c>
      <c r="F321" s="8"/>
      <c r="G321" s="8"/>
      <c r="H321" s="13"/>
    </row>
    <row r="322" spans="1:8" x14ac:dyDescent="0.3">
      <c r="A322" s="11"/>
      <c r="B322" s="8"/>
      <c r="C322" s="7" t="str">
        <f>IF(B322="","",IFERROR(INDEX(Reactivos!$D$2:$D$435,MATCH(B322,Reactivos!$A$2:$A$435,0)),"ID no existe"))</f>
        <v/>
      </c>
      <c r="D322" s="8"/>
      <c r="E322" s="7" t="str">
        <f>IF(B322="","",IFERROR(INDEX(Reactivos!$H$2:$H$435,MATCH(B322,Reactivos!$A$2:$A$435,0)),""))</f>
        <v/>
      </c>
      <c r="F322" s="8"/>
      <c r="G322" s="8"/>
      <c r="H322" s="13"/>
    </row>
    <row r="323" spans="1:8" x14ac:dyDescent="0.3">
      <c r="A323" s="11"/>
      <c r="B323" s="8"/>
      <c r="C323" s="7" t="str">
        <f>IF(B323="","",IFERROR(INDEX(Reactivos!$D$2:$D$435,MATCH(B323,Reactivos!$A$2:$A$435,0)),"ID no existe"))</f>
        <v/>
      </c>
      <c r="D323" s="8"/>
      <c r="E323" s="7" t="str">
        <f>IF(B323="","",IFERROR(INDEX(Reactivos!$H$2:$H$435,MATCH(B323,Reactivos!$A$2:$A$435,0)),""))</f>
        <v/>
      </c>
      <c r="F323" s="8"/>
      <c r="G323" s="8"/>
      <c r="H323" s="13"/>
    </row>
    <row r="324" spans="1:8" x14ac:dyDescent="0.3">
      <c r="A324" s="11"/>
      <c r="B324" s="8"/>
      <c r="C324" s="7" t="str">
        <f>IF(B324="","",IFERROR(INDEX(Reactivos!$D$2:$D$435,MATCH(B324,Reactivos!$A$2:$A$435,0)),"ID no existe"))</f>
        <v/>
      </c>
      <c r="D324" s="8"/>
      <c r="E324" s="7" t="str">
        <f>IF(B324="","",IFERROR(INDEX(Reactivos!$H$2:$H$435,MATCH(B324,Reactivos!$A$2:$A$435,0)),""))</f>
        <v/>
      </c>
      <c r="F324" s="8"/>
      <c r="G324" s="8"/>
      <c r="H324" s="13"/>
    </row>
    <row r="325" spans="1:8" x14ac:dyDescent="0.3">
      <c r="A325" s="11"/>
      <c r="B325" s="8"/>
      <c r="C325" s="7" t="str">
        <f>IF(B325="","",IFERROR(INDEX(Reactivos!$D$2:$D$435,MATCH(B325,Reactivos!$A$2:$A$435,0)),"ID no existe"))</f>
        <v/>
      </c>
      <c r="D325" s="8"/>
      <c r="E325" s="7" t="str">
        <f>IF(B325="","",IFERROR(INDEX(Reactivos!$H$2:$H$435,MATCH(B325,Reactivos!$A$2:$A$435,0)),""))</f>
        <v/>
      </c>
      <c r="F325" s="8"/>
      <c r="G325" s="8"/>
      <c r="H325" s="13"/>
    </row>
    <row r="326" spans="1:8" x14ac:dyDescent="0.3">
      <c r="A326" s="11"/>
      <c r="B326" s="8"/>
      <c r="C326" s="7" t="str">
        <f>IF(B326="","",IFERROR(INDEX(Reactivos!$D$2:$D$435,MATCH(B326,Reactivos!$A$2:$A$435,0)),"ID no existe"))</f>
        <v/>
      </c>
      <c r="D326" s="8"/>
      <c r="E326" s="7" t="str">
        <f>IF(B326="","",IFERROR(INDEX(Reactivos!$H$2:$H$435,MATCH(B326,Reactivos!$A$2:$A$435,0)),""))</f>
        <v/>
      </c>
      <c r="F326" s="8"/>
      <c r="G326" s="8"/>
      <c r="H326" s="13"/>
    </row>
    <row r="327" spans="1:8" x14ac:dyDescent="0.3">
      <c r="A327" s="11"/>
      <c r="B327" s="8"/>
      <c r="C327" s="7" t="str">
        <f>IF(B327="","",IFERROR(INDEX(Reactivos!$D$2:$D$435,MATCH(B327,Reactivos!$A$2:$A$435,0)),"ID no existe"))</f>
        <v/>
      </c>
      <c r="D327" s="8"/>
      <c r="E327" s="7" t="str">
        <f>IF(B327="","",IFERROR(INDEX(Reactivos!$H$2:$H$435,MATCH(B327,Reactivos!$A$2:$A$435,0)),""))</f>
        <v/>
      </c>
      <c r="F327" s="8"/>
      <c r="G327" s="8"/>
      <c r="H327" s="13"/>
    </row>
    <row r="328" spans="1:8" x14ac:dyDescent="0.3">
      <c r="A328" s="11"/>
      <c r="B328" s="8"/>
      <c r="C328" s="7" t="str">
        <f>IF(B328="","",IFERROR(INDEX(Reactivos!$D$2:$D$435,MATCH(B328,Reactivos!$A$2:$A$435,0)),"ID no existe"))</f>
        <v/>
      </c>
      <c r="D328" s="8"/>
      <c r="E328" s="7" t="str">
        <f>IF(B328="","",IFERROR(INDEX(Reactivos!$H$2:$H$435,MATCH(B328,Reactivos!$A$2:$A$435,0)),""))</f>
        <v/>
      </c>
      <c r="F328" s="8"/>
      <c r="G328" s="8"/>
      <c r="H328" s="13"/>
    </row>
    <row r="329" spans="1:8" x14ac:dyDescent="0.3">
      <c r="A329" s="11"/>
      <c r="B329" s="8"/>
      <c r="C329" s="7" t="str">
        <f>IF(B329="","",IFERROR(INDEX(Reactivos!$D$2:$D$435,MATCH(B329,Reactivos!$A$2:$A$435,0)),"ID no existe"))</f>
        <v/>
      </c>
      <c r="D329" s="8"/>
      <c r="E329" s="7" t="str">
        <f>IF(B329="","",IFERROR(INDEX(Reactivos!$H$2:$H$435,MATCH(B329,Reactivos!$A$2:$A$435,0)),""))</f>
        <v/>
      </c>
      <c r="F329" s="8"/>
      <c r="G329" s="8"/>
      <c r="H329" s="13"/>
    </row>
    <row r="330" spans="1:8" x14ac:dyDescent="0.3">
      <c r="A330" s="11"/>
      <c r="B330" s="8"/>
      <c r="C330" s="7" t="str">
        <f>IF(B330="","",IFERROR(INDEX(Reactivos!$D$2:$D$435,MATCH(B330,Reactivos!$A$2:$A$435,0)),"ID no existe"))</f>
        <v/>
      </c>
      <c r="D330" s="8"/>
      <c r="E330" s="7" t="str">
        <f>IF(B330="","",IFERROR(INDEX(Reactivos!$H$2:$H$435,MATCH(B330,Reactivos!$A$2:$A$435,0)),""))</f>
        <v/>
      </c>
      <c r="F330" s="8"/>
      <c r="G330" s="8"/>
      <c r="H330" s="13"/>
    </row>
    <row r="331" spans="1:8" x14ac:dyDescent="0.3">
      <c r="A331" s="11"/>
      <c r="B331" s="8"/>
      <c r="C331" s="7" t="str">
        <f>IF(B331="","",IFERROR(INDEX(Reactivos!$D$2:$D$435,MATCH(B331,Reactivos!$A$2:$A$435,0)),"ID no existe"))</f>
        <v/>
      </c>
      <c r="D331" s="8"/>
      <c r="E331" s="7" t="str">
        <f>IF(B331="","",IFERROR(INDEX(Reactivos!$H$2:$H$435,MATCH(B331,Reactivos!$A$2:$A$435,0)),""))</f>
        <v/>
      </c>
      <c r="F331" s="8"/>
      <c r="G331" s="8"/>
      <c r="H331" s="13"/>
    </row>
    <row r="332" spans="1:8" x14ac:dyDescent="0.3">
      <c r="A332" s="11"/>
      <c r="B332" s="8"/>
      <c r="C332" s="7" t="str">
        <f>IF(B332="","",IFERROR(INDEX(Reactivos!$D$2:$D$435,MATCH(B332,Reactivos!$A$2:$A$435,0)),"ID no existe"))</f>
        <v/>
      </c>
      <c r="D332" s="8"/>
      <c r="E332" s="7" t="str">
        <f>IF(B332="","",IFERROR(INDEX(Reactivos!$H$2:$H$435,MATCH(B332,Reactivos!$A$2:$A$435,0)),""))</f>
        <v/>
      </c>
      <c r="F332" s="8"/>
      <c r="G332" s="8"/>
      <c r="H332" s="13"/>
    </row>
    <row r="333" spans="1:8" x14ac:dyDescent="0.3">
      <c r="A333" s="11"/>
      <c r="B333" s="8"/>
      <c r="C333" s="7" t="str">
        <f>IF(B333="","",IFERROR(INDEX(Reactivos!$D$2:$D$435,MATCH(B333,Reactivos!$A$2:$A$435,0)),"ID no existe"))</f>
        <v/>
      </c>
      <c r="D333" s="8"/>
      <c r="E333" s="7" t="str">
        <f>IF(B333="","",IFERROR(INDEX(Reactivos!$H$2:$H$435,MATCH(B333,Reactivos!$A$2:$A$435,0)),""))</f>
        <v/>
      </c>
      <c r="F333" s="8"/>
      <c r="G333" s="8"/>
      <c r="H333" s="13"/>
    </row>
    <row r="334" spans="1:8" x14ac:dyDescent="0.3">
      <c r="A334" s="11"/>
      <c r="B334" s="8"/>
      <c r="C334" s="7" t="str">
        <f>IF(B334="","",IFERROR(INDEX(Reactivos!$D$2:$D$435,MATCH(B334,Reactivos!$A$2:$A$435,0)),"ID no existe"))</f>
        <v/>
      </c>
      <c r="D334" s="8"/>
      <c r="E334" s="7" t="str">
        <f>IF(B334="","",IFERROR(INDEX(Reactivos!$H$2:$H$435,MATCH(B334,Reactivos!$A$2:$A$435,0)),""))</f>
        <v/>
      </c>
      <c r="F334" s="8"/>
      <c r="G334" s="8"/>
      <c r="H334" s="13"/>
    </row>
    <row r="335" spans="1:8" x14ac:dyDescent="0.3">
      <c r="A335" s="11"/>
      <c r="B335" s="8"/>
      <c r="C335" s="7" t="str">
        <f>IF(B335="","",IFERROR(INDEX(Reactivos!$D$2:$D$435,MATCH(B335,Reactivos!$A$2:$A$435,0)),"ID no existe"))</f>
        <v/>
      </c>
      <c r="D335" s="8"/>
      <c r="E335" s="7" t="str">
        <f>IF(B335="","",IFERROR(INDEX(Reactivos!$H$2:$H$435,MATCH(B335,Reactivos!$A$2:$A$435,0)),""))</f>
        <v/>
      </c>
      <c r="F335" s="8"/>
      <c r="G335" s="8"/>
      <c r="H335" s="13"/>
    </row>
    <row r="336" spans="1:8" x14ac:dyDescent="0.3">
      <c r="A336" s="11"/>
      <c r="B336" s="8"/>
      <c r="C336" s="7" t="str">
        <f>IF(B336="","",IFERROR(INDEX(Reactivos!$D$2:$D$435,MATCH(B336,Reactivos!$A$2:$A$435,0)),"ID no existe"))</f>
        <v/>
      </c>
      <c r="D336" s="8"/>
      <c r="E336" s="7" t="str">
        <f>IF(B336="","",IFERROR(INDEX(Reactivos!$H$2:$H$435,MATCH(B336,Reactivos!$A$2:$A$435,0)),""))</f>
        <v/>
      </c>
      <c r="F336" s="8"/>
      <c r="G336" s="8"/>
      <c r="H336" s="13"/>
    </row>
    <row r="337" spans="1:8" x14ac:dyDescent="0.3">
      <c r="A337" s="11"/>
      <c r="B337" s="8"/>
      <c r="C337" s="7" t="str">
        <f>IF(B337="","",IFERROR(INDEX(Reactivos!$D$2:$D$435,MATCH(B337,Reactivos!$A$2:$A$435,0)),"ID no existe"))</f>
        <v/>
      </c>
      <c r="D337" s="8"/>
      <c r="E337" s="7" t="str">
        <f>IF(B337="","",IFERROR(INDEX(Reactivos!$H$2:$H$435,MATCH(B337,Reactivos!$A$2:$A$435,0)),""))</f>
        <v/>
      </c>
      <c r="F337" s="8"/>
      <c r="G337" s="8"/>
      <c r="H337" s="13"/>
    </row>
    <row r="338" spans="1:8" x14ac:dyDescent="0.3">
      <c r="A338" s="11"/>
      <c r="B338" s="8"/>
      <c r="C338" s="7" t="str">
        <f>IF(B338="","",IFERROR(INDEX(Reactivos!$D$2:$D$435,MATCH(B338,Reactivos!$A$2:$A$435,0)),"ID no existe"))</f>
        <v/>
      </c>
      <c r="D338" s="8"/>
      <c r="E338" s="7" t="str">
        <f>IF(B338="","",IFERROR(INDEX(Reactivos!$H$2:$H$435,MATCH(B338,Reactivos!$A$2:$A$435,0)),""))</f>
        <v/>
      </c>
      <c r="F338" s="8"/>
      <c r="G338" s="8"/>
      <c r="H338" s="13"/>
    </row>
    <row r="339" spans="1:8" x14ac:dyDescent="0.3">
      <c r="A339" s="11"/>
      <c r="B339" s="8"/>
      <c r="C339" s="7" t="str">
        <f>IF(B339="","",IFERROR(INDEX(Reactivos!$D$2:$D$435,MATCH(B339,Reactivos!$A$2:$A$435,0)),"ID no existe"))</f>
        <v/>
      </c>
      <c r="D339" s="8"/>
      <c r="E339" s="7" t="str">
        <f>IF(B339="","",IFERROR(INDEX(Reactivos!$H$2:$H$435,MATCH(B339,Reactivos!$A$2:$A$435,0)),""))</f>
        <v/>
      </c>
      <c r="F339" s="8"/>
      <c r="G339" s="8"/>
      <c r="H339" s="13"/>
    </row>
    <row r="340" spans="1:8" x14ac:dyDescent="0.3">
      <c r="A340" s="11"/>
      <c r="B340" s="8"/>
      <c r="C340" s="7" t="str">
        <f>IF(B340="","",IFERROR(INDEX(Reactivos!$D$2:$D$435,MATCH(B340,Reactivos!$A$2:$A$435,0)),"ID no existe"))</f>
        <v/>
      </c>
      <c r="D340" s="8"/>
      <c r="E340" s="7" t="str">
        <f>IF(B340="","",IFERROR(INDEX(Reactivos!$H$2:$H$435,MATCH(B340,Reactivos!$A$2:$A$435,0)),""))</f>
        <v/>
      </c>
      <c r="F340" s="8"/>
      <c r="G340" s="8"/>
      <c r="H340" s="13"/>
    </row>
    <row r="341" spans="1:8" x14ac:dyDescent="0.3">
      <c r="A341" s="11"/>
      <c r="B341" s="8"/>
      <c r="C341" s="7" t="str">
        <f>IF(B341="","",IFERROR(INDEX(Reactivos!$D$2:$D$435,MATCH(B341,Reactivos!$A$2:$A$435,0)),"ID no existe"))</f>
        <v/>
      </c>
      <c r="D341" s="8"/>
      <c r="E341" s="7" t="str">
        <f>IF(B341="","",IFERROR(INDEX(Reactivos!$H$2:$H$435,MATCH(B341,Reactivos!$A$2:$A$435,0)),""))</f>
        <v/>
      </c>
      <c r="F341" s="8"/>
      <c r="G341" s="8"/>
      <c r="H341" s="13"/>
    </row>
    <row r="342" spans="1:8" x14ac:dyDescent="0.3">
      <c r="A342" s="11"/>
      <c r="B342" s="8"/>
      <c r="C342" s="7" t="str">
        <f>IF(B342="","",IFERROR(INDEX(Reactivos!$D$2:$D$435,MATCH(B342,Reactivos!$A$2:$A$435,0)),"ID no existe"))</f>
        <v/>
      </c>
      <c r="D342" s="8"/>
      <c r="E342" s="7" t="str">
        <f>IF(B342="","",IFERROR(INDEX(Reactivos!$H$2:$H$435,MATCH(B342,Reactivos!$A$2:$A$435,0)),""))</f>
        <v/>
      </c>
      <c r="F342" s="8"/>
      <c r="G342" s="8"/>
      <c r="H342" s="13"/>
    </row>
    <row r="343" spans="1:8" x14ac:dyDescent="0.3">
      <c r="A343" s="11"/>
      <c r="B343" s="8"/>
      <c r="C343" s="7" t="str">
        <f>IF(B343="","",IFERROR(INDEX(Reactivos!$D$2:$D$435,MATCH(B343,Reactivos!$A$2:$A$435,0)),"ID no existe"))</f>
        <v/>
      </c>
      <c r="D343" s="8"/>
      <c r="E343" s="7" t="str">
        <f>IF(B343="","",IFERROR(INDEX(Reactivos!$H$2:$H$435,MATCH(B343,Reactivos!$A$2:$A$435,0)),""))</f>
        <v/>
      </c>
      <c r="F343" s="8"/>
      <c r="G343" s="8"/>
      <c r="H343" s="13"/>
    </row>
    <row r="344" spans="1:8" x14ac:dyDescent="0.3">
      <c r="A344" s="11"/>
      <c r="B344" s="8"/>
      <c r="C344" s="7" t="str">
        <f>IF(B344="","",IFERROR(INDEX(Reactivos!$D$2:$D$435,MATCH(B344,Reactivos!$A$2:$A$435,0)),"ID no existe"))</f>
        <v/>
      </c>
      <c r="D344" s="8"/>
      <c r="E344" s="7" t="str">
        <f>IF(B344="","",IFERROR(INDEX(Reactivos!$H$2:$H$435,MATCH(B344,Reactivos!$A$2:$A$435,0)),""))</f>
        <v/>
      </c>
      <c r="F344" s="8"/>
      <c r="G344" s="8"/>
      <c r="H344" s="13"/>
    </row>
    <row r="345" spans="1:8" x14ac:dyDescent="0.3">
      <c r="A345" s="11"/>
      <c r="B345" s="8"/>
      <c r="C345" s="7" t="str">
        <f>IF(B345="","",IFERROR(INDEX(Reactivos!$D$2:$D$435,MATCH(B345,Reactivos!$A$2:$A$435,0)),"ID no existe"))</f>
        <v/>
      </c>
      <c r="D345" s="8"/>
      <c r="E345" s="7" t="str">
        <f>IF(B345="","",IFERROR(INDEX(Reactivos!$H$2:$H$435,MATCH(B345,Reactivos!$A$2:$A$435,0)),""))</f>
        <v/>
      </c>
      <c r="F345" s="8"/>
      <c r="G345" s="8"/>
      <c r="H345" s="13"/>
    </row>
    <row r="346" spans="1:8" x14ac:dyDescent="0.3">
      <c r="A346" s="11"/>
      <c r="B346" s="8"/>
      <c r="C346" s="7" t="str">
        <f>IF(B346="","",IFERROR(INDEX(Reactivos!$D$2:$D$435,MATCH(B346,Reactivos!$A$2:$A$435,0)),"ID no existe"))</f>
        <v/>
      </c>
      <c r="D346" s="8"/>
      <c r="E346" s="7" t="str">
        <f>IF(B346="","",IFERROR(INDEX(Reactivos!$H$2:$H$435,MATCH(B346,Reactivos!$A$2:$A$435,0)),""))</f>
        <v/>
      </c>
      <c r="F346" s="8"/>
      <c r="G346" s="8"/>
      <c r="H346" s="13"/>
    </row>
    <row r="347" spans="1:8" x14ac:dyDescent="0.3">
      <c r="A347" s="11"/>
      <c r="B347" s="8"/>
      <c r="C347" s="7" t="str">
        <f>IF(B347="","",IFERROR(INDEX(Reactivos!$D$2:$D$435,MATCH(B347,Reactivos!$A$2:$A$435,0)),"ID no existe"))</f>
        <v/>
      </c>
      <c r="D347" s="8"/>
      <c r="E347" s="7" t="str">
        <f>IF(B347="","",IFERROR(INDEX(Reactivos!$H$2:$H$435,MATCH(B347,Reactivos!$A$2:$A$435,0)),""))</f>
        <v/>
      </c>
      <c r="F347" s="8"/>
      <c r="G347" s="8"/>
      <c r="H347" s="13"/>
    </row>
    <row r="348" spans="1:8" x14ac:dyDescent="0.3">
      <c r="A348" s="11"/>
      <c r="B348" s="8"/>
      <c r="C348" s="7" t="str">
        <f>IF(B348="","",IFERROR(INDEX(Reactivos!$D$2:$D$435,MATCH(B348,Reactivos!$A$2:$A$435,0)),"ID no existe"))</f>
        <v/>
      </c>
      <c r="D348" s="8"/>
      <c r="E348" s="7" t="str">
        <f>IF(B348="","",IFERROR(INDEX(Reactivos!$H$2:$H$435,MATCH(B348,Reactivos!$A$2:$A$435,0)),""))</f>
        <v/>
      </c>
      <c r="F348" s="8"/>
      <c r="G348" s="8"/>
      <c r="H348" s="13"/>
    </row>
    <row r="349" spans="1:8" x14ac:dyDescent="0.3">
      <c r="A349" s="11"/>
      <c r="B349" s="8"/>
      <c r="C349" s="7" t="str">
        <f>IF(B349="","",IFERROR(INDEX(Reactivos!$D$2:$D$435,MATCH(B349,Reactivos!$A$2:$A$435,0)),"ID no existe"))</f>
        <v/>
      </c>
      <c r="D349" s="8"/>
      <c r="E349" s="7" t="str">
        <f>IF(B349="","",IFERROR(INDEX(Reactivos!$H$2:$H$435,MATCH(B349,Reactivos!$A$2:$A$435,0)),""))</f>
        <v/>
      </c>
      <c r="F349" s="8"/>
      <c r="G349" s="8"/>
      <c r="H349" s="13"/>
    </row>
    <row r="350" spans="1:8" x14ac:dyDescent="0.3">
      <c r="A350" s="11"/>
      <c r="B350" s="8"/>
      <c r="C350" s="7" t="str">
        <f>IF(B350="","",IFERROR(INDEX(Reactivos!$D$2:$D$435,MATCH(B350,Reactivos!$A$2:$A$435,0)),"ID no existe"))</f>
        <v/>
      </c>
      <c r="D350" s="8"/>
      <c r="E350" s="7" t="str">
        <f>IF(B350="","",IFERROR(INDEX(Reactivos!$H$2:$H$435,MATCH(B350,Reactivos!$A$2:$A$435,0)),""))</f>
        <v/>
      </c>
      <c r="F350" s="8"/>
      <c r="G350" s="8"/>
      <c r="H350" s="13"/>
    </row>
    <row r="351" spans="1:8" x14ac:dyDescent="0.3">
      <c r="A351" s="11"/>
      <c r="B351" s="8"/>
      <c r="C351" s="7" t="str">
        <f>IF(B351="","",IFERROR(INDEX(Reactivos!$D$2:$D$435,MATCH(B351,Reactivos!$A$2:$A$435,0)),"ID no existe"))</f>
        <v/>
      </c>
      <c r="D351" s="8"/>
      <c r="E351" s="7" t="str">
        <f>IF(B351="","",IFERROR(INDEX(Reactivos!$H$2:$H$435,MATCH(B351,Reactivos!$A$2:$A$435,0)),""))</f>
        <v/>
      </c>
      <c r="F351" s="8"/>
      <c r="G351" s="8"/>
      <c r="H351" s="13"/>
    </row>
    <row r="352" spans="1:8" x14ac:dyDescent="0.3">
      <c r="A352" s="11"/>
      <c r="B352" s="8"/>
      <c r="C352" s="7" t="str">
        <f>IF(B352="","",IFERROR(INDEX(Reactivos!$D$2:$D$435,MATCH(B352,Reactivos!$A$2:$A$435,0)),"ID no existe"))</f>
        <v/>
      </c>
      <c r="D352" s="8"/>
      <c r="E352" s="7" t="str">
        <f>IF(B352="","",IFERROR(INDEX(Reactivos!$H$2:$H$435,MATCH(B352,Reactivos!$A$2:$A$435,0)),""))</f>
        <v/>
      </c>
      <c r="F352" s="8"/>
      <c r="G352" s="8"/>
      <c r="H352" s="13"/>
    </row>
    <row r="353" spans="1:8" x14ac:dyDescent="0.3">
      <c r="A353" s="11"/>
      <c r="B353" s="8"/>
      <c r="C353" s="7" t="str">
        <f>IF(B353="","",IFERROR(INDEX(Reactivos!$D$2:$D$435,MATCH(B353,Reactivos!$A$2:$A$435,0)),"ID no existe"))</f>
        <v/>
      </c>
      <c r="D353" s="8"/>
      <c r="E353" s="7" t="str">
        <f>IF(B353="","",IFERROR(INDEX(Reactivos!$H$2:$H$435,MATCH(B353,Reactivos!$A$2:$A$435,0)),""))</f>
        <v/>
      </c>
      <c r="F353" s="8"/>
      <c r="G353" s="8"/>
      <c r="H353" s="13"/>
    </row>
    <row r="354" spans="1:8" x14ac:dyDescent="0.3">
      <c r="A354" s="11"/>
      <c r="B354" s="8"/>
      <c r="C354" s="7" t="str">
        <f>IF(B354="","",IFERROR(INDEX(Reactivos!$D$2:$D$435,MATCH(B354,Reactivos!$A$2:$A$435,0)),"ID no existe"))</f>
        <v/>
      </c>
      <c r="D354" s="8"/>
      <c r="E354" s="7" t="str">
        <f>IF(B354="","",IFERROR(INDEX(Reactivos!$H$2:$H$435,MATCH(B354,Reactivos!$A$2:$A$435,0)),""))</f>
        <v/>
      </c>
      <c r="F354" s="8"/>
      <c r="G354" s="8"/>
      <c r="H354" s="13"/>
    </row>
    <row r="355" spans="1:8" x14ac:dyDescent="0.3">
      <c r="A355" s="11"/>
      <c r="B355" s="8"/>
      <c r="C355" s="7" t="str">
        <f>IF(B355="","",IFERROR(INDEX(Reactivos!$D$2:$D$435,MATCH(B355,Reactivos!$A$2:$A$435,0)),"ID no existe"))</f>
        <v/>
      </c>
      <c r="D355" s="8"/>
      <c r="E355" s="7" t="str">
        <f>IF(B355="","",IFERROR(INDEX(Reactivos!$H$2:$H$435,MATCH(B355,Reactivos!$A$2:$A$435,0)),""))</f>
        <v/>
      </c>
      <c r="F355" s="8"/>
      <c r="G355" s="8"/>
      <c r="H355" s="13"/>
    </row>
    <row r="356" spans="1:8" x14ac:dyDescent="0.3">
      <c r="A356" s="11"/>
      <c r="B356" s="8"/>
      <c r="C356" s="7" t="str">
        <f>IF(B356="","",IFERROR(INDEX(Reactivos!$D$2:$D$435,MATCH(B356,Reactivos!$A$2:$A$435,0)),"ID no existe"))</f>
        <v/>
      </c>
      <c r="D356" s="8"/>
      <c r="E356" s="7" t="str">
        <f>IF(B356="","",IFERROR(INDEX(Reactivos!$H$2:$H$435,MATCH(B356,Reactivos!$A$2:$A$435,0)),""))</f>
        <v/>
      </c>
      <c r="F356" s="8"/>
      <c r="G356" s="8"/>
      <c r="H356" s="13"/>
    </row>
    <row r="357" spans="1:8" x14ac:dyDescent="0.3">
      <c r="A357" s="11"/>
      <c r="B357" s="8"/>
      <c r="C357" s="7" t="str">
        <f>IF(B357="","",IFERROR(INDEX(Reactivos!$D$2:$D$435,MATCH(B357,Reactivos!$A$2:$A$435,0)),"ID no existe"))</f>
        <v/>
      </c>
      <c r="D357" s="8"/>
      <c r="E357" s="7" t="str">
        <f>IF(B357="","",IFERROR(INDEX(Reactivos!$H$2:$H$435,MATCH(B357,Reactivos!$A$2:$A$435,0)),""))</f>
        <v/>
      </c>
      <c r="F357" s="8"/>
      <c r="G357" s="8"/>
      <c r="H357" s="13"/>
    </row>
    <row r="358" spans="1:8" x14ac:dyDescent="0.3">
      <c r="A358" s="11"/>
      <c r="B358" s="8"/>
      <c r="C358" s="7" t="str">
        <f>IF(B358="","",IFERROR(INDEX(Reactivos!$D$2:$D$435,MATCH(B358,Reactivos!$A$2:$A$435,0)),"ID no existe"))</f>
        <v/>
      </c>
      <c r="D358" s="8"/>
      <c r="E358" s="7" t="str">
        <f>IF(B358="","",IFERROR(INDEX(Reactivos!$H$2:$H$435,MATCH(B358,Reactivos!$A$2:$A$435,0)),""))</f>
        <v/>
      </c>
      <c r="F358" s="8"/>
      <c r="G358" s="8"/>
      <c r="H358" s="13"/>
    </row>
    <row r="359" spans="1:8" x14ac:dyDescent="0.3">
      <c r="A359" s="11"/>
      <c r="B359" s="8"/>
      <c r="C359" s="7" t="str">
        <f>IF(B359="","",IFERROR(INDEX(Reactivos!$D$2:$D$435,MATCH(B359,Reactivos!$A$2:$A$435,0)),"ID no existe"))</f>
        <v/>
      </c>
      <c r="D359" s="8"/>
      <c r="E359" s="7" t="str">
        <f>IF(B359="","",IFERROR(INDEX(Reactivos!$H$2:$H$435,MATCH(B359,Reactivos!$A$2:$A$435,0)),""))</f>
        <v/>
      </c>
      <c r="F359" s="8"/>
      <c r="G359" s="8"/>
      <c r="H359" s="13"/>
    </row>
    <row r="360" spans="1:8" x14ac:dyDescent="0.3">
      <c r="A360" s="11"/>
      <c r="B360" s="8"/>
      <c r="C360" s="7" t="str">
        <f>IF(B360="","",IFERROR(INDEX(Reactivos!$D$2:$D$435,MATCH(B360,Reactivos!$A$2:$A$435,0)),"ID no existe"))</f>
        <v/>
      </c>
      <c r="D360" s="8"/>
      <c r="E360" s="7" t="str">
        <f>IF(B360="","",IFERROR(INDEX(Reactivos!$H$2:$H$435,MATCH(B360,Reactivos!$A$2:$A$435,0)),""))</f>
        <v/>
      </c>
      <c r="F360" s="8"/>
      <c r="G360" s="8"/>
      <c r="H360" s="13"/>
    </row>
    <row r="361" spans="1:8" x14ac:dyDescent="0.3">
      <c r="A361" s="11"/>
      <c r="B361" s="8"/>
      <c r="C361" s="7" t="str">
        <f>IF(B361="","",IFERROR(INDEX(Reactivos!$D$2:$D$435,MATCH(B361,Reactivos!$A$2:$A$435,0)),"ID no existe"))</f>
        <v/>
      </c>
      <c r="D361" s="8"/>
      <c r="E361" s="7" t="str">
        <f>IF(B361="","",IFERROR(INDEX(Reactivos!$H$2:$H$435,MATCH(B361,Reactivos!$A$2:$A$435,0)),""))</f>
        <v/>
      </c>
      <c r="F361" s="8"/>
      <c r="G361" s="8"/>
      <c r="H361" s="13"/>
    </row>
    <row r="362" spans="1:8" x14ac:dyDescent="0.3">
      <c r="A362" s="11"/>
      <c r="B362" s="8"/>
      <c r="C362" s="7" t="str">
        <f>IF(B362="","",IFERROR(INDEX(Reactivos!$D$2:$D$435,MATCH(B362,Reactivos!$A$2:$A$435,0)),"ID no existe"))</f>
        <v/>
      </c>
      <c r="D362" s="8"/>
      <c r="E362" s="7" t="str">
        <f>IF(B362="","",IFERROR(INDEX(Reactivos!$H$2:$H$435,MATCH(B362,Reactivos!$A$2:$A$435,0)),""))</f>
        <v/>
      </c>
      <c r="F362" s="8"/>
      <c r="G362" s="8"/>
      <c r="H362" s="13"/>
    </row>
    <row r="363" spans="1:8" x14ac:dyDescent="0.3">
      <c r="A363" s="11"/>
      <c r="B363" s="8"/>
      <c r="C363" s="7" t="str">
        <f>IF(B363="","",IFERROR(INDEX(Reactivos!$D$2:$D$435,MATCH(B363,Reactivos!$A$2:$A$435,0)),"ID no existe"))</f>
        <v/>
      </c>
      <c r="D363" s="8"/>
      <c r="E363" s="7" t="str">
        <f>IF(B363="","",IFERROR(INDEX(Reactivos!$H$2:$H$435,MATCH(B363,Reactivos!$A$2:$A$435,0)),""))</f>
        <v/>
      </c>
      <c r="F363" s="8"/>
      <c r="G363" s="8"/>
      <c r="H363" s="13"/>
    </row>
    <row r="364" spans="1:8" x14ac:dyDescent="0.3">
      <c r="A364" s="11"/>
      <c r="B364" s="8"/>
      <c r="C364" s="7" t="str">
        <f>IF(B364="","",IFERROR(INDEX(Reactivos!$D$2:$D$435,MATCH(B364,Reactivos!$A$2:$A$435,0)),"ID no existe"))</f>
        <v/>
      </c>
      <c r="D364" s="8"/>
      <c r="E364" s="7" t="str">
        <f>IF(B364="","",IFERROR(INDEX(Reactivos!$H$2:$H$435,MATCH(B364,Reactivos!$A$2:$A$435,0)),""))</f>
        <v/>
      </c>
      <c r="F364" s="8"/>
      <c r="G364" s="8"/>
      <c r="H364" s="13"/>
    </row>
    <row r="365" spans="1:8" x14ac:dyDescent="0.3">
      <c r="A365" s="11"/>
      <c r="B365" s="8"/>
      <c r="C365" s="7" t="str">
        <f>IF(B365="","",IFERROR(INDEX(Reactivos!$D$2:$D$435,MATCH(B365,Reactivos!$A$2:$A$435,0)),"ID no existe"))</f>
        <v/>
      </c>
      <c r="D365" s="8"/>
      <c r="E365" s="7" t="str">
        <f>IF(B365="","",IFERROR(INDEX(Reactivos!$H$2:$H$435,MATCH(B365,Reactivos!$A$2:$A$435,0)),""))</f>
        <v/>
      </c>
      <c r="F365" s="8"/>
      <c r="G365" s="8"/>
      <c r="H365" s="13"/>
    </row>
    <row r="366" spans="1:8" x14ac:dyDescent="0.3">
      <c r="A366" s="11"/>
      <c r="B366" s="8"/>
      <c r="C366" s="7" t="str">
        <f>IF(B366="","",IFERROR(INDEX(Reactivos!$D$2:$D$435,MATCH(B366,Reactivos!$A$2:$A$435,0)),"ID no existe"))</f>
        <v/>
      </c>
      <c r="D366" s="8"/>
      <c r="E366" s="7" t="str">
        <f>IF(B366="","",IFERROR(INDEX(Reactivos!$H$2:$H$435,MATCH(B366,Reactivos!$A$2:$A$435,0)),""))</f>
        <v/>
      </c>
      <c r="F366" s="8"/>
      <c r="G366" s="8"/>
      <c r="H366" s="13"/>
    </row>
    <row r="367" spans="1:8" x14ac:dyDescent="0.3">
      <c r="A367" s="11"/>
      <c r="B367" s="8"/>
      <c r="C367" s="7" t="str">
        <f>IF(B367="","",IFERROR(INDEX(Reactivos!$D$2:$D$435,MATCH(B367,Reactivos!$A$2:$A$435,0)),"ID no existe"))</f>
        <v/>
      </c>
      <c r="D367" s="8"/>
      <c r="E367" s="7" t="str">
        <f>IF(B367="","",IFERROR(INDEX(Reactivos!$H$2:$H$435,MATCH(B367,Reactivos!$A$2:$A$435,0)),""))</f>
        <v/>
      </c>
      <c r="F367" s="8"/>
      <c r="G367" s="8"/>
      <c r="H367" s="13"/>
    </row>
    <row r="368" spans="1:8" x14ac:dyDescent="0.3">
      <c r="A368" s="11"/>
      <c r="B368" s="8"/>
      <c r="C368" s="7" t="str">
        <f>IF(B368="","",IFERROR(INDEX(Reactivos!$D$2:$D$435,MATCH(B368,Reactivos!$A$2:$A$435,0)),"ID no existe"))</f>
        <v/>
      </c>
      <c r="D368" s="8"/>
      <c r="E368" s="7" t="str">
        <f>IF(B368="","",IFERROR(INDEX(Reactivos!$H$2:$H$435,MATCH(B368,Reactivos!$A$2:$A$435,0)),""))</f>
        <v/>
      </c>
      <c r="F368" s="8"/>
      <c r="G368" s="8"/>
      <c r="H368" s="13"/>
    </row>
    <row r="369" spans="1:8" x14ac:dyDescent="0.3">
      <c r="A369" s="11"/>
      <c r="B369" s="8"/>
      <c r="C369" s="7" t="str">
        <f>IF(B369="","",IFERROR(INDEX(Reactivos!$D$2:$D$435,MATCH(B369,Reactivos!$A$2:$A$435,0)),"ID no existe"))</f>
        <v/>
      </c>
      <c r="D369" s="8"/>
      <c r="E369" s="7" t="str">
        <f>IF(B369="","",IFERROR(INDEX(Reactivos!$H$2:$H$435,MATCH(B369,Reactivos!$A$2:$A$435,0)),""))</f>
        <v/>
      </c>
      <c r="F369" s="8"/>
      <c r="G369" s="8"/>
      <c r="H369" s="13"/>
    </row>
    <row r="370" spans="1:8" x14ac:dyDescent="0.3">
      <c r="A370" s="11"/>
      <c r="B370" s="8"/>
      <c r="C370" s="7" t="str">
        <f>IF(B370="","",IFERROR(INDEX(Reactivos!$D$2:$D$435,MATCH(B370,Reactivos!$A$2:$A$435,0)),"ID no existe"))</f>
        <v/>
      </c>
      <c r="D370" s="8"/>
      <c r="E370" s="7" t="str">
        <f>IF(B370="","",IFERROR(INDEX(Reactivos!$H$2:$H$435,MATCH(B370,Reactivos!$A$2:$A$435,0)),""))</f>
        <v/>
      </c>
      <c r="F370" s="8"/>
      <c r="G370" s="8"/>
      <c r="H370" s="13"/>
    </row>
    <row r="371" spans="1:8" x14ac:dyDescent="0.3">
      <c r="A371" s="11"/>
      <c r="B371" s="8"/>
      <c r="C371" s="7" t="str">
        <f>IF(B371="","",IFERROR(INDEX(Reactivos!$D$2:$D$435,MATCH(B371,Reactivos!$A$2:$A$435,0)),"ID no existe"))</f>
        <v/>
      </c>
      <c r="D371" s="8"/>
      <c r="E371" s="7" t="str">
        <f>IF(B371="","",IFERROR(INDEX(Reactivos!$H$2:$H$435,MATCH(B371,Reactivos!$A$2:$A$435,0)),""))</f>
        <v/>
      </c>
      <c r="F371" s="8"/>
      <c r="G371" s="8"/>
      <c r="H371" s="13"/>
    </row>
    <row r="372" spans="1:8" x14ac:dyDescent="0.3">
      <c r="A372" s="11"/>
      <c r="B372" s="8"/>
      <c r="C372" s="7" t="str">
        <f>IF(B372="","",IFERROR(INDEX(Reactivos!$D$2:$D$435,MATCH(B372,Reactivos!$A$2:$A$435,0)),"ID no existe"))</f>
        <v/>
      </c>
      <c r="D372" s="8"/>
      <c r="E372" s="7" t="str">
        <f>IF(B372="","",IFERROR(INDEX(Reactivos!$H$2:$H$435,MATCH(B372,Reactivos!$A$2:$A$435,0)),""))</f>
        <v/>
      </c>
      <c r="F372" s="8"/>
      <c r="G372" s="8"/>
      <c r="H372" s="13"/>
    </row>
    <row r="373" spans="1:8" x14ac:dyDescent="0.3">
      <c r="A373" s="11"/>
      <c r="B373" s="8"/>
      <c r="C373" s="7" t="str">
        <f>IF(B373="","",IFERROR(INDEX(Reactivos!$D$2:$D$435,MATCH(B373,Reactivos!$A$2:$A$435,0)),"ID no existe"))</f>
        <v/>
      </c>
      <c r="D373" s="8"/>
      <c r="E373" s="7" t="str">
        <f>IF(B373="","",IFERROR(INDEX(Reactivos!$H$2:$H$435,MATCH(B373,Reactivos!$A$2:$A$435,0)),""))</f>
        <v/>
      </c>
      <c r="F373" s="8"/>
      <c r="G373" s="8"/>
      <c r="H373" s="13"/>
    </row>
    <row r="374" spans="1:8" x14ac:dyDescent="0.3">
      <c r="A374" s="11"/>
      <c r="B374" s="8"/>
      <c r="C374" s="7" t="str">
        <f>IF(B374="","",IFERROR(INDEX(Reactivos!$D$2:$D$435,MATCH(B374,Reactivos!$A$2:$A$435,0)),"ID no existe"))</f>
        <v/>
      </c>
      <c r="D374" s="8"/>
      <c r="E374" s="7" t="str">
        <f>IF(B374="","",IFERROR(INDEX(Reactivos!$H$2:$H$435,MATCH(B374,Reactivos!$A$2:$A$435,0)),""))</f>
        <v/>
      </c>
      <c r="F374" s="8"/>
      <c r="G374" s="8"/>
      <c r="H374" s="13"/>
    </row>
    <row r="375" spans="1:8" x14ac:dyDescent="0.3">
      <c r="A375" s="11"/>
      <c r="B375" s="8"/>
      <c r="C375" s="7" t="str">
        <f>IF(B375="","",IFERROR(INDEX(Reactivos!$D$2:$D$435,MATCH(B375,Reactivos!$A$2:$A$435,0)),"ID no existe"))</f>
        <v/>
      </c>
      <c r="D375" s="8"/>
      <c r="E375" s="7" t="str">
        <f>IF(B375="","",IFERROR(INDEX(Reactivos!$H$2:$H$435,MATCH(B375,Reactivos!$A$2:$A$435,0)),""))</f>
        <v/>
      </c>
      <c r="F375" s="8"/>
      <c r="G375" s="8"/>
      <c r="H375" s="13"/>
    </row>
    <row r="376" spans="1:8" x14ac:dyDescent="0.3">
      <c r="A376" s="11"/>
      <c r="B376" s="8"/>
      <c r="C376" s="7" t="str">
        <f>IF(B376="","",IFERROR(INDEX(Reactivos!$D$2:$D$435,MATCH(B376,Reactivos!$A$2:$A$435,0)),"ID no existe"))</f>
        <v/>
      </c>
      <c r="D376" s="8"/>
      <c r="E376" s="7" t="str">
        <f>IF(B376="","",IFERROR(INDEX(Reactivos!$H$2:$H$435,MATCH(B376,Reactivos!$A$2:$A$435,0)),""))</f>
        <v/>
      </c>
      <c r="F376" s="8"/>
      <c r="G376" s="8"/>
      <c r="H376" s="13"/>
    </row>
    <row r="377" spans="1:8" x14ac:dyDescent="0.3">
      <c r="A377" s="11"/>
      <c r="B377" s="8"/>
      <c r="C377" s="7" t="str">
        <f>IF(B377="","",IFERROR(INDEX(Reactivos!$D$2:$D$435,MATCH(B377,Reactivos!$A$2:$A$435,0)),"ID no existe"))</f>
        <v/>
      </c>
      <c r="D377" s="8"/>
      <c r="E377" s="7" t="str">
        <f>IF(B377="","",IFERROR(INDEX(Reactivos!$H$2:$H$435,MATCH(B377,Reactivos!$A$2:$A$435,0)),""))</f>
        <v/>
      </c>
      <c r="F377" s="8"/>
      <c r="G377" s="8"/>
      <c r="H377" s="13"/>
    </row>
    <row r="378" spans="1:8" x14ac:dyDescent="0.3">
      <c r="A378" s="11"/>
      <c r="B378" s="8"/>
      <c r="C378" s="7" t="str">
        <f>IF(B378="","",IFERROR(INDEX(Reactivos!$D$2:$D$435,MATCH(B378,Reactivos!$A$2:$A$435,0)),"ID no existe"))</f>
        <v/>
      </c>
      <c r="D378" s="8"/>
      <c r="E378" s="7" t="str">
        <f>IF(B378="","",IFERROR(INDEX(Reactivos!$H$2:$H$435,MATCH(B378,Reactivos!$A$2:$A$435,0)),""))</f>
        <v/>
      </c>
      <c r="F378" s="8"/>
      <c r="G378" s="8"/>
      <c r="H378" s="13"/>
    </row>
    <row r="379" spans="1:8" x14ac:dyDescent="0.3">
      <c r="A379" s="11"/>
      <c r="B379" s="8"/>
      <c r="C379" s="7" t="str">
        <f>IF(B379="","",IFERROR(INDEX(Reactivos!$D$2:$D$435,MATCH(B379,Reactivos!$A$2:$A$435,0)),"ID no existe"))</f>
        <v/>
      </c>
      <c r="D379" s="8"/>
      <c r="E379" s="7" t="str">
        <f>IF(B379="","",IFERROR(INDEX(Reactivos!$H$2:$H$435,MATCH(B379,Reactivos!$A$2:$A$435,0)),""))</f>
        <v/>
      </c>
      <c r="F379" s="8"/>
      <c r="G379" s="8"/>
      <c r="H379" s="13"/>
    </row>
    <row r="380" spans="1:8" x14ac:dyDescent="0.3">
      <c r="A380" s="11"/>
      <c r="B380" s="8"/>
      <c r="C380" s="7" t="str">
        <f>IF(B380="","",IFERROR(INDEX(Reactivos!$D$2:$D$435,MATCH(B380,Reactivos!$A$2:$A$435,0)),"ID no existe"))</f>
        <v/>
      </c>
      <c r="D380" s="8"/>
      <c r="E380" s="7" t="str">
        <f>IF(B380="","",IFERROR(INDEX(Reactivos!$H$2:$H$435,MATCH(B380,Reactivos!$A$2:$A$435,0)),""))</f>
        <v/>
      </c>
      <c r="F380" s="8"/>
      <c r="G380" s="8"/>
      <c r="H380" s="13"/>
    </row>
    <row r="381" spans="1:8" x14ac:dyDescent="0.3">
      <c r="A381" s="11"/>
      <c r="B381" s="8"/>
      <c r="C381" s="7" t="str">
        <f>IF(B381="","",IFERROR(INDEX(Reactivos!$D$2:$D$435,MATCH(B381,Reactivos!$A$2:$A$435,0)),"ID no existe"))</f>
        <v/>
      </c>
      <c r="D381" s="8"/>
      <c r="E381" s="7" t="str">
        <f>IF(B381="","",IFERROR(INDEX(Reactivos!$H$2:$H$435,MATCH(B381,Reactivos!$A$2:$A$435,0)),""))</f>
        <v/>
      </c>
      <c r="F381" s="8"/>
      <c r="G381" s="8"/>
      <c r="H381" s="13"/>
    </row>
    <row r="382" spans="1:8" x14ac:dyDescent="0.3">
      <c r="A382" s="11"/>
      <c r="B382" s="8"/>
      <c r="C382" s="7" t="str">
        <f>IF(B382="","",IFERROR(INDEX(Reactivos!$D$2:$D$435,MATCH(B382,Reactivos!$A$2:$A$435,0)),"ID no existe"))</f>
        <v/>
      </c>
      <c r="D382" s="8"/>
      <c r="E382" s="7" t="str">
        <f>IF(B382="","",IFERROR(INDEX(Reactivos!$H$2:$H$435,MATCH(B382,Reactivos!$A$2:$A$435,0)),""))</f>
        <v/>
      </c>
      <c r="F382" s="8"/>
      <c r="G382" s="8"/>
      <c r="H382" s="13"/>
    </row>
    <row r="383" spans="1:8" x14ac:dyDescent="0.3">
      <c r="A383" s="11"/>
      <c r="B383" s="8"/>
      <c r="C383" s="7" t="str">
        <f>IF(B383="","",IFERROR(INDEX(Reactivos!$D$2:$D$435,MATCH(B383,Reactivos!$A$2:$A$435,0)),"ID no existe"))</f>
        <v/>
      </c>
      <c r="D383" s="8"/>
      <c r="E383" s="7" t="str">
        <f>IF(B383="","",IFERROR(INDEX(Reactivos!$H$2:$H$435,MATCH(B383,Reactivos!$A$2:$A$435,0)),""))</f>
        <v/>
      </c>
      <c r="F383" s="8"/>
      <c r="G383" s="8"/>
      <c r="H383" s="13"/>
    </row>
    <row r="384" spans="1:8" x14ac:dyDescent="0.3">
      <c r="A384" s="11"/>
      <c r="B384" s="8"/>
      <c r="C384" s="7" t="str">
        <f>IF(B384="","",IFERROR(INDEX(Reactivos!$D$2:$D$435,MATCH(B384,Reactivos!$A$2:$A$435,0)),"ID no existe"))</f>
        <v/>
      </c>
      <c r="D384" s="8"/>
      <c r="E384" s="7" t="str">
        <f>IF(B384="","",IFERROR(INDEX(Reactivos!$H$2:$H$435,MATCH(B384,Reactivos!$A$2:$A$435,0)),""))</f>
        <v/>
      </c>
      <c r="F384" s="8"/>
      <c r="G384" s="8"/>
      <c r="H384" s="13"/>
    </row>
    <row r="385" spans="1:8" x14ac:dyDescent="0.3">
      <c r="A385" s="11"/>
      <c r="B385" s="8"/>
      <c r="C385" s="7" t="str">
        <f>IF(B385="","",IFERROR(INDEX(Reactivos!$D$2:$D$435,MATCH(B385,Reactivos!$A$2:$A$435,0)),"ID no existe"))</f>
        <v/>
      </c>
      <c r="D385" s="8"/>
      <c r="E385" s="7" t="str">
        <f>IF(B385="","",IFERROR(INDEX(Reactivos!$H$2:$H$435,MATCH(B385,Reactivos!$A$2:$A$435,0)),""))</f>
        <v/>
      </c>
      <c r="F385" s="8"/>
      <c r="G385" s="8"/>
      <c r="H385" s="13"/>
    </row>
    <row r="386" spans="1:8" x14ac:dyDescent="0.3">
      <c r="A386" s="11"/>
      <c r="B386" s="8"/>
      <c r="C386" s="7" t="str">
        <f>IF(B386="","",IFERROR(INDEX(Reactivos!$D$2:$D$435,MATCH(B386,Reactivos!$A$2:$A$435,0)),"ID no existe"))</f>
        <v/>
      </c>
      <c r="D386" s="8"/>
      <c r="E386" s="7" t="str">
        <f>IF(B386="","",IFERROR(INDEX(Reactivos!$H$2:$H$435,MATCH(B386,Reactivos!$A$2:$A$435,0)),""))</f>
        <v/>
      </c>
      <c r="F386" s="8"/>
      <c r="G386" s="8"/>
      <c r="H386" s="13"/>
    </row>
    <row r="387" spans="1:8" x14ac:dyDescent="0.3">
      <c r="A387" s="11"/>
      <c r="B387" s="8"/>
      <c r="C387" s="7" t="str">
        <f>IF(B387="","",IFERROR(INDEX(Reactivos!$D$2:$D$435,MATCH(B387,Reactivos!$A$2:$A$435,0)),"ID no existe"))</f>
        <v/>
      </c>
      <c r="D387" s="8"/>
      <c r="E387" s="7" t="str">
        <f>IF(B387="","",IFERROR(INDEX(Reactivos!$H$2:$H$435,MATCH(B387,Reactivos!$A$2:$A$435,0)),""))</f>
        <v/>
      </c>
      <c r="F387" s="8"/>
      <c r="G387" s="8"/>
      <c r="H387" s="13"/>
    </row>
    <row r="388" spans="1:8" x14ac:dyDescent="0.3">
      <c r="A388" s="11"/>
      <c r="B388" s="8"/>
      <c r="C388" s="7" t="str">
        <f>IF(B388="","",IFERROR(INDEX(Reactivos!$D$2:$D$435,MATCH(B388,Reactivos!$A$2:$A$435,0)),"ID no existe"))</f>
        <v/>
      </c>
      <c r="D388" s="8"/>
      <c r="E388" s="7" t="str">
        <f>IF(B388="","",IFERROR(INDEX(Reactivos!$H$2:$H$435,MATCH(B388,Reactivos!$A$2:$A$435,0)),""))</f>
        <v/>
      </c>
      <c r="F388" s="8"/>
      <c r="G388" s="8"/>
      <c r="H388" s="13"/>
    </row>
    <row r="389" spans="1:8" x14ac:dyDescent="0.3">
      <c r="A389" s="11"/>
      <c r="B389" s="8"/>
      <c r="C389" s="7" t="str">
        <f>IF(B389="","",IFERROR(INDEX(Reactivos!$D$2:$D$435,MATCH(B389,Reactivos!$A$2:$A$435,0)),"ID no existe"))</f>
        <v/>
      </c>
      <c r="D389" s="8"/>
      <c r="E389" s="7" t="str">
        <f>IF(B389="","",IFERROR(INDEX(Reactivos!$H$2:$H$435,MATCH(B389,Reactivos!$A$2:$A$435,0)),""))</f>
        <v/>
      </c>
      <c r="F389" s="8"/>
      <c r="G389" s="8"/>
      <c r="H389" s="13"/>
    </row>
    <row r="390" spans="1:8" x14ac:dyDescent="0.3">
      <c r="A390" s="11"/>
      <c r="B390" s="8"/>
      <c r="C390" s="7" t="str">
        <f>IF(B390="","",IFERROR(INDEX(Reactivos!$D$2:$D$435,MATCH(B390,Reactivos!$A$2:$A$435,0)),"ID no existe"))</f>
        <v/>
      </c>
      <c r="D390" s="8"/>
      <c r="E390" s="7" t="str">
        <f>IF(B390="","",IFERROR(INDEX(Reactivos!$H$2:$H$435,MATCH(B390,Reactivos!$A$2:$A$435,0)),""))</f>
        <v/>
      </c>
      <c r="F390" s="8"/>
      <c r="G390" s="8"/>
      <c r="H390" s="13"/>
    </row>
    <row r="391" spans="1:8" x14ac:dyDescent="0.3">
      <c r="A391" s="11"/>
      <c r="B391" s="8"/>
      <c r="C391" s="7" t="str">
        <f>IF(B391="","",IFERROR(INDEX(Reactivos!$D$2:$D$435,MATCH(B391,Reactivos!$A$2:$A$435,0)),"ID no existe"))</f>
        <v/>
      </c>
      <c r="D391" s="8"/>
      <c r="E391" s="7" t="str">
        <f>IF(B391="","",IFERROR(INDEX(Reactivos!$H$2:$H$435,MATCH(B391,Reactivos!$A$2:$A$435,0)),""))</f>
        <v/>
      </c>
      <c r="F391" s="8"/>
      <c r="G391" s="8"/>
      <c r="H391" s="13"/>
    </row>
    <row r="392" spans="1:8" x14ac:dyDescent="0.3">
      <c r="A392" s="11"/>
      <c r="B392" s="8"/>
      <c r="C392" s="7" t="str">
        <f>IF(B392="","",IFERROR(INDEX(Reactivos!$D$2:$D$435,MATCH(B392,Reactivos!$A$2:$A$435,0)),"ID no existe"))</f>
        <v/>
      </c>
      <c r="D392" s="8"/>
      <c r="E392" s="7" t="str">
        <f>IF(B392="","",IFERROR(INDEX(Reactivos!$H$2:$H$435,MATCH(B392,Reactivos!$A$2:$A$435,0)),""))</f>
        <v/>
      </c>
      <c r="F392" s="8"/>
      <c r="G392" s="8"/>
      <c r="H392" s="13"/>
    </row>
    <row r="393" spans="1:8" x14ac:dyDescent="0.3">
      <c r="A393" s="11"/>
      <c r="B393" s="8"/>
      <c r="C393" s="7" t="str">
        <f>IF(B393="","",IFERROR(INDEX(Reactivos!$D$2:$D$435,MATCH(B393,Reactivos!$A$2:$A$435,0)),"ID no existe"))</f>
        <v/>
      </c>
      <c r="D393" s="8"/>
      <c r="E393" s="7" t="str">
        <f>IF(B393="","",IFERROR(INDEX(Reactivos!$H$2:$H$435,MATCH(B393,Reactivos!$A$2:$A$435,0)),""))</f>
        <v/>
      </c>
      <c r="F393" s="8"/>
      <c r="G393" s="8"/>
      <c r="H393" s="13"/>
    </row>
    <row r="394" spans="1:8" x14ac:dyDescent="0.3">
      <c r="A394" s="11"/>
      <c r="B394" s="8"/>
      <c r="C394" s="7" t="str">
        <f>IF(B394="","",IFERROR(INDEX(Reactivos!$D$2:$D$435,MATCH(B394,Reactivos!$A$2:$A$435,0)),"ID no existe"))</f>
        <v/>
      </c>
      <c r="D394" s="8"/>
      <c r="E394" s="7" t="str">
        <f>IF(B394="","",IFERROR(INDEX(Reactivos!$H$2:$H$435,MATCH(B394,Reactivos!$A$2:$A$435,0)),""))</f>
        <v/>
      </c>
      <c r="F394" s="8"/>
      <c r="G394" s="8"/>
      <c r="H394" s="13"/>
    </row>
    <row r="395" spans="1:8" x14ac:dyDescent="0.3">
      <c r="A395" s="11"/>
      <c r="B395" s="8"/>
      <c r="C395" s="7" t="str">
        <f>IF(B395="","",IFERROR(INDEX(Reactivos!$D$2:$D$435,MATCH(B395,Reactivos!$A$2:$A$435,0)),"ID no existe"))</f>
        <v/>
      </c>
      <c r="D395" s="8"/>
      <c r="E395" s="7" t="str">
        <f>IF(B395="","",IFERROR(INDEX(Reactivos!$H$2:$H$435,MATCH(B395,Reactivos!$A$2:$A$435,0)),""))</f>
        <v/>
      </c>
      <c r="F395" s="8"/>
      <c r="G395" s="8"/>
      <c r="H395" s="13"/>
    </row>
    <row r="396" spans="1:8" x14ac:dyDescent="0.3">
      <c r="A396" s="11"/>
      <c r="B396" s="8"/>
      <c r="C396" s="7" t="str">
        <f>IF(B396="","",IFERROR(INDEX(Reactivos!$D$2:$D$435,MATCH(B396,Reactivos!$A$2:$A$435,0)),"ID no existe"))</f>
        <v/>
      </c>
      <c r="D396" s="8"/>
      <c r="E396" s="7" t="str">
        <f>IF(B396="","",IFERROR(INDEX(Reactivos!$H$2:$H$435,MATCH(B396,Reactivos!$A$2:$A$435,0)),""))</f>
        <v/>
      </c>
      <c r="F396" s="8"/>
      <c r="G396" s="8"/>
      <c r="H396" s="13"/>
    </row>
    <row r="397" spans="1:8" x14ac:dyDescent="0.3">
      <c r="A397" s="11"/>
      <c r="B397" s="8"/>
      <c r="C397" s="7" t="str">
        <f>IF(B397="","",IFERROR(INDEX(Reactivos!$D$2:$D$435,MATCH(B397,Reactivos!$A$2:$A$435,0)),"ID no existe"))</f>
        <v/>
      </c>
      <c r="D397" s="8"/>
      <c r="E397" s="7" t="str">
        <f>IF(B397="","",IFERROR(INDEX(Reactivos!$H$2:$H$435,MATCH(B397,Reactivos!$A$2:$A$435,0)),""))</f>
        <v/>
      </c>
      <c r="F397" s="8"/>
      <c r="G397" s="8"/>
      <c r="H397" s="13"/>
    </row>
    <row r="398" spans="1:8" x14ac:dyDescent="0.3">
      <c r="A398" s="11"/>
      <c r="B398" s="8"/>
      <c r="C398" s="7" t="str">
        <f>IF(B398="","",IFERROR(INDEX(Reactivos!$D$2:$D$435,MATCH(B398,Reactivos!$A$2:$A$435,0)),"ID no existe"))</f>
        <v/>
      </c>
      <c r="D398" s="8"/>
      <c r="E398" s="7" t="str">
        <f>IF(B398="","",IFERROR(INDEX(Reactivos!$H$2:$H$435,MATCH(B398,Reactivos!$A$2:$A$435,0)),""))</f>
        <v/>
      </c>
      <c r="F398" s="8"/>
      <c r="G398" s="8"/>
      <c r="H398" s="13"/>
    </row>
    <row r="399" spans="1:8" x14ac:dyDescent="0.3">
      <c r="A399" s="11"/>
      <c r="B399" s="8"/>
      <c r="C399" s="7" t="str">
        <f>IF(B399="","",IFERROR(INDEX(Reactivos!$D$2:$D$435,MATCH(B399,Reactivos!$A$2:$A$435,0)),"ID no existe"))</f>
        <v/>
      </c>
      <c r="D399" s="8"/>
      <c r="E399" s="7" t="str">
        <f>IF(B399="","",IFERROR(INDEX(Reactivos!$H$2:$H$435,MATCH(B399,Reactivos!$A$2:$A$435,0)),""))</f>
        <v/>
      </c>
      <c r="F399" s="8"/>
      <c r="G399" s="8"/>
      <c r="H399" s="13"/>
    </row>
    <row r="400" spans="1:8" x14ac:dyDescent="0.3">
      <c r="A400" s="11"/>
      <c r="B400" s="8"/>
      <c r="C400" s="7" t="str">
        <f>IF(B400="","",IFERROR(INDEX(Reactivos!$D$2:$D$435,MATCH(B400,Reactivos!$A$2:$A$435,0)),"ID no existe"))</f>
        <v/>
      </c>
      <c r="D400" s="8"/>
      <c r="E400" s="7" t="str">
        <f>IF(B400="","",IFERROR(INDEX(Reactivos!$H$2:$H$435,MATCH(B400,Reactivos!$A$2:$A$435,0)),""))</f>
        <v/>
      </c>
      <c r="F400" s="8"/>
      <c r="G400" s="8"/>
      <c r="H400" s="13"/>
    </row>
    <row r="401" spans="1:8" x14ac:dyDescent="0.3">
      <c r="A401" s="11"/>
      <c r="B401" s="8"/>
      <c r="C401" s="7" t="str">
        <f>IF(B401="","",IFERROR(INDEX(Reactivos!$D$2:$D$435,MATCH(B401,Reactivos!$A$2:$A$435,0)),"ID no existe"))</f>
        <v/>
      </c>
      <c r="D401" s="8"/>
      <c r="E401" s="7" t="str">
        <f>IF(B401="","",IFERROR(INDEX(Reactivos!$H$2:$H$435,MATCH(B401,Reactivos!$A$2:$A$435,0)),""))</f>
        <v/>
      </c>
      <c r="F401" s="8"/>
      <c r="G401" s="8"/>
      <c r="H401" s="13"/>
    </row>
    <row r="402" spans="1:8" x14ac:dyDescent="0.3">
      <c r="A402" s="11"/>
      <c r="B402" s="8"/>
      <c r="C402" s="7" t="str">
        <f>IF(B402="","",IFERROR(INDEX(Reactivos!$D$2:$D$435,MATCH(B402,Reactivos!$A$2:$A$435,0)),"ID no existe"))</f>
        <v/>
      </c>
      <c r="D402" s="8"/>
      <c r="E402" s="7" t="str">
        <f>IF(B402="","",IFERROR(INDEX(Reactivos!$H$2:$H$435,MATCH(B402,Reactivos!$A$2:$A$435,0)),""))</f>
        <v/>
      </c>
      <c r="F402" s="8"/>
      <c r="G402" s="8"/>
      <c r="H402" s="13"/>
    </row>
    <row r="403" spans="1:8" x14ac:dyDescent="0.3">
      <c r="A403" s="11"/>
      <c r="B403" s="8"/>
      <c r="C403" s="7" t="str">
        <f>IF(B403="","",IFERROR(INDEX(Reactivos!$D$2:$D$435,MATCH(B403,Reactivos!$A$2:$A$435,0)),"ID no existe"))</f>
        <v/>
      </c>
      <c r="D403" s="8"/>
      <c r="E403" s="7" t="str">
        <f>IF(B403="","",IFERROR(INDEX(Reactivos!$H$2:$H$435,MATCH(B403,Reactivos!$A$2:$A$435,0)),""))</f>
        <v/>
      </c>
      <c r="F403" s="8"/>
      <c r="G403" s="8"/>
      <c r="H403" s="13"/>
    </row>
    <row r="404" spans="1:8" x14ac:dyDescent="0.3">
      <c r="A404" s="11"/>
      <c r="B404" s="8"/>
      <c r="C404" s="7" t="str">
        <f>IF(B404="","",IFERROR(INDEX(Reactivos!$D$2:$D$435,MATCH(B404,Reactivos!$A$2:$A$435,0)),"ID no existe"))</f>
        <v/>
      </c>
      <c r="D404" s="8"/>
      <c r="E404" s="7" t="str">
        <f>IF(B404="","",IFERROR(INDEX(Reactivos!$H$2:$H$435,MATCH(B404,Reactivos!$A$2:$A$435,0)),""))</f>
        <v/>
      </c>
      <c r="F404" s="8"/>
      <c r="G404" s="8"/>
      <c r="H404" s="13"/>
    </row>
    <row r="405" spans="1:8" x14ac:dyDescent="0.3">
      <c r="A405" s="11"/>
      <c r="B405" s="8"/>
      <c r="C405" s="7" t="str">
        <f>IF(B405="","",IFERROR(INDEX(Reactivos!$D$2:$D$435,MATCH(B405,Reactivos!$A$2:$A$435,0)),"ID no existe"))</f>
        <v/>
      </c>
      <c r="D405" s="8"/>
      <c r="E405" s="7" t="str">
        <f>IF(B405="","",IFERROR(INDEX(Reactivos!$H$2:$H$435,MATCH(B405,Reactivos!$A$2:$A$435,0)),""))</f>
        <v/>
      </c>
      <c r="F405" s="8"/>
      <c r="G405" s="8"/>
      <c r="H405" s="13"/>
    </row>
    <row r="406" spans="1:8" x14ac:dyDescent="0.3">
      <c r="A406" s="11"/>
      <c r="B406" s="8"/>
      <c r="C406" s="7" t="str">
        <f>IF(B406="","",IFERROR(INDEX(Reactivos!$D$2:$D$435,MATCH(B406,Reactivos!$A$2:$A$435,0)),"ID no existe"))</f>
        <v/>
      </c>
      <c r="D406" s="8"/>
      <c r="E406" s="7" t="str">
        <f>IF(B406="","",IFERROR(INDEX(Reactivos!$H$2:$H$435,MATCH(B406,Reactivos!$A$2:$A$435,0)),""))</f>
        <v/>
      </c>
      <c r="F406" s="8"/>
      <c r="G406" s="8"/>
      <c r="H406" s="13"/>
    </row>
    <row r="407" spans="1:8" x14ac:dyDescent="0.3">
      <c r="A407" s="11"/>
      <c r="B407" s="8"/>
      <c r="C407" s="7" t="str">
        <f>IF(B407="","",IFERROR(INDEX(Reactivos!$D$2:$D$435,MATCH(B407,Reactivos!$A$2:$A$435,0)),"ID no existe"))</f>
        <v/>
      </c>
      <c r="D407" s="8"/>
      <c r="E407" s="7" t="str">
        <f>IF(B407="","",IFERROR(INDEX(Reactivos!$H$2:$H$435,MATCH(B407,Reactivos!$A$2:$A$435,0)),""))</f>
        <v/>
      </c>
      <c r="F407" s="8"/>
      <c r="G407" s="8"/>
      <c r="H407" s="13"/>
    </row>
    <row r="408" spans="1:8" x14ac:dyDescent="0.3">
      <c r="A408" s="11"/>
      <c r="B408" s="8"/>
      <c r="C408" s="7" t="str">
        <f>IF(B408="","",IFERROR(INDEX(Reactivos!$D$2:$D$435,MATCH(B408,Reactivos!$A$2:$A$435,0)),"ID no existe"))</f>
        <v/>
      </c>
      <c r="D408" s="8"/>
      <c r="E408" s="7" t="str">
        <f>IF(B408="","",IFERROR(INDEX(Reactivos!$H$2:$H$435,MATCH(B408,Reactivos!$A$2:$A$435,0)),""))</f>
        <v/>
      </c>
      <c r="F408" s="8"/>
      <c r="G408" s="8"/>
      <c r="H408" s="13"/>
    </row>
    <row r="409" spans="1:8" x14ac:dyDescent="0.3">
      <c r="A409" s="11"/>
      <c r="B409" s="8"/>
      <c r="C409" s="7" t="str">
        <f>IF(B409="","",IFERROR(INDEX(Reactivos!$D$2:$D$435,MATCH(B409,Reactivos!$A$2:$A$435,0)),"ID no existe"))</f>
        <v/>
      </c>
      <c r="D409" s="8"/>
      <c r="E409" s="7" t="str">
        <f>IF(B409="","",IFERROR(INDEX(Reactivos!$H$2:$H$435,MATCH(B409,Reactivos!$A$2:$A$435,0)),""))</f>
        <v/>
      </c>
      <c r="F409" s="8"/>
      <c r="G409" s="8"/>
      <c r="H409" s="13"/>
    </row>
    <row r="410" spans="1:8" x14ac:dyDescent="0.3">
      <c r="A410" s="11"/>
      <c r="B410" s="8"/>
      <c r="C410" s="7" t="str">
        <f>IF(B410="","",IFERROR(INDEX(Reactivos!$D$2:$D$435,MATCH(B410,Reactivos!$A$2:$A$435,0)),"ID no existe"))</f>
        <v/>
      </c>
      <c r="D410" s="8"/>
      <c r="E410" s="7" t="str">
        <f>IF(B410="","",IFERROR(INDEX(Reactivos!$H$2:$H$435,MATCH(B410,Reactivos!$A$2:$A$435,0)),""))</f>
        <v/>
      </c>
      <c r="F410" s="8"/>
      <c r="G410" s="8"/>
      <c r="H410" s="13"/>
    </row>
    <row r="411" spans="1:8" x14ac:dyDescent="0.3">
      <c r="A411" s="11"/>
      <c r="B411" s="8"/>
      <c r="C411" s="7" t="str">
        <f>IF(B411="","",IFERROR(INDEX(Reactivos!$D$2:$D$435,MATCH(B411,Reactivos!$A$2:$A$435,0)),"ID no existe"))</f>
        <v/>
      </c>
      <c r="D411" s="8"/>
      <c r="E411" s="7" t="str">
        <f>IF(B411="","",IFERROR(INDEX(Reactivos!$H$2:$H$435,MATCH(B411,Reactivos!$A$2:$A$435,0)),""))</f>
        <v/>
      </c>
      <c r="F411" s="8"/>
      <c r="G411" s="8"/>
      <c r="H411" s="13"/>
    </row>
    <row r="412" spans="1:8" x14ac:dyDescent="0.3">
      <c r="A412" s="11"/>
      <c r="B412" s="8"/>
      <c r="C412" s="7" t="str">
        <f>IF(B412="","",IFERROR(INDEX(Reactivos!$D$2:$D$435,MATCH(B412,Reactivos!$A$2:$A$435,0)),"ID no existe"))</f>
        <v/>
      </c>
      <c r="D412" s="8"/>
      <c r="E412" s="7" t="str">
        <f>IF(B412="","",IFERROR(INDEX(Reactivos!$H$2:$H$435,MATCH(B412,Reactivos!$A$2:$A$435,0)),""))</f>
        <v/>
      </c>
      <c r="F412" s="8"/>
      <c r="G412" s="8"/>
      <c r="H412" s="13"/>
    </row>
    <row r="413" spans="1:8" x14ac:dyDescent="0.3">
      <c r="A413" s="11"/>
      <c r="B413" s="8"/>
      <c r="C413" s="7" t="str">
        <f>IF(B413="","",IFERROR(INDEX(Reactivos!$D$2:$D$435,MATCH(B413,Reactivos!$A$2:$A$435,0)),"ID no existe"))</f>
        <v/>
      </c>
      <c r="D413" s="8"/>
      <c r="E413" s="7" t="str">
        <f>IF(B413="","",IFERROR(INDEX(Reactivos!$H$2:$H$435,MATCH(B413,Reactivos!$A$2:$A$435,0)),""))</f>
        <v/>
      </c>
      <c r="F413" s="8"/>
      <c r="G413" s="8"/>
      <c r="H413" s="13"/>
    </row>
    <row r="414" spans="1:8" x14ac:dyDescent="0.3">
      <c r="A414" s="11"/>
      <c r="B414" s="8"/>
      <c r="C414" s="7" t="str">
        <f>IF(B414="","",IFERROR(INDEX(Reactivos!$D$2:$D$435,MATCH(B414,Reactivos!$A$2:$A$435,0)),"ID no existe"))</f>
        <v/>
      </c>
      <c r="D414" s="8"/>
      <c r="E414" s="7" t="str">
        <f>IF(B414="","",IFERROR(INDEX(Reactivos!$H$2:$H$435,MATCH(B414,Reactivos!$A$2:$A$435,0)),""))</f>
        <v/>
      </c>
      <c r="F414" s="8"/>
      <c r="G414" s="8"/>
      <c r="H414" s="13"/>
    </row>
    <row r="415" spans="1:8" x14ac:dyDescent="0.3">
      <c r="A415" s="11"/>
      <c r="B415" s="8"/>
      <c r="C415" s="7" t="str">
        <f>IF(B415="","",IFERROR(INDEX(Reactivos!$D$2:$D$435,MATCH(B415,Reactivos!$A$2:$A$435,0)),"ID no existe"))</f>
        <v/>
      </c>
      <c r="D415" s="8"/>
      <c r="E415" s="7" t="str">
        <f>IF(B415="","",IFERROR(INDEX(Reactivos!$H$2:$H$435,MATCH(B415,Reactivos!$A$2:$A$435,0)),""))</f>
        <v/>
      </c>
      <c r="F415" s="8"/>
      <c r="G415" s="8"/>
      <c r="H415" s="13"/>
    </row>
    <row r="416" spans="1:8" x14ac:dyDescent="0.3">
      <c r="A416" s="11"/>
      <c r="B416" s="8"/>
      <c r="C416" s="7" t="str">
        <f>IF(B416="","",IFERROR(INDEX(Reactivos!$D$2:$D$435,MATCH(B416,Reactivos!$A$2:$A$435,0)),"ID no existe"))</f>
        <v/>
      </c>
      <c r="D416" s="8"/>
      <c r="E416" s="7" t="str">
        <f>IF(B416="","",IFERROR(INDEX(Reactivos!$H$2:$H$435,MATCH(B416,Reactivos!$A$2:$A$435,0)),""))</f>
        <v/>
      </c>
      <c r="F416" s="8"/>
      <c r="G416" s="8"/>
      <c r="H416" s="13"/>
    </row>
    <row r="417" spans="1:8" x14ac:dyDescent="0.3">
      <c r="A417" s="11"/>
      <c r="B417" s="8"/>
      <c r="C417" s="7" t="str">
        <f>IF(B417="","",IFERROR(INDEX(Reactivos!$D$2:$D$435,MATCH(B417,Reactivos!$A$2:$A$435,0)),"ID no existe"))</f>
        <v/>
      </c>
      <c r="D417" s="8"/>
      <c r="E417" s="7" t="str">
        <f>IF(B417="","",IFERROR(INDEX(Reactivos!$H$2:$H$435,MATCH(B417,Reactivos!$A$2:$A$435,0)),""))</f>
        <v/>
      </c>
      <c r="F417" s="8"/>
      <c r="G417" s="8"/>
      <c r="H417" s="13"/>
    </row>
    <row r="418" spans="1:8" x14ac:dyDescent="0.3">
      <c r="A418" s="11"/>
      <c r="B418" s="8"/>
      <c r="C418" s="7" t="str">
        <f>IF(B418="","",IFERROR(INDEX(Reactivos!$D$2:$D$435,MATCH(B418,Reactivos!$A$2:$A$435,0)),"ID no existe"))</f>
        <v/>
      </c>
      <c r="D418" s="8"/>
      <c r="E418" s="7" t="str">
        <f>IF(B418="","",IFERROR(INDEX(Reactivos!$H$2:$H$435,MATCH(B418,Reactivos!$A$2:$A$435,0)),""))</f>
        <v/>
      </c>
      <c r="F418" s="8"/>
      <c r="G418" s="8"/>
      <c r="H418" s="13"/>
    </row>
    <row r="419" spans="1:8" x14ac:dyDescent="0.3">
      <c r="A419" s="11"/>
      <c r="B419" s="8"/>
      <c r="C419" s="7" t="str">
        <f>IF(B419="","",IFERROR(INDEX(Reactivos!$D$2:$D$435,MATCH(B419,Reactivos!$A$2:$A$435,0)),"ID no existe"))</f>
        <v/>
      </c>
      <c r="D419" s="8"/>
      <c r="E419" s="7" t="str">
        <f>IF(B419="","",IFERROR(INDEX(Reactivos!$H$2:$H$435,MATCH(B419,Reactivos!$A$2:$A$435,0)),""))</f>
        <v/>
      </c>
      <c r="F419" s="8"/>
      <c r="G419" s="8"/>
      <c r="H419" s="13"/>
    </row>
    <row r="420" spans="1:8" x14ac:dyDescent="0.3">
      <c r="A420" s="11"/>
      <c r="B420" s="8"/>
      <c r="C420" s="7" t="str">
        <f>IF(B420="","",IFERROR(INDEX(Reactivos!$D$2:$D$435,MATCH(B420,Reactivos!$A$2:$A$435,0)),"ID no existe"))</f>
        <v/>
      </c>
      <c r="D420" s="8"/>
      <c r="E420" s="7" t="str">
        <f>IF(B420="","",IFERROR(INDEX(Reactivos!$H$2:$H$435,MATCH(B420,Reactivos!$A$2:$A$435,0)),""))</f>
        <v/>
      </c>
      <c r="F420" s="8"/>
      <c r="G420" s="8"/>
      <c r="H420" s="13"/>
    </row>
    <row r="421" spans="1:8" x14ac:dyDescent="0.3">
      <c r="A421" s="11"/>
      <c r="B421" s="8"/>
      <c r="C421" s="7" t="str">
        <f>IF(B421="","",IFERROR(INDEX(Reactivos!$D$2:$D$435,MATCH(B421,Reactivos!$A$2:$A$435,0)),"ID no existe"))</f>
        <v/>
      </c>
      <c r="D421" s="8"/>
      <c r="E421" s="7" t="str">
        <f>IF(B421="","",IFERROR(INDEX(Reactivos!$H$2:$H$435,MATCH(B421,Reactivos!$A$2:$A$435,0)),""))</f>
        <v/>
      </c>
      <c r="F421" s="8"/>
      <c r="G421" s="8"/>
      <c r="H421" s="13"/>
    </row>
    <row r="422" spans="1:8" x14ac:dyDescent="0.3">
      <c r="A422" s="11"/>
      <c r="B422" s="8"/>
      <c r="C422" s="7" t="str">
        <f>IF(B422="","",IFERROR(INDEX(Reactivos!$D$2:$D$435,MATCH(B422,Reactivos!$A$2:$A$435,0)),"ID no existe"))</f>
        <v/>
      </c>
      <c r="D422" s="8"/>
      <c r="E422" s="7" t="str">
        <f>IF(B422="","",IFERROR(INDEX(Reactivos!$H$2:$H$435,MATCH(B422,Reactivos!$A$2:$A$435,0)),""))</f>
        <v/>
      </c>
      <c r="F422" s="8"/>
      <c r="G422" s="8"/>
      <c r="H422" s="13"/>
    </row>
    <row r="423" spans="1:8" x14ac:dyDescent="0.3">
      <c r="A423" s="11"/>
      <c r="B423" s="8"/>
      <c r="C423" s="7" t="str">
        <f>IF(B423="","",IFERROR(INDEX(Reactivos!$D$2:$D$435,MATCH(B423,Reactivos!$A$2:$A$435,0)),"ID no existe"))</f>
        <v/>
      </c>
      <c r="D423" s="8"/>
      <c r="E423" s="7" t="str">
        <f>IF(B423="","",IFERROR(INDEX(Reactivos!$H$2:$H$435,MATCH(B423,Reactivos!$A$2:$A$435,0)),""))</f>
        <v/>
      </c>
      <c r="F423" s="8"/>
      <c r="G423" s="8"/>
      <c r="H423" s="13"/>
    </row>
    <row r="424" spans="1:8" x14ac:dyDescent="0.3">
      <c r="A424" s="11"/>
      <c r="B424" s="8"/>
      <c r="C424" s="7" t="str">
        <f>IF(B424="","",IFERROR(INDEX(Reactivos!$D$2:$D$435,MATCH(B424,Reactivos!$A$2:$A$435,0)),"ID no existe"))</f>
        <v/>
      </c>
      <c r="D424" s="8"/>
      <c r="E424" s="7" t="str">
        <f>IF(B424="","",IFERROR(INDEX(Reactivos!$H$2:$H$435,MATCH(B424,Reactivos!$A$2:$A$435,0)),""))</f>
        <v/>
      </c>
      <c r="F424" s="8"/>
      <c r="G424" s="8"/>
      <c r="H424" s="13"/>
    </row>
    <row r="425" spans="1:8" x14ac:dyDescent="0.3">
      <c r="A425" s="11"/>
      <c r="B425" s="8"/>
      <c r="C425" s="7" t="str">
        <f>IF(B425="","",IFERROR(INDEX(Reactivos!$D$2:$D$435,MATCH(B425,Reactivos!$A$2:$A$435,0)),"ID no existe"))</f>
        <v/>
      </c>
      <c r="D425" s="8"/>
      <c r="E425" s="7" t="str">
        <f>IF(B425="","",IFERROR(INDEX(Reactivos!$H$2:$H$435,MATCH(B425,Reactivos!$A$2:$A$435,0)),""))</f>
        <v/>
      </c>
      <c r="F425" s="8"/>
      <c r="G425" s="8"/>
      <c r="H425" s="13"/>
    </row>
    <row r="426" spans="1:8" x14ac:dyDescent="0.3">
      <c r="A426" s="11"/>
      <c r="B426" s="8"/>
      <c r="C426" s="7" t="str">
        <f>IF(B426="","",IFERROR(INDEX(Reactivos!$D$2:$D$435,MATCH(B426,Reactivos!$A$2:$A$435,0)),"ID no existe"))</f>
        <v/>
      </c>
      <c r="D426" s="8"/>
      <c r="E426" s="7" t="str">
        <f>IF(B426="","",IFERROR(INDEX(Reactivos!$H$2:$H$435,MATCH(B426,Reactivos!$A$2:$A$435,0)),""))</f>
        <v/>
      </c>
      <c r="F426" s="8"/>
      <c r="G426" s="8"/>
      <c r="H426" s="13"/>
    </row>
    <row r="427" spans="1:8" x14ac:dyDescent="0.3">
      <c r="A427" s="11"/>
      <c r="B427" s="8"/>
      <c r="C427" s="7" t="str">
        <f>IF(B427="","",IFERROR(INDEX(Reactivos!$D$2:$D$435,MATCH(B427,Reactivos!$A$2:$A$435,0)),"ID no existe"))</f>
        <v/>
      </c>
      <c r="D427" s="8"/>
      <c r="E427" s="7" t="str">
        <f>IF(B427="","",IFERROR(INDEX(Reactivos!$H$2:$H$435,MATCH(B427,Reactivos!$A$2:$A$435,0)),""))</f>
        <v/>
      </c>
      <c r="F427" s="8"/>
      <c r="G427" s="8"/>
      <c r="H427" s="13"/>
    </row>
    <row r="428" spans="1:8" x14ac:dyDescent="0.3">
      <c r="A428" s="11"/>
      <c r="B428" s="8"/>
      <c r="C428" s="7" t="str">
        <f>IF(B428="","",IFERROR(INDEX(Reactivos!$D$2:$D$435,MATCH(B428,Reactivos!$A$2:$A$435,0)),"ID no existe"))</f>
        <v/>
      </c>
      <c r="D428" s="8"/>
      <c r="E428" s="7" t="str">
        <f>IF(B428="","",IFERROR(INDEX(Reactivos!$H$2:$H$435,MATCH(B428,Reactivos!$A$2:$A$435,0)),""))</f>
        <v/>
      </c>
      <c r="F428" s="8"/>
      <c r="G428" s="8"/>
      <c r="H428" s="13"/>
    </row>
    <row r="429" spans="1:8" x14ac:dyDescent="0.3">
      <c r="A429" s="11"/>
      <c r="B429" s="8"/>
      <c r="C429" s="7" t="str">
        <f>IF(B429="","",IFERROR(INDEX(Reactivos!$D$2:$D$435,MATCH(B429,Reactivos!$A$2:$A$435,0)),"ID no existe"))</f>
        <v/>
      </c>
      <c r="D429" s="8"/>
      <c r="E429" s="7" t="str">
        <f>IF(B429="","",IFERROR(INDEX(Reactivos!$H$2:$H$435,MATCH(B429,Reactivos!$A$2:$A$435,0)),""))</f>
        <v/>
      </c>
      <c r="F429" s="8"/>
      <c r="G429" s="8"/>
      <c r="H429" s="13"/>
    </row>
    <row r="430" spans="1:8" x14ac:dyDescent="0.3">
      <c r="A430" s="11"/>
      <c r="B430" s="8"/>
      <c r="C430" s="7" t="str">
        <f>IF(B430="","",IFERROR(INDEX(Reactivos!$D$2:$D$435,MATCH(B430,Reactivos!$A$2:$A$435,0)),"ID no existe"))</f>
        <v/>
      </c>
      <c r="D430" s="8"/>
      <c r="E430" s="7" t="str">
        <f>IF(B430="","",IFERROR(INDEX(Reactivos!$H$2:$H$435,MATCH(B430,Reactivos!$A$2:$A$435,0)),""))</f>
        <v/>
      </c>
      <c r="F430" s="8"/>
      <c r="G430" s="8"/>
      <c r="H430" s="13"/>
    </row>
    <row r="431" spans="1:8" x14ac:dyDescent="0.3">
      <c r="A431" s="11"/>
      <c r="B431" s="8"/>
      <c r="C431" s="7" t="str">
        <f>IF(B431="","",IFERROR(INDEX(Reactivos!$D$2:$D$435,MATCH(B431,Reactivos!$A$2:$A$435,0)),"ID no existe"))</f>
        <v/>
      </c>
      <c r="D431" s="8"/>
      <c r="E431" s="7" t="str">
        <f>IF(B431="","",IFERROR(INDEX(Reactivos!$H$2:$H$435,MATCH(B431,Reactivos!$A$2:$A$435,0)),""))</f>
        <v/>
      </c>
      <c r="F431" s="8"/>
      <c r="G431" s="8"/>
      <c r="H431" s="13"/>
    </row>
    <row r="432" spans="1:8" x14ac:dyDescent="0.3">
      <c r="A432" s="11"/>
      <c r="B432" s="8"/>
      <c r="C432" s="7" t="str">
        <f>IF(B432="","",IFERROR(INDEX(Reactivos!$D$2:$D$435,MATCH(B432,Reactivos!$A$2:$A$435,0)),"ID no existe"))</f>
        <v/>
      </c>
      <c r="D432" s="8"/>
      <c r="E432" s="7" t="str">
        <f>IF(B432="","",IFERROR(INDEX(Reactivos!$H$2:$H$435,MATCH(B432,Reactivos!$A$2:$A$435,0)),""))</f>
        <v/>
      </c>
      <c r="F432" s="8"/>
      <c r="G432" s="8"/>
      <c r="H432" s="13"/>
    </row>
    <row r="433" spans="1:8" x14ac:dyDescent="0.3">
      <c r="A433" s="11"/>
      <c r="B433" s="8"/>
      <c r="C433" s="7" t="str">
        <f>IF(B433="","",IFERROR(INDEX(Reactivos!$D$2:$D$435,MATCH(B433,Reactivos!$A$2:$A$435,0)),"ID no existe"))</f>
        <v/>
      </c>
      <c r="D433" s="8"/>
      <c r="E433" s="7" t="str">
        <f>IF(B433="","",IFERROR(INDEX(Reactivos!$H$2:$H$435,MATCH(B433,Reactivos!$A$2:$A$435,0)),""))</f>
        <v/>
      </c>
      <c r="F433" s="8"/>
      <c r="G433" s="8"/>
      <c r="H433" s="13"/>
    </row>
    <row r="434" spans="1:8" x14ac:dyDescent="0.3">
      <c r="A434" s="11"/>
      <c r="B434" s="8"/>
      <c r="C434" s="7" t="str">
        <f>IF(B434="","",IFERROR(INDEX(Reactivos!$D$2:$D$435,MATCH(B434,Reactivos!$A$2:$A$435,0)),"ID no existe"))</f>
        <v/>
      </c>
      <c r="D434" s="8"/>
      <c r="E434" s="7" t="str">
        <f>IF(B434="","",IFERROR(INDEX(Reactivos!$H$2:$H$435,MATCH(B434,Reactivos!$A$2:$A$435,0)),""))</f>
        <v/>
      </c>
      <c r="F434" s="8"/>
      <c r="G434" s="8"/>
      <c r="H434" s="13"/>
    </row>
    <row r="435" spans="1:8" x14ac:dyDescent="0.3">
      <c r="A435" s="11"/>
      <c r="B435" s="8"/>
      <c r="C435" s="7" t="str">
        <f>IF(B435="","",IFERROR(INDEX(Reactivos!$D$2:$D$435,MATCH(B435,Reactivos!$A$2:$A$435,0)),"ID no existe"))</f>
        <v/>
      </c>
      <c r="D435" s="8"/>
      <c r="E435" s="7" t="str">
        <f>IF(B435="","",IFERROR(INDEX(Reactivos!$H$2:$H$435,MATCH(B435,Reactivos!$A$2:$A$435,0)),""))</f>
        <v/>
      </c>
      <c r="F435" s="8"/>
      <c r="G435" s="8"/>
      <c r="H435" s="13"/>
    </row>
    <row r="436" spans="1:8" x14ac:dyDescent="0.3">
      <c r="A436" s="11"/>
      <c r="B436" s="8"/>
      <c r="C436" s="7" t="str">
        <f>IF(B436="","",IFERROR(INDEX(Reactivos!$D$2:$D$435,MATCH(B436,Reactivos!$A$2:$A$435,0)),"ID no existe"))</f>
        <v/>
      </c>
      <c r="D436" s="8"/>
      <c r="E436" s="7" t="str">
        <f>IF(B436="","",IFERROR(INDEX(Reactivos!$H$2:$H$435,MATCH(B436,Reactivos!$A$2:$A$435,0)),""))</f>
        <v/>
      </c>
      <c r="F436" s="8"/>
      <c r="G436" s="8"/>
      <c r="H436" s="13"/>
    </row>
    <row r="437" spans="1:8" x14ac:dyDescent="0.3">
      <c r="A437" s="11"/>
      <c r="B437" s="8"/>
      <c r="C437" s="7" t="str">
        <f>IF(B437="","",IFERROR(INDEX(Reactivos!$D$2:$D$435,MATCH(B437,Reactivos!$A$2:$A$435,0)),"ID no existe"))</f>
        <v/>
      </c>
      <c r="D437" s="8"/>
      <c r="E437" s="7" t="str">
        <f>IF(B437="","",IFERROR(INDEX(Reactivos!$H$2:$H$435,MATCH(B437,Reactivos!$A$2:$A$435,0)),""))</f>
        <v/>
      </c>
      <c r="F437" s="8"/>
      <c r="G437" s="8"/>
      <c r="H437" s="13"/>
    </row>
    <row r="438" spans="1:8" x14ac:dyDescent="0.3">
      <c r="A438" s="11"/>
      <c r="B438" s="8"/>
      <c r="C438" s="7" t="str">
        <f>IF(B438="","",IFERROR(INDEX(Reactivos!$D$2:$D$435,MATCH(B438,Reactivos!$A$2:$A$435,0)),"ID no existe"))</f>
        <v/>
      </c>
      <c r="D438" s="8"/>
      <c r="E438" s="7" t="str">
        <f>IF(B438="","",IFERROR(INDEX(Reactivos!$H$2:$H$435,MATCH(B438,Reactivos!$A$2:$A$435,0)),""))</f>
        <v/>
      </c>
      <c r="F438" s="8"/>
      <c r="G438" s="8"/>
      <c r="H438" s="13"/>
    </row>
    <row r="439" spans="1:8" x14ac:dyDescent="0.3">
      <c r="A439" s="11"/>
      <c r="B439" s="8"/>
      <c r="C439" s="7" t="str">
        <f>IF(B439="","",IFERROR(INDEX(Reactivos!$D$2:$D$435,MATCH(B439,Reactivos!$A$2:$A$435,0)),"ID no existe"))</f>
        <v/>
      </c>
      <c r="D439" s="8"/>
      <c r="E439" s="7" t="str">
        <f>IF(B439="","",IFERROR(INDEX(Reactivos!$H$2:$H$435,MATCH(B439,Reactivos!$A$2:$A$435,0)),""))</f>
        <v/>
      </c>
      <c r="F439" s="8"/>
      <c r="G439" s="8"/>
      <c r="H439" s="13"/>
    </row>
    <row r="440" spans="1:8" x14ac:dyDescent="0.3">
      <c r="A440" s="11"/>
      <c r="B440" s="8"/>
      <c r="C440" s="7" t="str">
        <f>IF(B440="","",IFERROR(INDEX(Reactivos!$D$2:$D$435,MATCH(B440,Reactivos!$A$2:$A$435,0)),"ID no existe"))</f>
        <v/>
      </c>
      <c r="D440" s="8"/>
      <c r="E440" s="7" t="str">
        <f>IF(B440="","",IFERROR(INDEX(Reactivos!$H$2:$H$435,MATCH(B440,Reactivos!$A$2:$A$435,0)),""))</f>
        <v/>
      </c>
      <c r="F440" s="8"/>
      <c r="G440" s="8"/>
      <c r="H440" s="13"/>
    </row>
    <row r="441" spans="1:8" x14ac:dyDescent="0.3">
      <c r="A441" s="11"/>
      <c r="B441" s="8"/>
      <c r="C441" s="7" t="str">
        <f>IF(B441="","",IFERROR(INDEX(Reactivos!$D$2:$D$435,MATCH(B441,Reactivos!$A$2:$A$435,0)),"ID no existe"))</f>
        <v/>
      </c>
      <c r="D441" s="8"/>
      <c r="E441" s="7" t="str">
        <f>IF(B441="","",IFERROR(INDEX(Reactivos!$H$2:$H$435,MATCH(B441,Reactivos!$A$2:$A$435,0)),""))</f>
        <v/>
      </c>
      <c r="F441" s="8"/>
      <c r="G441" s="8"/>
      <c r="H441" s="13"/>
    </row>
    <row r="442" spans="1:8" x14ac:dyDescent="0.3">
      <c r="A442" s="11"/>
      <c r="B442" s="8"/>
      <c r="C442" s="7" t="str">
        <f>IF(B442="","",IFERROR(INDEX(Reactivos!$D$2:$D$435,MATCH(B442,Reactivos!$A$2:$A$435,0)),"ID no existe"))</f>
        <v/>
      </c>
      <c r="D442" s="8"/>
      <c r="E442" s="7" t="str">
        <f>IF(B442="","",IFERROR(INDEX(Reactivos!$H$2:$H$435,MATCH(B442,Reactivos!$A$2:$A$435,0)),""))</f>
        <v/>
      </c>
      <c r="F442" s="8"/>
      <c r="G442" s="8"/>
      <c r="H442" s="13"/>
    </row>
    <row r="443" spans="1:8" x14ac:dyDescent="0.3">
      <c r="A443" s="11"/>
      <c r="B443" s="8"/>
      <c r="C443" s="7" t="str">
        <f>IF(B443="","",IFERROR(INDEX(Reactivos!$D$2:$D$435,MATCH(B443,Reactivos!$A$2:$A$435,0)),"ID no existe"))</f>
        <v/>
      </c>
      <c r="D443" s="8"/>
      <c r="E443" s="7" t="str">
        <f>IF(B443="","",IFERROR(INDEX(Reactivos!$H$2:$H$435,MATCH(B443,Reactivos!$A$2:$A$435,0)),""))</f>
        <v/>
      </c>
      <c r="F443" s="8"/>
      <c r="G443" s="8"/>
      <c r="H443" s="13"/>
    </row>
    <row r="444" spans="1:8" x14ac:dyDescent="0.3">
      <c r="A444" s="11"/>
      <c r="B444" s="8"/>
      <c r="C444" s="7" t="str">
        <f>IF(B444="","",IFERROR(INDEX(Reactivos!$D$2:$D$435,MATCH(B444,Reactivos!$A$2:$A$435,0)),"ID no existe"))</f>
        <v/>
      </c>
      <c r="D444" s="8"/>
      <c r="E444" s="7" t="str">
        <f>IF(B444="","",IFERROR(INDEX(Reactivos!$H$2:$H$435,MATCH(B444,Reactivos!$A$2:$A$435,0)),""))</f>
        <v/>
      </c>
      <c r="F444" s="8"/>
      <c r="G444" s="8"/>
      <c r="H444" s="13"/>
    </row>
    <row r="445" spans="1:8" x14ac:dyDescent="0.3">
      <c r="A445" s="11"/>
      <c r="B445" s="8"/>
      <c r="C445" s="7" t="str">
        <f>IF(B445="","",IFERROR(INDEX(Reactivos!$D$2:$D$435,MATCH(B445,Reactivos!$A$2:$A$435,0)),"ID no existe"))</f>
        <v/>
      </c>
      <c r="D445" s="8"/>
      <c r="E445" s="7" t="str">
        <f>IF(B445="","",IFERROR(INDEX(Reactivos!$H$2:$H$435,MATCH(B445,Reactivos!$A$2:$A$435,0)),""))</f>
        <v/>
      </c>
      <c r="F445" s="8"/>
      <c r="G445" s="8"/>
      <c r="H445" s="13"/>
    </row>
    <row r="446" spans="1:8" x14ac:dyDescent="0.3">
      <c r="A446" s="11"/>
      <c r="B446" s="8"/>
      <c r="C446" s="7" t="str">
        <f>IF(B446="","",IFERROR(INDEX(Reactivos!$D$2:$D$435,MATCH(B446,Reactivos!$A$2:$A$435,0)),"ID no existe"))</f>
        <v/>
      </c>
      <c r="D446" s="8"/>
      <c r="E446" s="7" t="str">
        <f>IF(B446="","",IFERROR(INDEX(Reactivos!$H$2:$H$435,MATCH(B446,Reactivos!$A$2:$A$435,0)),""))</f>
        <v/>
      </c>
      <c r="F446" s="8"/>
      <c r="G446" s="8"/>
      <c r="H446" s="13"/>
    </row>
    <row r="447" spans="1:8" x14ac:dyDescent="0.3">
      <c r="A447" s="11"/>
      <c r="B447" s="8"/>
      <c r="C447" s="7" t="str">
        <f>IF(B447="","",IFERROR(INDEX(Reactivos!$D$2:$D$435,MATCH(B447,Reactivos!$A$2:$A$435,0)),"ID no existe"))</f>
        <v/>
      </c>
      <c r="D447" s="8"/>
      <c r="E447" s="7" t="str">
        <f>IF(B447="","",IFERROR(INDEX(Reactivos!$H$2:$H$435,MATCH(B447,Reactivos!$A$2:$A$435,0)),""))</f>
        <v/>
      </c>
      <c r="F447" s="8"/>
      <c r="G447" s="8"/>
      <c r="H447" s="13"/>
    </row>
    <row r="448" spans="1:8" x14ac:dyDescent="0.3">
      <c r="A448" s="11"/>
      <c r="B448" s="8"/>
      <c r="C448" s="7" t="str">
        <f>IF(B448="","",IFERROR(INDEX(Reactivos!$D$2:$D$435,MATCH(B448,Reactivos!$A$2:$A$435,0)),"ID no existe"))</f>
        <v/>
      </c>
      <c r="D448" s="8"/>
      <c r="E448" s="7" t="str">
        <f>IF(B448="","",IFERROR(INDEX(Reactivos!$H$2:$H$435,MATCH(B448,Reactivos!$A$2:$A$435,0)),""))</f>
        <v/>
      </c>
      <c r="F448" s="8"/>
      <c r="G448" s="8"/>
      <c r="H448" s="13"/>
    </row>
    <row r="449" spans="1:8" x14ac:dyDescent="0.3">
      <c r="A449" s="11"/>
      <c r="B449" s="8"/>
      <c r="C449" s="7" t="str">
        <f>IF(B449="","",IFERROR(INDEX(Reactivos!$D$2:$D$435,MATCH(B449,Reactivos!$A$2:$A$435,0)),"ID no existe"))</f>
        <v/>
      </c>
      <c r="D449" s="8"/>
      <c r="E449" s="7" t="str">
        <f>IF(B449="","",IFERROR(INDEX(Reactivos!$H$2:$H$435,MATCH(B449,Reactivos!$A$2:$A$435,0)),""))</f>
        <v/>
      </c>
      <c r="F449" s="8"/>
      <c r="G449" s="8"/>
      <c r="H449" s="13"/>
    </row>
    <row r="450" spans="1:8" x14ac:dyDescent="0.3">
      <c r="A450" s="11"/>
      <c r="B450" s="8"/>
      <c r="C450" s="7" t="str">
        <f>IF(B450="","",IFERROR(INDEX(Reactivos!$D$2:$D$435,MATCH(B450,Reactivos!$A$2:$A$435,0)),"ID no existe"))</f>
        <v/>
      </c>
      <c r="D450" s="8"/>
      <c r="E450" s="7" t="str">
        <f>IF(B450="","",IFERROR(INDEX(Reactivos!$H$2:$H$435,MATCH(B450,Reactivos!$A$2:$A$435,0)),""))</f>
        <v/>
      </c>
      <c r="F450" s="8"/>
      <c r="G450" s="8"/>
      <c r="H450" s="13"/>
    </row>
    <row r="451" spans="1:8" x14ac:dyDescent="0.3">
      <c r="A451" s="11"/>
      <c r="B451" s="8"/>
      <c r="C451" s="7" t="str">
        <f>IF(B451="","",IFERROR(INDEX(Reactivos!$D$2:$D$435,MATCH(B451,Reactivos!$A$2:$A$435,0)),"ID no existe"))</f>
        <v/>
      </c>
      <c r="D451" s="8"/>
      <c r="E451" s="7" t="str">
        <f>IF(B451="","",IFERROR(INDEX(Reactivos!$H$2:$H$435,MATCH(B451,Reactivos!$A$2:$A$435,0)),""))</f>
        <v/>
      </c>
      <c r="F451" s="8"/>
      <c r="G451" s="8"/>
      <c r="H451" s="13"/>
    </row>
    <row r="452" spans="1:8" x14ac:dyDescent="0.3">
      <c r="A452" s="11"/>
      <c r="B452" s="8"/>
      <c r="C452" s="7" t="str">
        <f>IF(B452="","",IFERROR(INDEX(Reactivos!$D$2:$D$435,MATCH(B452,Reactivos!$A$2:$A$435,0)),"ID no existe"))</f>
        <v/>
      </c>
      <c r="D452" s="8"/>
      <c r="E452" s="7" t="str">
        <f>IF(B452="","",IFERROR(INDEX(Reactivos!$H$2:$H$435,MATCH(B452,Reactivos!$A$2:$A$435,0)),""))</f>
        <v/>
      </c>
      <c r="F452" s="8"/>
      <c r="G452" s="8"/>
      <c r="H452" s="13"/>
    </row>
    <row r="453" spans="1:8" x14ac:dyDescent="0.3">
      <c r="A453" s="11"/>
      <c r="B453" s="8"/>
      <c r="C453" s="7" t="str">
        <f>IF(B453="","",IFERROR(INDEX(Reactivos!$D$2:$D$435,MATCH(B453,Reactivos!$A$2:$A$435,0)),"ID no existe"))</f>
        <v/>
      </c>
      <c r="D453" s="8"/>
      <c r="E453" s="7" t="str">
        <f>IF(B453="","",IFERROR(INDEX(Reactivos!$H$2:$H$435,MATCH(B453,Reactivos!$A$2:$A$435,0)),""))</f>
        <v/>
      </c>
      <c r="F453" s="8"/>
      <c r="G453" s="8"/>
      <c r="H453" s="13"/>
    </row>
    <row r="454" spans="1:8" x14ac:dyDescent="0.3">
      <c r="A454" s="11"/>
      <c r="B454" s="8"/>
      <c r="C454" s="7" t="str">
        <f>IF(B454="","",IFERROR(INDEX(Reactivos!$D$2:$D$435,MATCH(B454,Reactivos!$A$2:$A$435,0)),"ID no existe"))</f>
        <v/>
      </c>
      <c r="D454" s="8"/>
      <c r="E454" s="7" t="str">
        <f>IF(B454="","",IFERROR(INDEX(Reactivos!$H$2:$H$435,MATCH(B454,Reactivos!$A$2:$A$435,0)),""))</f>
        <v/>
      </c>
      <c r="F454" s="8"/>
      <c r="G454" s="8"/>
      <c r="H454" s="13"/>
    </row>
    <row r="455" spans="1:8" x14ac:dyDescent="0.3">
      <c r="A455" s="11"/>
      <c r="B455" s="8"/>
      <c r="C455" s="7" t="str">
        <f>IF(B455="","",IFERROR(INDEX(Reactivos!$D$2:$D$435,MATCH(B455,Reactivos!$A$2:$A$435,0)),"ID no existe"))</f>
        <v/>
      </c>
      <c r="D455" s="8"/>
      <c r="E455" s="7" t="str">
        <f>IF(B455="","",IFERROR(INDEX(Reactivos!$H$2:$H$435,MATCH(B455,Reactivos!$A$2:$A$435,0)),""))</f>
        <v/>
      </c>
      <c r="F455" s="8"/>
      <c r="G455" s="8"/>
      <c r="H455" s="13"/>
    </row>
    <row r="456" spans="1:8" x14ac:dyDescent="0.3">
      <c r="A456" s="11"/>
      <c r="B456" s="8"/>
      <c r="C456" s="7" t="str">
        <f>IF(B456="","",IFERROR(INDEX(Reactivos!$D$2:$D$435,MATCH(B456,Reactivos!$A$2:$A$435,0)),"ID no existe"))</f>
        <v/>
      </c>
      <c r="D456" s="8"/>
      <c r="E456" s="7" t="str">
        <f>IF(B456="","",IFERROR(INDEX(Reactivos!$H$2:$H$435,MATCH(B456,Reactivos!$A$2:$A$435,0)),""))</f>
        <v/>
      </c>
      <c r="F456" s="8"/>
      <c r="G456" s="8"/>
      <c r="H456" s="13"/>
    </row>
    <row r="457" spans="1:8" x14ac:dyDescent="0.3">
      <c r="A457" s="11"/>
      <c r="B457" s="8"/>
      <c r="C457" s="7" t="str">
        <f>IF(B457="","",IFERROR(INDEX(Reactivos!$D$2:$D$435,MATCH(B457,Reactivos!$A$2:$A$435,0)),"ID no existe"))</f>
        <v/>
      </c>
      <c r="D457" s="8"/>
      <c r="E457" s="7" t="str">
        <f>IF(B457="","",IFERROR(INDEX(Reactivos!$H$2:$H$435,MATCH(B457,Reactivos!$A$2:$A$435,0)),""))</f>
        <v/>
      </c>
      <c r="F457" s="8"/>
      <c r="G457" s="8"/>
      <c r="H457" s="13"/>
    </row>
    <row r="458" spans="1:8" x14ac:dyDescent="0.3">
      <c r="A458" s="11"/>
      <c r="B458" s="8"/>
      <c r="C458" s="7" t="str">
        <f>IF(B458="","",IFERROR(INDEX(Reactivos!$D$2:$D$435,MATCH(B458,Reactivos!$A$2:$A$435,0)),"ID no existe"))</f>
        <v/>
      </c>
      <c r="D458" s="8"/>
      <c r="E458" s="7" t="str">
        <f>IF(B458="","",IFERROR(INDEX(Reactivos!$H$2:$H$435,MATCH(B458,Reactivos!$A$2:$A$435,0)),""))</f>
        <v/>
      </c>
      <c r="F458" s="8"/>
      <c r="G458" s="8"/>
      <c r="H458" s="13"/>
    </row>
    <row r="459" spans="1:8" x14ac:dyDescent="0.3">
      <c r="A459" s="11"/>
      <c r="B459" s="8"/>
      <c r="C459" s="7" t="str">
        <f>IF(B459="","",IFERROR(INDEX(Reactivos!$D$2:$D$435,MATCH(B459,Reactivos!$A$2:$A$435,0)),"ID no existe"))</f>
        <v/>
      </c>
      <c r="D459" s="8"/>
      <c r="E459" s="7" t="str">
        <f>IF(B459="","",IFERROR(INDEX(Reactivos!$H$2:$H$435,MATCH(B459,Reactivos!$A$2:$A$435,0)),""))</f>
        <v/>
      </c>
      <c r="F459" s="8"/>
      <c r="G459" s="8"/>
      <c r="H459" s="13"/>
    </row>
    <row r="460" spans="1:8" x14ac:dyDescent="0.3">
      <c r="A460" s="11"/>
      <c r="B460" s="8"/>
      <c r="C460" s="7" t="str">
        <f>IF(B460="","",IFERROR(INDEX(Reactivos!$D$2:$D$435,MATCH(B460,Reactivos!$A$2:$A$435,0)),"ID no existe"))</f>
        <v/>
      </c>
      <c r="D460" s="8"/>
      <c r="E460" s="7" t="str">
        <f>IF(B460="","",IFERROR(INDEX(Reactivos!$H$2:$H$435,MATCH(B460,Reactivos!$A$2:$A$435,0)),""))</f>
        <v/>
      </c>
      <c r="F460" s="8"/>
      <c r="G460" s="8"/>
      <c r="H460" s="13"/>
    </row>
    <row r="461" spans="1:8" x14ac:dyDescent="0.3">
      <c r="A461" s="11"/>
      <c r="B461" s="8"/>
      <c r="C461" s="7" t="str">
        <f>IF(B461="","",IFERROR(INDEX(Reactivos!$D$2:$D$435,MATCH(B461,Reactivos!$A$2:$A$435,0)),"ID no existe"))</f>
        <v/>
      </c>
      <c r="D461" s="8"/>
      <c r="E461" s="7" t="str">
        <f>IF(B461="","",IFERROR(INDEX(Reactivos!$H$2:$H$435,MATCH(B461,Reactivos!$A$2:$A$435,0)),""))</f>
        <v/>
      </c>
      <c r="F461" s="8"/>
      <c r="G461" s="8"/>
      <c r="H461" s="13"/>
    </row>
    <row r="462" spans="1:8" x14ac:dyDescent="0.3">
      <c r="A462" s="11"/>
      <c r="B462" s="8"/>
      <c r="C462" s="7" t="str">
        <f>IF(B462="","",IFERROR(INDEX(Reactivos!$D$2:$D$435,MATCH(B462,Reactivos!$A$2:$A$435,0)),"ID no existe"))</f>
        <v/>
      </c>
      <c r="D462" s="8"/>
      <c r="E462" s="7" t="str">
        <f>IF(B462="","",IFERROR(INDEX(Reactivos!$H$2:$H$435,MATCH(B462,Reactivos!$A$2:$A$435,0)),""))</f>
        <v/>
      </c>
      <c r="F462" s="8"/>
      <c r="G462" s="8"/>
      <c r="H462" s="13"/>
    </row>
    <row r="463" spans="1:8" x14ac:dyDescent="0.3">
      <c r="A463" s="11"/>
      <c r="B463" s="8"/>
      <c r="C463" s="7" t="str">
        <f>IF(B463="","",IFERROR(INDEX(Reactivos!$D$2:$D$435,MATCH(B463,Reactivos!$A$2:$A$435,0)),"ID no existe"))</f>
        <v/>
      </c>
      <c r="D463" s="8"/>
      <c r="E463" s="7" t="str">
        <f>IF(B463="","",IFERROR(INDEX(Reactivos!$H$2:$H$435,MATCH(B463,Reactivos!$A$2:$A$435,0)),""))</f>
        <v/>
      </c>
      <c r="F463" s="8"/>
      <c r="G463" s="8"/>
      <c r="H463" s="13"/>
    </row>
    <row r="464" spans="1:8" x14ac:dyDescent="0.3">
      <c r="A464" s="11"/>
      <c r="B464" s="8"/>
      <c r="C464" s="7" t="str">
        <f>IF(B464="","",IFERROR(INDEX(Reactivos!$D$2:$D$435,MATCH(B464,Reactivos!$A$2:$A$435,0)),"ID no existe"))</f>
        <v/>
      </c>
      <c r="D464" s="8"/>
      <c r="E464" s="7" t="str">
        <f>IF(B464="","",IFERROR(INDEX(Reactivos!$H$2:$H$435,MATCH(B464,Reactivos!$A$2:$A$435,0)),""))</f>
        <v/>
      </c>
      <c r="F464" s="8"/>
      <c r="G464" s="8"/>
      <c r="H464" s="13"/>
    </row>
    <row r="465" spans="1:8" x14ac:dyDescent="0.3">
      <c r="A465" s="11"/>
      <c r="B465" s="8"/>
      <c r="C465" s="7" t="str">
        <f>IF(B465="","",IFERROR(INDEX(Reactivos!$D$2:$D$435,MATCH(B465,Reactivos!$A$2:$A$435,0)),"ID no existe"))</f>
        <v/>
      </c>
      <c r="D465" s="8"/>
      <c r="E465" s="7" t="str">
        <f>IF(B465="","",IFERROR(INDEX(Reactivos!$H$2:$H$435,MATCH(B465,Reactivos!$A$2:$A$435,0)),""))</f>
        <v/>
      </c>
      <c r="F465" s="8"/>
      <c r="G465" s="8"/>
      <c r="H465" s="13"/>
    </row>
    <row r="466" spans="1:8" x14ac:dyDescent="0.3">
      <c r="A466" s="11"/>
      <c r="B466" s="8"/>
      <c r="C466" s="7" t="str">
        <f>IF(B466="","",IFERROR(INDEX(Reactivos!$D$2:$D$435,MATCH(B466,Reactivos!$A$2:$A$435,0)),"ID no existe"))</f>
        <v/>
      </c>
      <c r="D466" s="8"/>
      <c r="E466" s="7" t="str">
        <f>IF(B466="","",IFERROR(INDEX(Reactivos!$H$2:$H$435,MATCH(B466,Reactivos!$A$2:$A$435,0)),""))</f>
        <v/>
      </c>
      <c r="F466" s="8"/>
      <c r="G466" s="8"/>
      <c r="H466" s="13"/>
    </row>
    <row r="467" spans="1:8" x14ac:dyDescent="0.3">
      <c r="A467" s="11"/>
      <c r="B467" s="8"/>
      <c r="C467" s="7" t="str">
        <f>IF(B467="","",IFERROR(INDEX(Reactivos!$D$2:$D$435,MATCH(B467,Reactivos!$A$2:$A$435,0)),"ID no existe"))</f>
        <v/>
      </c>
      <c r="D467" s="8"/>
      <c r="E467" s="7" t="str">
        <f>IF(B467="","",IFERROR(INDEX(Reactivos!$H$2:$H$435,MATCH(B467,Reactivos!$A$2:$A$435,0)),""))</f>
        <v/>
      </c>
      <c r="F467" s="8"/>
      <c r="G467" s="8"/>
      <c r="H467" s="13"/>
    </row>
    <row r="468" spans="1:8" x14ac:dyDescent="0.3">
      <c r="A468" s="11"/>
      <c r="B468" s="8"/>
      <c r="C468" s="7" t="str">
        <f>IF(B468="","",IFERROR(INDEX(Reactivos!$D$2:$D$435,MATCH(B468,Reactivos!$A$2:$A$435,0)),"ID no existe"))</f>
        <v/>
      </c>
      <c r="D468" s="8"/>
      <c r="E468" s="7" t="str">
        <f>IF(B468="","",IFERROR(INDEX(Reactivos!$H$2:$H$435,MATCH(B468,Reactivos!$A$2:$A$435,0)),""))</f>
        <v/>
      </c>
      <c r="F468" s="8"/>
      <c r="G468" s="8"/>
      <c r="H468" s="13"/>
    </row>
    <row r="469" spans="1:8" x14ac:dyDescent="0.3">
      <c r="A469" s="11"/>
      <c r="B469" s="8"/>
      <c r="C469" s="7" t="str">
        <f>IF(B469="","",IFERROR(INDEX(Reactivos!$D$2:$D$435,MATCH(B469,Reactivos!$A$2:$A$435,0)),"ID no existe"))</f>
        <v/>
      </c>
      <c r="D469" s="8"/>
      <c r="E469" s="7" t="str">
        <f>IF(B469="","",IFERROR(INDEX(Reactivos!$H$2:$H$435,MATCH(B469,Reactivos!$A$2:$A$435,0)),""))</f>
        <v/>
      </c>
      <c r="F469" s="8"/>
      <c r="G469" s="8"/>
      <c r="H469" s="13"/>
    </row>
    <row r="470" spans="1:8" x14ac:dyDescent="0.3">
      <c r="A470" s="11"/>
      <c r="B470" s="8"/>
      <c r="C470" s="7" t="str">
        <f>IF(B470="","",IFERROR(INDEX(Reactivos!$D$2:$D$435,MATCH(B470,Reactivos!$A$2:$A$435,0)),"ID no existe"))</f>
        <v/>
      </c>
      <c r="D470" s="8"/>
      <c r="E470" s="7" t="str">
        <f>IF(B470="","",IFERROR(INDEX(Reactivos!$H$2:$H$435,MATCH(B470,Reactivos!$A$2:$A$435,0)),""))</f>
        <v/>
      </c>
      <c r="F470" s="8"/>
      <c r="G470" s="8"/>
      <c r="H470" s="13"/>
    </row>
    <row r="471" spans="1:8" x14ac:dyDescent="0.3">
      <c r="A471" s="11"/>
      <c r="B471" s="8"/>
      <c r="C471" s="7" t="str">
        <f>IF(B471="","",IFERROR(INDEX(Reactivos!$D$2:$D$435,MATCH(B471,Reactivos!$A$2:$A$435,0)),"ID no existe"))</f>
        <v/>
      </c>
      <c r="D471" s="8"/>
      <c r="E471" s="7" t="str">
        <f>IF(B471="","",IFERROR(INDEX(Reactivos!$H$2:$H$435,MATCH(B471,Reactivos!$A$2:$A$435,0)),""))</f>
        <v/>
      </c>
      <c r="F471" s="8"/>
      <c r="G471" s="8"/>
      <c r="H471" s="13"/>
    </row>
    <row r="472" spans="1:8" x14ac:dyDescent="0.3">
      <c r="A472" s="11"/>
      <c r="B472" s="8"/>
      <c r="C472" s="7" t="str">
        <f>IF(B472="","",IFERROR(INDEX(Reactivos!$D$2:$D$435,MATCH(B472,Reactivos!$A$2:$A$435,0)),"ID no existe"))</f>
        <v/>
      </c>
      <c r="D472" s="8"/>
      <c r="E472" s="7" t="str">
        <f>IF(B472="","",IFERROR(INDEX(Reactivos!$H$2:$H$435,MATCH(B472,Reactivos!$A$2:$A$435,0)),""))</f>
        <v/>
      </c>
      <c r="F472" s="8"/>
      <c r="G472" s="8"/>
      <c r="H472" s="13"/>
    </row>
    <row r="473" spans="1:8" x14ac:dyDescent="0.3">
      <c r="A473" s="11"/>
      <c r="B473" s="8"/>
      <c r="C473" s="7" t="str">
        <f>IF(B473="","",IFERROR(INDEX(Reactivos!$D$2:$D$435,MATCH(B473,Reactivos!$A$2:$A$435,0)),"ID no existe"))</f>
        <v/>
      </c>
      <c r="D473" s="8"/>
      <c r="E473" s="7" t="str">
        <f>IF(B473="","",IFERROR(INDEX(Reactivos!$H$2:$H$435,MATCH(B473,Reactivos!$A$2:$A$435,0)),""))</f>
        <v/>
      </c>
      <c r="F473" s="8"/>
      <c r="G473" s="8"/>
      <c r="H473" s="13"/>
    </row>
    <row r="474" spans="1:8" x14ac:dyDescent="0.3">
      <c r="A474" s="11"/>
      <c r="B474" s="8"/>
      <c r="C474" s="7" t="str">
        <f>IF(B474="","",IFERROR(INDEX(Reactivos!$D$2:$D$435,MATCH(B474,Reactivos!$A$2:$A$435,0)),"ID no existe"))</f>
        <v/>
      </c>
      <c r="D474" s="8"/>
      <c r="E474" s="7" t="str">
        <f>IF(B474="","",IFERROR(INDEX(Reactivos!$H$2:$H$435,MATCH(B474,Reactivos!$A$2:$A$435,0)),""))</f>
        <v/>
      </c>
      <c r="F474" s="8"/>
      <c r="G474" s="8"/>
      <c r="H474" s="13"/>
    </row>
    <row r="475" spans="1:8" x14ac:dyDescent="0.3">
      <c r="A475" s="11"/>
      <c r="B475" s="8"/>
      <c r="C475" s="7" t="str">
        <f>IF(B475="","",IFERROR(INDEX(Reactivos!$D$2:$D$435,MATCH(B475,Reactivos!$A$2:$A$435,0)),"ID no existe"))</f>
        <v/>
      </c>
      <c r="D475" s="8"/>
      <c r="E475" s="7" t="str">
        <f>IF(B475="","",IFERROR(INDEX(Reactivos!$H$2:$H$435,MATCH(B475,Reactivos!$A$2:$A$435,0)),""))</f>
        <v/>
      </c>
      <c r="F475" s="8"/>
      <c r="G475" s="8"/>
      <c r="H475" s="13"/>
    </row>
    <row r="476" spans="1:8" x14ac:dyDescent="0.3">
      <c r="A476" s="11"/>
      <c r="B476" s="8"/>
      <c r="C476" s="7" t="str">
        <f>IF(B476="","",IFERROR(INDEX(Reactivos!$D$2:$D$435,MATCH(B476,Reactivos!$A$2:$A$435,0)),"ID no existe"))</f>
        <v/>
      </c>
      <c r="D476" s="8"/>
      <c r="E476" s="7" t="str">
        <f>IF(B476="","",IFERROR(INDEX(Reactivos!$H$2:$H$435,MATCH(B476,Reactivos!$A$2:$A$435,0)),""))</f>
        <v/>
      </c>
      <c r="F476" s="8"/>
      <c r="G476" s="8"/>
      <c r="H476" s="13"/>
    </row>
    <row r="477" spans="1:8" x14ac:dyDescent="0.3">
      <c r="A477" s="11"/>
      <c r="B477" s="8"/>
      <c r="C477" s="7" t="str">
        <f>IF(B477="","",IFERROR(INDEX(Reactivos!$D$2:$D$435,MATCH(B477,Reactivos!$A$2:$A$435,0)),"ID no existe"))</f>
        <v/>
      </c>
      <c r="D477" s="8"/>
      <c r="E477" s="7" t="str">
        <f>IF(B477="","",IFERROR(INDEX(Reactivos!$H$2:$H$435,MATCH(B477,Reactivos!$A$2:$A$435,0)),""))</f>
        <v/>
      </c>
      <c r="F477" s="8"/>
      <c r="G477" s="8"/>
      <c r="H477" s="13"/>
    </row>
    <row r="478" spans="1:8" x14ac:dyDescent="0.3">
      <c r="A478" s="11"/>
      <c r="B478" s="8"/>
      <c r="C478" s="7" t="str">
        <f>IF(B478="","",IFERROR(INDEX(Reactivos!$D$2:$D$435,MATCH(B478,Reactivos!$A$2:$A$435,0)),"ID no existe"))</f>
        <v/>
      </c>
      <c r="D478" s="8"/>
      <c r="E478" s="7" t="str">
        <f>IF(B478="","",IFERROR(INDEX(Reactivos!$H$2:$H$435,MATCH(B478,Reactivos!$A$2:$A$435,0)),""))</f>
        <v/>
      </c>
      <c r="F478" s="8"/>
      <c r="G478" s="8"/>
      <c r="H478" s="13"/>
    </row>
    <row r="479" spans="1:8" x14ac:dyDescent="0.3">
      <c r="A479" s="11"/>
      <c r="B479" s="8"/>
      <c r="C479" s="7" t="str">
        <f>IF(B479="","",IFERROR(INDEX(Reactivos!$D$2:$D$435,MATCH(B479,Reactivos!$A$2:$A$435,0)),"ID no existe"))</f>
        <v/>
      </c>
      <c r="D479" s="8"/>
      <c r="E479" s="7" t="str">
        <f>IF(B479="","",IFERROR(INDEX(Reactivos!$H$2:$H$435,MATCH(B479,Reactivos!$A$2:$A$435,0)),""))</f>
        <v/>
      </c>
      <c r="F479" s="8"/>
      <c r="G479" s="8"/>
      <c r="H479" s="13"/>
    </row>
    <row r="480" spans="1:8" x14ac:dyDescent="0.3">
      <c r="A480" s="11"/>
      <c r="B480" s="8"/>
      <c r="C480" s="7" t="str">
        <f>IF(B480="","",IFERROR(INDEX(Reactivos!$D$2:$D$435,MATCH(B480,Reactivos!$A$2:$A$435,0)),"ID no existe"))</f>
        <v/>
      </c>
      <c r="D480" s="8"/>
      <c r="E480" s="7" t="str">
        <f>IF(B480="","",IFERROR(INDEX(Reactivos!$H$2:$H$435,MATCH(B480,Reactivos!$A$2:$A$435,0)),""))</f>
        <v/>
      </c>
      <c r="F480" s="8"/>
      <c r="G480" s="8"/>
      <c r="H480" s="13"/>
    </row>
    <row r="481" spans="1:8" x14ac:dyDescent="0.3">
      <c r="A481" s="11"/>
      <c r="B481" s="8"/>
      <c r="C481" s="7" t="str">
        <f>IF(B481="","",IFERROR(INDEX(Reactivos!$D$2:$D$435,MATCH(B481,Reactivos!$A$2:$A$435,0)),"ID no existe"))</f>
        <v/>
      </c>
      <c r="D481" s="8"/>
      <c r="E481" s="7" t="str">
        <f>IF(B481="","",IFERROR(INDEX(Reactivos!$H$2:$H$435,MATCH(B481,Reactivos!$A$2:$A$435,0)),""))</f>
        <v/>
      </c>
      <c r="F481" s="8"/>
      <c r="G481" s="8"/>
      <c r="H481" s="13"/>
    </row>
    <row r="482" spans="1:8" x14ac:dyDescent="0.3">
      <c r="A482" s="11"/>
      <c r="B482" s="8"/>
      <c r="C482" s="7" t="str">
        <f>IF(B482="","",IFERROR(INDEX(Reactivos!$D$2:$D$435,MATCH(B482,Reactivos!$A$2:$A$435,0)),"ID no existe"))</f>
        <v/>
      </c>
      <c r="D482" s="8"/>
      <c r="E482" s="7" t="str">
        <f>IF(B482="","",IFERROR(INDEX(Reactivos!$H$2:$H$435,MATCH(B482,Reactivos!$A$2:$A$435,0)),""))</f>
        <v/>
      </c>
      <c r="F482" s="8"/>
      <c r="G482" s="8"/>
      <c r="H482" s="13"/>
    </row>
    <row r="483" spans="1:8" x14ac:dyDescent="0.3">
      <c r="A483" s="11"/>
      <c r="B483" s="8"/>
      <c r="C483" s="7" t="str">
        <f>IF(B483="","",IFERROR(INDEX(Reactivos!$D$2:$D$435,MATCH(B483,Reactivos!$A$2:$A$435,0)),"ID no existe"))</f>
        <v/>
      </c>
      <c r="D483" s="8"/>
      <c r="E483" s="7" t="str">
        <f>IF(B483="","",IFERROR(INDEX(Reactivos!$H$2:$H$435,MATCH(B483,Reactivos!$A$2:$A$435,0)),""))</f>
        <v/>
      </c>
      <c r="F483" s="8"/>
      <c r="G483" s="8"/>
      <c r="H483" s="13"/>
    </row>
    <row r="484" spans="1:8" x14ac:dyDescent="0.3">
      <c r="A484" s="11"/>
      <c r="B484" s="8"/>
      <c r="C484" s="7" t="str">
        <f>IF(B484="","",IFERROR(INDEX(Reactivos!$D$2:$D$435,MATCH(B484,Reactivos!$A$2:$A$435,0)),"ID no existe"))</f>
        <v/>
      </c>
      <c r="D484" s="8"/>
      <c r="E484" s="7" t="str">
        <f>IF(B484="","",IFERROR(INDEX(Reactivos!$H$2:$H$435,MATCH(B484,Reactivos!$A$2:$A$435,0)),""))</f>
        <v/>
      </c>
      <c r="F484" s="8"/>
      <c r="G484" s="8"/>
      <c r="H484" s="13"/>
    </row>
    <row r="485" spans="1:8" x14ac:dyDescent="0.3">
      <c r="A485" s="11"/>
      <c r="B485" s="8"/>
      <c r="C485" s="7" t="str">
        <f>IF(B485="","",IFERROR(INDEX(Reactivos!$D$2:$D$435,MATCH(B485,Reactivos!$A$2:$A$435,0)),"ID no existe"))</f>
        <v/>
      </c>
      <c r="D485" s="8"/>
      <c r="E485" s="7" t="str">
        <f>IF(B485="","",IFERROR(INDEX(Reactivos!$H$2:$H$435,MATCH(B485,Reactivos!$A$2:$A$435,0)),""))</f>
        <v/>
      </c>
      <c r="F485" s="8"/>
      <c r="G485" s="8"/>
      <c r="H485" s="13"/>
    </row>
    <row r="486" spans="1:8" x14ac:dyDescent="0.3">
      <c r="A486" s="11"/>
      <c r="B486" s="8"/>
      <c r="C486" s="7" t="str">
        <f>IF(B486="","",IFERROR(INDEX(Reactivos!$D$2:$D$435,MATCH(B486,Reactivos!$A$2:$A$435,0)),"ID no existe"))</f>
        <v/>
      </c>
      <c r="D486" s="8"/>
      <c r="E486" s="7" t="str">
        <f>IF(B486="","",IFERROR(INDEX(Reactivos!$H$2:$H$435,MATCH(B486,Reactivos!$A$2:$A$435,0)),""))</f>
        <v/>
      </c>
      <c r="F486" s="8"/>
      <c r="G486" s="8"/>
      <c r="H486" s="13"/>
    </row>
    <row r="487" spans="1:8" x14ac:dyDescent="0.3">
      <c r="A487" s="11"/>
      <c r="B487" s="8"/>
      <c r="C487" s="7" t="str">
        <f>IF(B487="","",IFERROR(INDEX(Reactivos!$D$2:$D$435,MATCH(B487,Reactivos!$A$2:$A$435,0)),"ID no existe"))</f>
        <v/>
      </c>
      <c r="D487" s="8"/>
      <c r="E487" s="7" t="str">
        <f>IF(B487="","",IFERROR(INDEX(Reactivos!$H$2:$H$435,MATCH(B487,Reactivos!$A$2:$A$435,0)),""))</f>
        <v/>
      </c>
      <c r="F487" s="8"/>
      <c r="G487" s="8"/>
      <c r="H487" s="13"/>
    </row>
    <row r="488" spans="1:8" x14ac:dyDescent="0.3">
      <c r="A488" s="11"/>
      <c r="B488" s="8"/>
      <c r="C488" s="7" t="str">
        <f>IF(B488="","",IFERROR(INDEX(Reactivos!$D$2:$D$435,MATCH(B488,Reactivos!$A$2:$A$435,0)),"ID no existe"))</f>
        <v/>
      </c>
      <c r="D488" s="8"/>
      <c r="E488" s="7" t="str">
        <f>IF(B488="","",IFERROR(INDEX(Reactivos!$H$2:$H$435,MATCH(B488,Reactivos!$A$2:$A$435,0)),""))</f>
        <v/>
      </c>
      <c r="F488" s="8"/>
      <c r="G488" s="8"/>
      <c r="H488" s="13"/>
    </row>
    <row r="489" spans="1:8" x14ac:dyDescent="0.3">
      <c r="A489" s="11"/>
      <c r="B489" s="8"/>
      <c r="C489" s="7" t="str">
        <f>IF(B489="","",IFERROR(INDEX(Reactivos!$D$2:$D$435,MATCH(B489,Reactivos!$A$2:$A$435,0)),"ID no existe"))</f>
        <v/>
      </c>
      <c r="D489" s="8"/>
      <c r="E489" s="7" t="str">
        <f>IF(B489="","",IFERROR(INDEX(Reactivos!$H$2:$H$435,MATCH(B489,Reactivos!$A$2:$A$435,0)),""))</f>
        <v/>
      </c>
      <c r="F489" s="8"/>
      <c r="G489" s="8"/>
      <c r="H489" s="13"/>
    </row>
    <row r="490" spans="1:8" x14ac:dyDescent="0.3">
      <c r="A490" s="11"/>
      <c r="B490" s="8"/>
      <c r="C490" s="7" t="str">
        <f>IF(B490="","",IFERROR(INDEX(Reactivos!$D$2:$D$435,MATCH(B490,Reactivos!$A$2:$A$435,0)),"ID no existe"))</f>
        <v/>
      </c>
      <c r="D490" s="8"/>
      <c r="E490" s="7" t="str">
        <f>IF(B490="","",IFERROR(INDEX(Reactivos!$H$2:$H$435,MATCH(B490,Reactivos!$A$2:$A$435,0)),""))</f>
        <v/>
      </c>
      <c r="F490" s="8"/>
      <c r="G490" s="8"/>
      <c r="H490" s="13"/>
    </row>
    <row r="491" spans="1:8" x14ac:dyDescent="0.3">
      <c r="A491" s="11"/>
      <c r="B491" s="8"/>
      <c r="C491" s="7" t="str">
        <f>IF(B491="","",IFERROR(INDEX(Reactivos!$D$2:$D$435,MATCH(B491,Reactivos!$A$2:$A$435,0)),"ID no existe"))</f>
        <v/>
      </c>
      <c r="D491" s="8"/>
      <c r="E491" s="7" t="str">
        <f>IF(B491="","",IFERROR(INDEX(Reactivos!$H$2:$H$435,MATCH(B491,Reactivos!$A$2:$A$435,0)),""))</f>
        <v/>
      </c>
      <c r="F491" s="8"/>
      <c r="G491" s="8"/>
      <c r="H491" s="13"/>
    </row>
    <row r="492" spans="1:8" x14ac:dyDescent="0.3">
      <c r="A492" s="11"/>
      <c r="B492" s="8"/>
      <c r="C492" s="7" t="str">
        <f>IF(B492="","",IFERROR(INDEX(Reactivos!$D$2:$D$435,MATCH(B492,Reactivos!$A$2:$A$435,0)),"ID no existe"))</f>
        <v/>
      </c>
      <c r="D492" s="8"/>
      <c r="E492" s="7" t="str">
        <f>IF(B492="","",IFERROR(INDEX(Reactivos!$H$2:$H$435,MATCH(B492,Reactivos!$A$2:$A$435,0)),""))</f>
        <v/>
      </c>
      <c r="F492" s="8"/>
      <c r="G492" s="8"/>
      <c r="H492" s="13"/>
    </row>
    <row r="493" spans="1:8" x14ac:dyDescent="0.3">
      <c r="A493" s="11"/>
      <c r="B493" s="8"/>
      <c r="C493" s="7" t="str">
        <f>IF(B493="","",IFERROR(INDEX(Reactivos!$D$2:$D$435,MATCH(B493,Reactivos!$A$2:$A$435,0)),"ID no existe"))</f>
        <v/>
      </c>
      <c r="D493" s="8"/>
      <c r="E493" s="7" t="str">
        <f>IF(B493="","",IFERROR(INDEX(Reactivos!$H$2:$H$435,MATCH(B493,Reactivos!$A$2:$A$435,0)),""))</f>
        <v/>
      </c>
      <c r="F493" s="8"/>
      <c r="G493" s="8"/>
      <c r="H493" s="13"/>
    </row>
    <row r="494" spans="1:8" x14ac:dyDescent="0.3">
      <c r="A494" s="11"/>
      <c r="B494" s="8"/>
      <c r="C494" s="7" t="str">
        <f>IF(B494="","",IFERROR(INDEX(Reactivos!$D$2:$D$435,MATCH(B494,Reactivos!$A$2:$A$435,0)),"ID no existe"))</f>
        <v/>
      </c>
      <c r="D494" s="8"/>
      <c r="E494" s="7" t="str">
        <f>IF(B494="","",IFERROR(INDEX(Reactivos!$H$2:$H$435,MATCH(B494,Reactivos!$A$2:$A$435,0)),""))</f>
        <v/>
      </c>
      <c r="F494" s="8"/>
      <c r="G494" s="8"/>
      <c r="H494" s="13"/>
    </row>
    <row r="495" spans="1:8" x14ac:dyDescent="0.3">
      <c r="A495" s="11"/>
      <c r="B495" s="8"/>
      <c r="C495" s="7" t="str">
        <f>IF(B495="","",IFERROR(INDEX(Reactivos!$D$2:$D$435,MATCH(B495,Reactivos!$A$2:$A$435,0)),"ID no existe"))</f>
        <v/>
      </c>
      <c r="D495" s="8"/>
      <c r="E495" s="7" t="str">
        <f>IF(B495="","",IFERROR(INDEX(Reactivos!$H$2:$H$435,MATCH(B495,Reactivos!$A$2:$A$435,0)),""))</f>
        <v/>
      </c>
      <c r="F495" s="8"/>
      <c r="G495" s="8"/>
      <c r="H495" s="13"/>
    </row>
    <row r="496" spans="1:8" x14ac:dyDescent="0.3">
      <c r="A496" s="11"/>
      <c r="B496" s="8"/>
      <c r="C496" s="7" t="str">
        <f>IF(B496="","",IFERROR(INDEX(Reactivos!$D$2:$D$435,MATCH(B496,Reactivos!$A$2:$A$435,0)),"ID no existe"))</f>
        <v/>
      </c>
      <c r="D496" s="8"/>
      <c r="E496" s="7" t="str">
        <f>IF(B496="","",IFERROR(INDEX(Reactivos!$H$2:$H$435,MATCH(B496,Reactivos!$A$2:$A$435,0)),""))</f>
        <v/>
      </c>
      <c r="F496" s="8"/>
      <c r="G496" s="8"/>
      <c r="H496" s="13"/>
    </row>
    <row r="497" spans="1:8" x14ac:dyDescent="0.3">
      <c r="A497" s="11"/>
      <c r="B497" s="8"/>
      <c r="C497" s="7" t="str">
        <f>IF(B497="","",IFERROR(INDEX(Reactivos!$D$2:$D$435,MATCH(B497,Reactivos!$A$2:$A$435,0)),"ID no existe"))</f>
        <v/>
      </c>
      <c r="D497" s="8"/>
      <c r="E497" s="7" t="str">
        <f>IF(B497="","",IFERROR(INDEX(Reactivos!$H$2:$H$435,MATCH(B497,Reactivos!$A$2:$A$435,0)),""))</f>
        <v/>
      </c>
      <c r="F497" s="8"/>
      <c r="G497" s="8"/>
      <c r="H497" s="13"/>
    </row>
    <row r="498" spans="1:8" x14ac:dyDescent="0.3">
      <c r="A498" s="11"/>
      <c r="B498" s="8"/>
      <c r="C498" s="7" t="str">
        <f>IF(B498="","",IFERROR(INDEX(Reactivos!$D$2:$D$435,MATCH(B498,Reactivos!$A$2:$A$435,0)),"ID no existe"))</f>
        <v/>
      </c>
      <c r="D498" s="8"/>
      <c r="E498" s="7" t="str">
        <f>IF(B498="","",IFERROR(INDEX(Reactivos!$H$2:$H$435,MATCH(B498,Reactivos!$A$2:$A$435,0)),""))</f>
        <v/>
      </c>
      <c r="F498" s="8"/>
      <c r="G498" s="8"/>
      <c r="H498" s="13"/>
    </row>
    <row r="499" spans="1:8" x14ac:dyDescent="0.3">
      <c r="A499" s="11"/>
      <c r="B499" s="8"/>
      <c r="C499" s="7" t="str">
        <f>IF(B499="","",IFERROR(INDEX(Reactivos!$D$2:$D$435,MATCH(B499,Reactivos!$A$2:$A$435,0)),"ID no existe"))</f>
        <v/>
      </c>
      <c r="D499" s="8"/>
      <c r="E499" s="7" t="str">
        <f>IF(B499="","",IFERROR(INDEX(Reactivos!$H$2:$H$435,MATCH(B499,Reactivos!$A$2:$A$435,0)),""))</f>
        <v/>
      </c>
      <c r="F499" s="8"/>
      <c r="G499" s="8"/>
      <c r="H499" s="13"/>
    </row>
    <row r="500" spans="1:8" x14ac:dyDescent="0.3">
      <c r="A500" s="11"/>
      <c r="B500" s="8"/>
      <c r="C500" s="7" t="str">
        <f>IF(B500="","",IFERROR(INDEX(Reactivos!$D$2:$D$435,MATCH(B500,Reactivos!$A$2:$A$435,0)),"ID no existe"))</f>
        <v/>
      </c>
      <c r="D500" s="8"/>
      <c r="E500" s="7" t="str">
        <f>IF(B500="","",IFERROR(INDEX(Reactivos!$H$2:$H$435,MATCH(B500,Reactivos!$A$2:$A$435,0)),""))</f>
        <v/>
      </c>
      <c r="F500" s="8"/>
      <c r="G500" s="8"/>
      <c r="H500" s="13"/>
    </row>
    <row r="501" spans="1:8" x14ac:dyDescent="0.3">
      <c r="A501" s="11"/>
      <c r="B501" s="8"/>
      <c r="C501" s="7" t="str">
        <f>IF(B501="","",IFERROR(INDEX(Reactivos!$D$2:$D$435,MATCH(B501,Reactivos!$A$2:$A$435,0)),"ID no existe"))</f>
        <v/>
      </c>
      <c r="D501" s="8"/>
      <c r="E501" s="7" t="str">
        <f>IF(B501="","",IFERROR(INDEX(Reactivos!$H$2:$H$435,MATCH(B501,Reactivos!$A$2:$A$435,0)),""))</f>
        <v/>
      </c>
      <c r="F501" s="8"/>
      <c r="G501" s="8"/>
      <c r="H501" s="13"/>
    </row>
    <row r="502" spans="1:8" x14ac:dyDescent="0.3">
      <c r="A502" s="11"/>
      <c r="B502" s="8"/>
      <c r="C502" s="7" t="str">
        <f>IF(B502="","",IFERROR(INDEX(Reactivos!$D$2:$D$435,MATCH(B502,Reactivos!$A$2:$A$435,0)),"ID no existe"))</f>
        <v/>
      </c>
      <c r="D502" s="8"/>
      <c r="E502" s="7" t="str">
        <f>IF(B502="","",IFERROR(INDEX(Reactivos!$H$2:$H$435,MATCH(B502,Reactivos!$A$2:$A$435,0)),""))</f>
        <v/>
      </c>
      <c r="F502" s="8"/>
      <c r="G502" s="8"/>
      <c r="H502" s="13"/>
    </row>
    <row r="503" spans="1:8" x14ac:dyDescent="0.3">
      <c r="A503" s="11"/>
      <c r="B503" s="8"/>
      <c r="C503" s="7" t="str">
        <f>IF(B503="","",IFERROR(INDEX(Reactivos!$D$2:$D$435,MATCH(B503,Reactivos!$A$2:$A$435,0)),"ID no existe"))</f>
        <v/>
      </c>
      <c r="D503" s="8"/>
      <c r="E503" s="7" t="str">
        <f>IF(B503="","",IFERROR(INDEX(Reactivos!$H$2:$H$435,MATCH(B503,Reactivos!$A$2:$A$435,0)),""))</f>
        <v/>
      </c>
      <c r="F503" s="8"/>
      <c r="G503" s="8"/>
      <c r="H503" s="13"/>
    </row>
    <row r="504" spans="1:8" x14ac:dyDescent="0.3">
      <c r="A504" s="11"/>
      <c r="B504" s="8"/>
      <c r="C504" s="7" t="str">
        <f>IF(B504="","",IFERROR(INDEX(Reactivos!$D$2:$D$435,MATCH(B504,Reactivos!$A$2:$A$435,0)),"ID no existe"))</f>
        <v/>
      </c>
      <c r="D504" s="8"/>
      <c r="E504" s="7" t="str">
        <f>IF(B504="","",IFERROR(INDEX(Reactivos!$H$2:$H$435,MATCH(B504,Reactivos!$A$2:$A$435,0)),""))</f>
        <v/>
      </c>
      <c r="F504" s="8"/>
      <c r="G504" s="8"/>
      <c r="H504" s="13"/>
    </row>
    <row r="505" spans="1:8" x14ac:dyDescent="0.3">
      <c r="A505" s="11"/>
      <c r="B505" s="8"/>
      <c r="C505" s="7" t="str">
        <f>IF(B505="","",IFERROR(INDEX(Reactivos!$D$2:$D$435,MATCH(B505,Reactivos!$A$2:$A$435,0)),"ID no existe"))</f>
        <v/>
      </c>
      <c r="D505" s="8"/>
      <c r="E505" s="7" t="str">
        <f>IF(B505="","",IFERROR(INDEX(Reactivos!$H$2:$H$435,MATCH(B505,Reactivos!$A$2:$A$435,0)),""))</f>
        <v/>
      </c>
      <c r="F505" s="8"/>
      <c r="G505" s="8"/>
      <c r="H505" s="13"/>
    </row>
    <row r="506" spans="1:8" x14ac:dyDescent="0.3">
      <c r="A506" s="11"/>
      <c r="B506" s="8"/>
      <c r="C506" s="7" t="str">
        <f>IF(B506="","",IFERROR(INDEX(Reactivos!$D$2:$D$435,MATCH(B506,Reactivos!$A$2:$A$435,0)),"ID no existe"))</f>
        <v/>
      </c>
      <c r="D506" s="8"/>
      <c r="E506" s="7" t="str">
        <f>IF(B506="","",IFERROR(INDEX(Reactivos!$H$2:$H$435,MATCH(B506,Reactivos!$A$2:$A$435,0)),""))</f>
        <v/>
      </c>
      <c r="F506" s="8"/>
      <c r="G506" s="8"/>
      <c r="H506" s="13"/>
    </row>
    <row r="507" spans="1:8" x14ac:dyDescent="0.3">
      <c r="A507" s="11"/>
      <c r="B507" s="8"/>
      <c r="C507" s="7" t="str">
        <f>IF(B507="","",IFERROR(INDEX(Reactivos!$D$2:$D$435,MATCH(B507,Reactivos!$A$2:$A$435,0)),"ID no existe"))</f>
        <v/>
      </c>
      <c r="D507" s="8"/>
      <c r="E507" s="7" t="str">
        <f>IF(B507="","",IFERROR(INDEX(Reactivos!$H$2:$H$435,MATCH(B507,Reactivos!$A$2:$A$435,0)),""))</f>
        <v/>
      </c>
      <c r="F507" s="8"/>
      <c r="G507" s="8"/>
      <c r="H507" s="13"/>
    </row>
    <row r="508" spans="1:8" x14ac:dyDescent="0.3">
      <c r="A508" s="11"/>
      <c r="B508" s="8"/>
      <c r="C508" s="7" t="str">
        <f>IF(B508="","",IFERROR(INDEX(Reactivos!$D$2:$D$435,MATCH(B508,Reactivos!$A$2:$A$435,0)),"ID no existe"))</f>
        <v/>
      </c>
      <c r="D508" s="8"/>
      <c r="E508" s="7" t="str">
        <f>IF(B508="","",IFERROR(INDEX(Reactivos!$H$2:$H$435,MATCH(B508,Reactivos!$A$2:$A$435,0)),""))</f>
        <v/>
      </c>
      <c r="F508" s="8"/>
      <c r="G508" s="8"/>
      <c r="H508" s="13"/>
    </row>
    <row r="509" spans="1:8" x14ac:dyDescent="0.3">
      <c r="A509" s="11"/>
      <c r="B509" s="8"/>
      <c r="C509" s="7" t="str">
        <f>IF(B509="","",IFERROR(INDEX(Reactivos!$D$2:$D$435,MATCH(B509,Reactivos!$A$2:$A$435,0)),"ID no existe"))</f>
        <v/>
      </c>
      <c r="D509" s="8"/>
      <c r="E509" s="7" t="str">
        <f>IF(B509="","",IFERROR(INDEX(Reactivos!$H$2:$H$435,MATCH(B509,Reactivos!$A$2:$A$435,0)),""))</f>
        <v/>
      </c>
      <c r="F509" s="8"/>
      <c r="G509" s="8"/>
      <c r="H509" s="13"/>
    </row>
    <row r="510" spans="1:8" x14ac:dyDescent="0.3">
      <c r="A510" s="11"/>
      <c r="B510" s="8"/>
      <c r="C510" s="7" t="str">
        <f>IF(B510="","",IFERROR(INDEX(Reactivos!$D$2:$D$435,MATCH(B510,Reactivos!$A$2:$A$435,0)),"ID no existe"))</f>
        <v/>
      </c>
      <c r="D510" s="8"/>
      <c r="E510" s="7" t="str">
        <f>IF(B510="","",IFERROR(INDEX(Reactivos!$H$2:$H$435,MATCH(B510,Reactivos!$A$2:$A$435,0)),""))</f>
        <v/>
      </c>
      <c r="F510" s="8"/>
      <c r="G510" s="8"/>
      <c r="H510" s="13"/>
    </row>
    <row r="511" spans="1:8" x14ac:dyDescent="0.3">
      <c r="A511" s="11"/>
      <c r="B511" s="8"/>
      <c r="C511" s="7" t="str">
        <f>IF(B511="","",IFERROR(INDEX(Reactivos!$D$2:$D$435,MATCH(B511,Reactivos!$A$2:$A$435,0)),"ID no existe"))</f>
        <v/>
      </c>
      <c r="D511" s="8"/>
      <c r="E511" s="7" t="str">
        <f>IF(B511="","",IFERROR(INDEX(Reactivos!$H$2:$H$435,MATCH(B511,Reactivos!$A$2:$A$435,0)),""))</f>
        <v/>
      </c>
      <c r="F511" s="8"/>
      <c r="G511" s="8"/>
      <c r="H511" s="13"/>
    </row>
    <row r="512" spans="1:8" x14ac:dyDescent="0.3">
      <c r="A512" s="11"/>
      <c r="B512" s="8"/>
      <c r="C512" s="7" t="str">
        <f>IF(B512="","",IFERROR(INDEX(Reactivos!$D$2:$D$435,MATCH(B512,Reactivos!$A$2:$A$435,0)),"ID no existe"))</f>
        <v/>
      </c>
      <c r="D512" s="8"/>
      <c r="E512" s="7" t="str">
        <f>IF(B512="","",IFERROR(INDEX(Reactivos!$H$2:$H$435,MATCH(B512,Reactivos!$A$2:$A$435,0)),""))</f>
        <v/>
      </c>
      <c r="F512" s="8"/>
      <c r="G512" s="8"/>
      <c r="H512" s="13"/>
    </row>
    <row r="513" spans="1:8" x14ac:dyDescent="0.3">
      <c r="A513" s="11"/>
      <c r="B513" s="8"/>
      <c r="C513" s="7" t="str">
        <f>IF(B513="","",IFERROR(INDEX(Reactivos!$D$2:$D$435,MATCH(B513,Reactivos!$A$2:$A$435,0)),"ID no existe"))</f>
        <v/>
      </c>
      <c r="D513" s="8"/>
      <c r="E513" s="7" t="str">
        <f>IF(B513="","",IFERROR(INDEX(Reactivos!$H$2:$H$435,MATCH(B513,Reactivos!$A$2:$A$435,0)),""))</f>
        <v/>
      </c>
      <c r="F513" s="8"/>
      <c r="G513" s="8"/>
      <c r="H513" s="13"/>
    </row>
    <row r="514" spans="1:8" x14ac:dyDescent="0.3">
      <c r="A514" s="11"/>
      <c r="B514" s="8"/>
      <c r="C514" s="7" t="str">
        <f>IF(B514="","",IFERROR(INDEX(Reactivos!$D$2:$D$435,MATCH(B514,Reactivos!$A$2:$A$435,0)),"ID no existe"))</f>
        <v/>
      </c>
      <c r="D514" s="8"/>
      <c r="E514" s="7" t="str">
        <f>IF(B514="","",IFERROR(INDEX(Reactivos!$H$2:$H$435,MATCH(B514,Reactivos!$A$2:$A$435,0)),""))</f>
        <v/>
      </c>
      <c r="F514" s="8"/>
      <c r="G514" s="8"/>
      <c r="H514" s="13"/>
    </row>
    <row r="515" spans="1:8" x14ac:dyDescent="0.3">
      <c r="A515" s="11"/>
      <c r="B515" s="8"/>
      <c r="C515" s="7" t="str">
        <f>IF(B515="","",IFERROR(INDEX(Reactivos!$D$2:$D$435,MATCH(B515,Reactivos!$A$2:$A$435,0)),"ID no existe"))</f>
        <v/>
      </c>
      <c r="D515" s="8"/>
      <c r="E515" s="7" t="str">
        <f>IF(B515="","",IFERROR(INDEX(Reactivos!$H$2:$H$435,MATCH(B515,Reactivos!$A$2:$A$435,0)),""))</f>
        <v/>
      </c>
      <c r="F515" s="8"/>
      <c r="G515" s="8"/>
      <c r="H515" s="13"/>
    </row>
    <row r="516" spans="1:8" x14ac:dyDescent="0.3">
      <c r="A516" s="11"/>
      <c r="B516" s="8"/>
      <c r="C516" s="7" t="str">
        <f>IF(B516="","",IFERROR(INDEX(Reactivos!$D$2:$D$435,MATCH(B516,Reactivos!$A$2:$A$435,0)),"ID no existe"))</f>
        <v/>
      </c>
      <c r="D516" s="8"/>
      <c r="E516" s="7" t="str">
        <f>IF(B516="","",IFERROR(INDEX(Reactivos!$H$2:$H$435,MATCH(B516,Reactivos!$A$2:$A$435,0)),""))</f>
        <v/>
      </c>
      <c r="F516" s="8"/>
      <c r="G516" s="8"/>
      <c r="H516" s="13"/>
    </row>
    <row r="517" spans="1:8" x14ac:dyDescent="0.3">
      <c r="A517" s="11"/>
      <c r="B517" s="8"/>
      <c r="C517" s="7" t="str">
        <f>IF(B517="","",IFERROR(INDEX(Reactivos!$D$2:$D$435,MATCH(B517,Reactivos!$A$2:$A$435,0)),"ID no existe"))</f>
        <v/>
      </c>
      <c r="D517" s="8"/>
      <c r="E517" s="7" t="str">
        <f>IF(B517="","",IFERROR(INDEX(Reactivos!$H$2:$H$435,MATCH(B517,Reactivos!$A$2:$A$435,0)),""))</f>
        <v/>
      </c>
      <c r="F517" s="8"/>
      <c r="G517" s="8"/>
      <c r="H517" s="13"/>
    </row>
    <row r="518" spans="1:8" x14ac:dyDescent="0.3">
      <c r="A518" s="11"/>
      <c r="B518" s="8"/>
      <c r="C518" s="7" t="str">
        <f>IF(B518="","",IFERROR(INDEX(Reactivos!$D$2:$D$435,MATCH(B518,Reactivos!$A$2:$A$435,0)),"ID no existe"))</f>
        <v/>
      </c>
      <c r="D518" s="8"/>
      <c r="E518" s="7" t="str">
        <f>IF(B518="","",IFERROR(INDEX(Reactivos!$H$2:$H$435,MATCH(B518,Reactivos!$A$2:$A$435,0)),""))</f>
        <v/>
      </c>
      <c r="F518" s="8"/>
      <c r="G518" s="8"/>
      <c r="H518" s="13"/>
    </row>
    <row r="519" spans="1:8" x14ac:dyDescent="0.3">
      <c r="A519" s="11"/>
      <c r="B519" s="8"/>
      <c r="C519" s="7" t="str">
        <f>IF(B519="","",IFERROR(INDEX(Reactivos!$D$2:$D$435,MATCH(B519,Reactivos!$A$2:$A$435,0)),"ID no existe"))</f>
        <v/>
      </c>
      <c r="D519" s="8"/>
      <c r="E519" s="7" t="str">
        <f>IF(B519="","",IFERROR(INDEX(Reactivos!$H$2:$H$435,MATCH(B519,Reactivos!$A$2:$A$435,0)),""))</f>
        <v/>
      </c>
      <c r="F519" s="8"/>
      <c r="G519" s="8"/>
      <c r="H519" s="13"/>
    </row>
    <row r="520" spans="1:8" x14ac:dyDescent="0.3">
      <c r="A520" s="11"/>
      <c r="B520" s="8"/>
      <c r="C520" s="7" t="str">
        <f>IF(B520="","",IFERROR(INDEX(Reactivos!$D$2:$D$435,MATCH(B520,Reactivos!$A$2:$A$435,0)),"ID no existe"))</f>
        <v/>
      </c>
      <c r="D520" s="8"/>
      <c r="E520" s="7" t="str">
        <f>IF(B520="","",IFERROR(INDEX(Reactivos!$H$2:$H$435,MATCH(B520,Reactivos!$A$2:$A$435,0)),""))</f>
        <v/>
      </c>
      <c r="F520" s="8"/>
      <c r="G520" s="8"/>
      <c r="H520" s="13"/>
    </row>
    <row r="521" spans="1:8" x14ac:dyDescent="0.3">
      <c r="A521" s="11"/>
      <c r="B521" s="8"/>
      <c r="C521" s="7" t="str">
        <f>IF(B521="","",IFERROR(INDEX(Reactivos!$D$2:$D$435,MATCH(B521,Reactivos!$A$2:$A$435,0)),"ID no existe"))</f>
        <v/>
      </c>
      <c r="D521" s="8"/>
      <c r="E521" s="7" t="str">
        <f>IF(B521="","",IFERROR(INDEX(Reactivos!$H$2:$H$435,MATCH(B521,Reactivos!$A$2:$A$435,0)),""))</f>
        <v/>
      </c>
      <c r="F521" s="8"/>
      <c r="G521" s="8"/>
      <c r="H521" s="13"/>
    </row>
    <row r="522" spans="1:8" x14ac:dyDescent="0.3">
      <c r="A522" s="11"/>
      <c r="B522" s="8"/>
      <c r="C522" s="7" t="str">
        <f>IF(B522="","",IFERROR(INDEX(Reactivos!$D$2:$D$435,MATCH(B522,Reactivos!$A$2:$A$435,0)),"ID no existe"))</f>
        <v/>
      </c>
      <c r="D522" s="8"/>
      <c r="E522" s="7" t="str">
        <f>IF(B522="","",IFERROR(INDEX(Reactivos!$H$2:$H$435,MATCH(B522,Reactivos!$A$2:$A$435,0)),""))</f>
        <v/>
      </c>
      <c r="F522" s="8"/>
      <c r="G522" s="8"/>
      <c r="H522" s="13"/>
    </row>
    <row r="523" spans="1:8" x14ac:dyDescent="0.3">
      <c r="A523" s="11"/>
      <c r="B523" s="8"/>
      <c r="C523" s="7" t="str">
        <f>IF(B523="","",IFERROR(INDEX(Reactivos!$D$2:$D$435,MATCH(B523,Reactivos!$A$2:$A$435,0)),"ID no existe"))</f>
        <v/>
      </c>
      <c r="D523" s="8"/>
      <c r="E523" s="7" t="str">
        <f>IF(B523="","",IFERROR(INDEX(Reactivos!$H$2:$H$435,MATCH(B523,Reactivos!$A$2:$A$435,0)),""))</f>
        <v/>
      </c>
      <c r="F523" s="8"/>
      <c r="G523" s="8"/>
      <c r="H523" s="13"/>
    </row>
    <row r="524" spans="1:8" x14ac:dyDescent="0.3">
      <c r="A524" s="11"/>
      <c r="B524" s="8"/>
      <c r="C524" s="7" t="str">
        <f>IF(B524="","",IFERROR(INDEX(Reactivos!$D$2:$D$435,MATCH(B524,Reactivos!$A$2:$A$435,0)),"ID no existe"))</f>
        <v/>
      </c>
      <c r="D524" s="8"/>
      <c r="E524" s="7" t="str">
        <f>IF(B524="","",IFERROR(INDEX(Reactivos!$H$2:$H$435,MATCH(B524,Reactivos!$A$2:$A$435,0)),""))</f>
        <v/>
      </c>
      <c r="F524" s="8"/>
      <c r="G524" s="8"/>
      <c r="H524" s="13"/>
    </row>
    <row r="525" spans="1:8" x14ac:dyDescent="0.3">
      <c r="A525" s="11"/>
      <c r="B525" s="8"/>
      <c r="C525" s="7" t="str">
        <f>IF(B525="","",IFERROR(INDEX(Reactivos!$D$2:$D$435,MATCH(B525,Reactivos!$A$2:$A$435,0)),"ID no existe"))</f>
        <v/>
      </c>
      <c r="D525" s="8"/>
      <c r="E525" s="7" t="str">
        <f>IF(B525="","",IFERROR(INDEX(Reactivos!$H$2:$H$435,MATCH(B525,Reactivos!$A$2:$A$435,0)),""))</f>
        <v/>
      </c>
      <c r="F525" s="8"/>
      <c r="G525" s="8"/>
      <c r="H525" s="13"/>
    </row>
    <row r="526" spans="1:8" x14ac:dyDescent="0.3">
      <c r="A526" s="11"/>
      <c r="B526" s="8"/>
      <c r="C526" s="7" t="str">
        <f>IF(B526="","",IFERROR(INDEX(Reactivos!$D$2:$D$435,MATCH(B526,Reactivos!$A$2:$A$435,0)),"ID no existe"))</f>
        <v/>
      </c>
      <c r="D526" s="8"/>
      <c r="E526" s="7" t="str">
        <f>IF(B526="","",IFERROR(INDEX(Reactivos!$H$2:$H$435,MATCH(B526,Reactivos!$A$2:$A$435,0)),""))</f>
        <v/>
      </c>
      <c r="F526" s="8"/>
      <c r="G526" s="8"/>
      <c r="H526" s="13"/>
    </row>
    <row r="527" spans="1:8" x14ac:dyDescent="0.3">
      <c r="A527" s="11"/>
      <c r="B527" s="8"/>
      <c r="C527" s="7" t="str">
        <f>IF(B527="","",IFERROR(INDEX(Reactivos!$D$2:$D$435,MATCH(B527,Reactivos!$A$2:$A$435,0)),"ID no existe"))</f>
        <v/>
      </c>
      <c r="D527" s="8"/>
      <c r="E527" s="7" t="str">
        <f>IF(B527="","",IFERROR(INDEX(Reactivos!$H$2:$H$435,MATCH(B527,Reactivos!$A$2:$A$435,0)),""))</f>
        <v/>
      </c>
      <c r="F527" s="8"/>
      <c r="G527" s="8"/>
      <c r="H527" s="13"/>
    </row>
    <row r="528" spans="1:8" x14ac:dyDescent="0.3">
      <c r="A528" s="11"/>
      <c r="B528" s="8"/>
      <c r="C528" s="7" t="str">
        <f>IF(B528="","",IFERROR(INDEX(Reactivos!$D$2:$D$435,MATCH(B528,Reactivos!$A$2:$A$435,0)),"ID no existe"))</f>
        <v/>
      </c>
      <c r="D528" s="8"/>
      <c r="E528" s="7" t="str">
        <f>IF(B528="","",IFERROR(INDEX(Reactivos!$H$2:$H$435,MATCH(B528,Reactivos!$A$2:$A$435,0)),""))</f>
        <v/>
      </c>
      <c r="F528" s="8"/>
      <c r="G528" s="8"/>
      <c r="H528" s="13"/>
    </row>
    <row r="529" spans="1:8" x14ac:dyDescent="0.3">
      <c r="A529" s="11"/>
      <c r="B529" s="8"/>
      <c r="C529" s="7" t="str">
        <f>IF(B529="","",IFERROR(INDEX(Reactivos!$D$2:$D$435,MATCH(B529,Reactivos!$A$2:$A$435,0)),"ID no existe"))</f>
        <v/>
      </c>
      <c r="D529" s="8"/>
      <c r="E529" s="7" t="str">
        <f>IF(B529="","",IFERROR(INDEX(Reactivos!$H$2:$H$435,MATCH(B529,Reactivos!$A$2:$A$435,0)),""))</f>
        <v/>
      </c>
      <c r="F529" s="8"/>
      <c r="G529" s="8"/>
      <c r="H529" s="13"/>
    </row>
    <row r="530" spans="1:8" x14ac:dyDescent="0.3">
      <c r="A530" s="11"/>
      <c r="B530" s="8"/>
      <c r="C530" s="7" t="str">
        <f>IF(B530="","",IFERROR(INDEX(Reactivos!$D$2:$D$435,MATCH(B530,Reactivos!$A$2:$A$435,0)),"ID no existe"))</f>
        <v/>
      </c>
      <c r="D530" s="8"/>
      <c r="E530" s="7" t="str">
        <f>IF(B530="","",IFERROR(INDEX(Reactivos!$H$2:$H$435,MATCH(B530,Reactivos!$A$2:$A$435,0)),""))</f>
        <v/>
      </c>
      <c r="F530" s="8"/>
      <c r="G530" s="8"/>
      <c r="H530" s="13"/>
    </row>
    <row r="531" spans="1:8" x14ac:dyDescent="0.3">
      <c r="A531" s="11"/>
      <c r="B531" s="8"/>
      <c r="C531" s="7" t="str">
        <f>IF(B531="","",IFERROR(INDEX(Reactivos!$D$2:$D$435,MATCH(B531,Reactivos!$A$2:$A$435,0)),"ID no existe"))</f>
        <v/>
      </c>
      <c r="D531" s="8"/>
      <c r="E531" s="7" t="str">
        <f>IF(B531="","",IFERROR(INDEX(Reactivos!$H$2:$H$435,MATCH(B531,Reactivos!$A$2:$A$435,0)),""))</f>
        <v/>
      </c>
      <c r="F531" s="8"/>
      <c r="G531" s="8"/>
      <c r="H531" s="13"/>
    </row>
    <row r="532" spans="1:8" x14ac:dyDescent="0.3">
      <c r="A532" s="11"/>
      <c r="B532" s="8"/>
      <c r="C532" s="7" t="str">
        <f>IF(B532="","",IFERROR(INDEX(Reactivos!$D$2:$D$435,MATCH(B532,Reactivos!$A$2:$A$435,0)),"ID no existe"))</f>
        <v/>
      </c>
      <c r="D532" s="8"/>
      <c r="E532" s="7" t="str">
        <f>IF(B532="","",IFERROR(INDEX(Reactivos!$H$2:$H$435,MATCH(B532,Reactivos!$A$2:$A$435,0)),""))</f>
        <v/>
      </c>
      <c r="F532" s="8"/>
      <c r="G532" s="8"/>
      <c r="H532" s="13"/>
    </row>
    <row r="533" spans="1:8" x14ac:dyDescent="0.3">
      <c r="A533" s="11"/>
      <c r="B533" s="8"/>
      <c r="C533" s="7" t="str">
        <f>IF(B533="","",IFERROR(INDEX(Reactivos!$D$2:$D$435,MATCH(B533,Reactivos!$A$2:$A$435,0)),"ID no existe"))</f>
        <v/>
      </c>
      <c r="D533" s="8"/>
      <c r="E533" s="7" t="str">
        <f>IF(B533="","",IFERROR(INDEX(Reactivos!$H$2:$H$435,MATCH(B533,Reactivos!$A$2:$A$435,0)),""))</f>
        <v/>
      </c>
      <c r="F533" s="8"/>
      <c r="G533" s="8"/>
      <c r="H533" s="13"/>
    </row>
    <row r="534" spans="1:8" x14ac:dyDescent="0.3">
      <c r="A534" s="11"/>
      <c r="B534" s="8"/>
      <c r="C534" s="7" t="str">
        <f>IF(B534="","",IFERROR(INDEX(Reactivos!$D$2:$D$435,MATCH(B534,Reactivos!$A$2:$A$435,0)),"ID no existe"))</f>
        <v/>
      </c>
      <c r="D534" s="8"/>
      <c r="E534" s="7" t="str">
        <f>IF(B534="","",IFERROR(INDEX(Reactivos!$H$2:$H$435,MATCH(B534,Reactivos!$A$2:$A$435,0)),""))</f>
        <v/>
      </c>
      <c r="F534" s="8"/>
      <c r="G534" s="8"/>
      <c r="H534" s="13"/>
    </row>
    <row r="535" spans="1:8" x14ac:dyDescent="0.3">
      <c r="A535" s="11"/>
      <c r="B535" s="8"/>
      <c r="C535" s="7" t="str">
        <f>IF(B535="","",IFERROR(INDEX(Reactivos!$D$2:$D$435,MATCH(B535,Reactivos!$A$2:$A$435,0)),"ID no existe"))</f>
        <v/>
      </c>
      <c r="D535" s="8"/>
      <c r="E535" s="7" t="str">
        <f>IF(B535="","",IFERROR(INDEX(Reactivos!$H$2:$H$435,MATCH(B535,Reactivos!$A$2:$A$435,0)),""))</f>
        <v/>
      </c>
      <c r="F535" s="8"/>
      <c r="G535" s="8"/>
      <c r="H535" s="13"/>
    </row>
    <row r="536" spans="1:8" x14ac:dyDescent="0.3">
      <c r="A536" s="11"/>
      <c r="B536" s="8"/>
      <c r="C536" s="7" t="str">
        <f>IF(B536="","",IFERROR(INDEX(Reactivos!$D$2:$D$435,MATCH(B536,Reactivos!$A$2:$A$435,0)),"ID no existe"))</f>
        <v/>
      </c>
      <c r="D536" s="8"/>
      <c r="E536" s="7" t="str">
        <f>IF(B536="","",IFERROR(INDEX(Reactivos!$H$2:$H$435,MATCH(B536,Reactivos!$A$2:$A$435,0)),""))</f>
        <v/>
      </c>
      <c r="F536" s="8"/>
      <c r="G536" s="8"/>
      <c r="H536" s="13"/>
    </row>
    <row r="537" spans="1:8" x14ac:dyDescent="0.3">
      <c r="A537" s="11"/>
      <c r="B537" s="8"/>
      <c r="C537" s="7" t="str">
        <f>IF(B537="","",IFERROR(INDEX(Reactivos!$D$2:$D$435,MATCH(B537,Reactivos!$A$2:$A$435,0)),"ID no existe"))</f>
        <v/>
      </c>
      <c r="D537" s="8"/>
      <c r="E537" s="7" t="str">
        <f>IF(B537="","",IFERROR(INDEX(Reactivos!$H$2:$H$435,MATCH(B537,Reactivos!$A$2:$A$435,0)),""))</f>
        <v/>
      </c>
      <c r="F537" s="8"/>
      <c r="G537" s="8"/>
      <c r="H537" s="13"/>
    </row>
    <row r="538" spans="1:8" x14ac:dyDescent="0.3">
      <c r="A538" s="11"/>
      <c r="B538" s="8"/>
      <c r="C538" s="7" t="str">
        <f>IF(B538="","",IFERROR(INDEX(Reactivos!$D$2:$D$435,MATCH(B538,Reactivos!$A$2:$A$435,0)),"ID no existe"))</f>
        <v/>
      </c>
      <c r="D538" s="8"/>
      <c r="E538" s="7" t="str">
        <f>IF(B538="","",IFERROR(INDEX(Reactivos!$H$2:$H$435,MATCH(B538,Reactivos!$A$2:$A$435,0)),""))</f>
        <v/>
      </c>
      <c r="F538" s="8"/>
      <c r="G538" s="8"/>
      <c r="H538" s="13"/>
    </row>
    <row r="539" spans="1:8" x14ac:dyDescent="0.3">
      <c r="A539" s="11"/>
      <c r="B539" s="8"/>
      <c r="C539" s="7" t="str">
        <f>IF(B539="","",IFERROR(INDEX(Reactivos!$D$2:$D$435,MATCH(B539,Reactivos!$A$2:$A$435,0)),"ID no existe"))</f>
        <v/>
      </c>
      <c r="D539" s="8"/>
      <c r="E539" s="7" t="str">
        <f>IF(B539="","",IFERROR(INDEX(Reactivos!$H$2:$H$435,MATCH(B539,Reactivos!$A$2:$A$435,0)),""))</f>
        <v/>
      </c>
      <c r="F539" s="8"/>
      <c r="G539" s="8"/>
      <c r="H539" s="13"/>
    </row>
    <row r="540" spans="1:8" x14ac:dyDescent="0.3">
      <c r="A540" s="11"/>
      <c r="B540" s="8"/>
      <c r="C540" s="7" t="str">
        <f>IF(B540="","",IFERROR(INDEX(Reactivos!$D$2:$D$435,MATCH(B540,Reactivos!$A$2:$A$435,0)),"ID no existe"))</f>
        <v/>
      </c>
      <c r="D540" s="8"/>
      <c r="E540" s="7" t="str">
        <f>IF(B540="","",IFERROR(INDEX(Reactivos!$H$2:$H$435,MATCH(B540,Reactivos!$A$2:$A$435,0)),""))</f>
        <v/>
      </c>
      <c r="F540" s="8"/>
      <c r="G540" s="8"/>
      <c r="H540" s="13"/>
    </row>
    <row r="541" spans="1:8" x14ac:dyDescent="0.3">
      <c r="A541" s="11"/>
      <c r="B541" s="8"/>
      <c r="C541" s="7" t="str">
        <f>IF(B541="","",IFERROR(INDEX(Reactivos!$D$2:$D$435,MATCH(B541,Reactivos!$A$2:$A$435,0)),"ID no existe"))</f>
        <v/>
      </c>
      <c r="D541" s="8"/>
      <c r="E541" s="7" t="str">
        <f>IF(B541="","",IFERROR(INDEX(Reactivos!$H$2:$H$435,MATCH(B541,Reactivos!$A$2:$A$435,0)),""))</f>
        <v/>
      </c>
      <c r="F541" s="8"/>
      <c r="G541" s="8"/>
      <c r="H541" s="13"/>
    </row>
    <row r="542" spans="1:8" x14ac:dyDescent="0.3">
      <c r="A542" s="11"/>
      <c r="B542" s="8"/>
      <c r="C542" s="7" t="str">
        <f>IF(B542="","",IFERROR(INDEX(Reactivos!$D$2:$D$435,MATCH(B542,Reactivos!$A$2:$A$435,0)),"ID no existe"))</f>
        <v/>
      </c>
      <c r="D542" s="8"/>
      <c r="E542" s="7" t="str">
        <f>IF(B542="","",IFERROR(INDEX(Reactivos!$H$2:$H$435,MATCH(B542,Reactivos!$A$2:$A$435,0)),""))</f>
        <v/>
      </c>
      <c r="F542" s="8"/>
      <c r="G542" s="8"/>
      <c r="H542" s="13"/>
    </row>
    <row r="543" spans="1:8" x14ac:dyDescent="0.3">
      <c r="A543" s="11"/>
      <c r="B543" s="8"/>
      <c r="C543" s="7" t="str">
        <f>IF(B543="","",IFERROR(INDEX(Reactivos!$D$2:$D$435,MATCH(B543,Reactivos!$A$2:$A$435,0)),"ID no existe"))</f>
        <v/>
      </c>
      <c r="D543" s="8"/>
      <c r="E543" s="7" t="str">
        <f>IF(B543="","",IFERROR(INDEX(Reactivos!$H$2:$H$435,MATCH(B543,Reactivos!$A$2:$A$435,0)),""))</f>
        <v/>
      </c>
      <c r="F543" s="8"/>
      <c r="G543" s="8"/>
      <c r="H543" s="13"/>
    </row>
    <row r="544" spans="1:8" x14ac:dyDescent="0.3">
      <c r="A544" s="11"/>
      <c r="B544" s="8"/>
      <c r="C544" s="7" t="str">
        <f>IF(B544="","",IFERROR(INDEX(Reactivos!$D$2:$D$435,MATCH(B544,Reactivos!$A$2:$A$435,0)),"ID no existe"))</f>
        <v/>
      </c>
      <c r="D544" s="8"/>
      <c r="E544" s="7" t="str">
        <f>IF(B544="","",IFERROR(INDEX(Reactivos!$H$2:$H$435,MATCH(B544,Reactivos!$A$2:$A$435,0)),""))</f>
        <v/>
      </c>
      <c r="F544" s="8"/>
      <c r="G544" s="8"/>
      <c r="H544" s="13"/>
    </row>
    <row r="545" spans="1:8" x14ac:dyDescent="0.3">
      <c r="A545" s="11"/>
      <c r="B545" s="8"/>
      <c r="C545" s="7" t="str">
        <f>IF(B545="","",IFERROR(INDEX(Reactivos!$D$2:$D$435,MATCH(B545,Reactivos!$A$2:$A$435,0)),"ID no existe"))</f>
        <v/>
      </c>
      <c r="D545" s="8"/>
      <c r="E545" s="7" t="str">
        <f>IF(B545="","",IFERROR(INDEX(Reactivos!$H$2:$H$435,MATCH(B545,Reactivos!$A$2:$A$435,0)),""))</f>
        <v/>
      </c>
      <c r="F545" s="8"/>
      <c r="G545" s="8"/>
      <c r="H545" s="13"/>
    </row>
    <row r="546" spans="1:8" x14ac:dyDescent="0.3">
      <c r="A546" s="11"/>
      <c r="B546" s="8"/>
      <c r="C546" s="7" t="str">
        <f>IF(B546="","",IFERROR(INDEX(Reactivos!$D$2:$D$435,MATCH(B546,Reactivos!$A$2:$A$435,0)),"ID no existe"))</f>
        <v/>
      </c>
      <c r="D546" s="8"/>
      <c r="E546" s="7" t="str">
        <f>IF(B546="","",IFERROR(INDEX(Reactivos!$H$2:$H$435,MATCH(B546,Reactivos!$A$2:$A$435,0)),""))</f>
        <v/>
      </c>
      <c r="F546" s="8"/>
      <c r="G546" s="8"/>
      <c r="H546" s="13"/>
    </row>
    <row r="547" spans="1:8" x14ac:dyDescent="0.3">
      <c r="A547" s="11"/>
      <c r="B547" s="8"/>
      <c r="C547" s="7" t="str">
        <f>IF(B547="","",IFERROR(INDEX(Reactivos!$D$2:$D$435,MATCH(B547,Reactivos!$A$2:$A$435,0)),"ID no existe"))</f>
        <v/>
      </c>
      <c r="D547" s="8"/>
      <c r="E547" s="7" t="str">
        <f>IF(B547="","",IFERROR(INDEX(Reactivos!$H$2:$H$435,MATCH(B547,Reactivos!$A$2:$A$435,0)),""))</f>
        <v/>
      </c>
      <c r="F547" s="8"/>
      <c r="G547" s="8"/>
      <c r="H547" s="13"/>
    </row>
    <row r="548" spans="1:8" x14ac:dyDescent="0.3">
      <c r="A548" s="11"/>
      <c r="B548" s="8"/>
      <c r="C548" s="7" t="str">
        <f>IF(B548="","",IFERROR(INDEX(Reactivos!$D$2:$D$435,MATCH(B548,Reactivos!$A$2:$A$435,0)),"ID no existe"))</f>
        <v/>
      </c>
      <c r="D548" s="8"/>
      <c r="E548" s="7" t="str">
        <f>IF(B548="","",IFERROR(INDEX(Reactivos!$H$2:$H$435,MATCH(B548,Reactivos!$A$2:$A$435,0)),""))</f>
        <v/>
      </c>
      <c r="F548" s="8"/>
      <c r="G548" s="8"/>
      <c r="H548" s="13"/>
    </row>
    <row r="549" spans="1:8" x14ac:dyDescent="0.3">
      <c r="A549" s="11"/>
      <c r="B549" s="8"/>
      <c r="C549" s="7" t="str">
        <f>IF(B549="","",IFERROR(INDEX(Reactivos!$D$2:$D$435,MATCH(B549,Reactivos!$A$2:$A$435,0)),"ID no existe"))</f>
        <v/>
      </c>
      <c r="D549" s="8"/>
      <c r="E549" s="7" t="str">
        <f>IF(B549="","",IFERROR(INDEX(Reactivos!$H$2:$H$435,MATCH(B549,Reactivos!$A$2:$A$435,0)),""))</f>
        <v/>
      </c>
      <c r="F549" s="8"/>
      <c r="G549" s="8"/>
      <c r="H549" s="13"/>
    </row>
    <row r="550" spans="1:8" x14ac:dyDescent="0.3">
      <c r="A550" s="11"/>
      <c r="B550" s="8"/>
      <c r="C550" s="7" t="str">
        <f>IF(B550="","",IFERROR(INDEX(Reactivos!$D$2:$D$435,MATCH(B550,Reactivos!$A$2:$A$435,0)),"ID no existe"))</f>
        <v/>
      </c>
      <c r="D550" s="8"/>
      <c r="E550" s="7" t="str">
        <f>IF(B550="","",IFERROR(INDEX(Reactivos!$H$2:$H$435,MATCH(B550,Reactivos!$A$2:$A$435,0)),""))</f>
        <v/>
      </c>
      <c r="F550" s="8"/>
      <c r="G550" s="8"/>
      <c r="H550" s="13"/>
    </row>
    <row r="551" spans="1:8" x14ac:dyDescent="0.3">
      <c r="A551" s="11"/>
      <c r="B551" s="8"/>
      <c r="C551" s="7" t="str">
        <f>IF(B551="","",IFERROR(INDEX(Reactivos!$D$2:$D$435,MATCH(B551,Reactivos!$A$2:$A$435,0)),"ID no existe"))</f>
        <v/>
      </c>
      <c r="D551" s="8"/>
      <c r="E551" s="7" t="str">
        <f>IF(B551="","",IFERROR(INDEX(Reactivos!$H$2:$H$435,MATCH(B551,Reactivos!$A$2:$A$435,0)),""))</f>
        <v/>
      </c>
      <c r="F551" s="8"/>
      <c r="G551" s="8"/>
      <c r="H551" s="13"/>
    </row>
    <row r="552" spans="1:8" x14ac:dyDescent="0.3">
      <c r="A552" s="11"/>
      <c r="B552" s="8"/>
      <c r="C552" s="7" t="str">
        <f>IF(B552="","",IFERROR(INDEX(Reactivos!$D$2:$D$435,MATCH(B552,Reactivos!$A$2:$A$435,0)),"ID no existe"))</f>
        <v/>
      </c>
      <c r="D552" s="8"/>
      <c r="E552" s="7" t="str">
        <f>IF(B552="","",IFERROR(INDEX(Reactivos!$H$2:$H$435,MATCH(B552,Reactivos!$A$2:$A$435,0)),""))</f>
        <v/>
      </c>
      <c r="F552" s="8"/>
      <c r="G552" s="8"/>
      <c r="H552" s="13"/>
    </row>
    <row r="553" spans="1:8" x14ac:dyDescent="0.3">
      <c r="A553" s="11"/>
      <c r="B553" s="8"/>
      <c r="C553" s="7" t="str">
        <f>IF(B553="","",IFERROR(INDEX(Reactivos!$D$2:$D$435,MATCH(B553,Reactivos!$A$2:$A$435,0)),"ID no existe"))</f>
        <v/>
      </c>
      <c r="D553" s="8"/>
      <c r="E553" s="7" t="str">
        <f>IF(B553="","",IFERROR(INDEX(Reactivos!$H$2:$H$435,MATCH(B553,Reactivos!$A$2:$A$435,0)),""))</f>
        <v/>
      </c>
      <c r="F553" s="8"/>
      <c r="G553" s="8"/>
      <c r="H553" s="13"/>
    </row>
    <row r="554" spans="1:8" x14ac:dyDescent="0.3">
      <c r="A554" s="11"/>
      <c r="B554" s="8"/>
      <c r="C554" s="7" t="str">
        <f>IF(B554="","",IFERROR(INDEX(Reactivos!$D$2:$D$435,MATCH(B554,Reactivos!$A$2:$A$435,0)),"ID no existe"))</f>
        <v/>
      </c>
      <c r="D554" s="8"/>
      <c r="E554" s="7" t="str">
        <f>IF(B554="","",IFERROR(INDEX(Reactivos!$H$2:$H$435,MATCH(B554,Reactivos!$A$2:$A$435,0)),""))</f>
        <v/>
      </c>
      <c r="F554" s="8"/>
      <c r="G554" s="8"/>
      <c r="H554" s="13"/>
    </row>
    <row r="555" spans="1:8" x14ac:dyDescent="0.3">
      <c r="A555" s="11"/>
      <c r="B555" s="8"/>
      <c r="C555" s="7" t="str">
        <f>IF(B555="","",IFERROR(INDEX(Reactivos!$D$2:$D$435,MATCH(B555,Reactivos!$A$2:$A$435,0)),"ID no existe"))</f>
        <v/>
      </c>
      <c r="D555" s="8"/>
      <c r="E555" s="7" t="str">
        <f>IF(B555="","",IFERROR(INDEX(Reactivos!$H$2:$H$435,MATCH(B555,Reactivos!$A$2:$A$435,0)),""))</f>
        <v/>
      </c>
      <c r="F555" s="8"/>
      <c r="G555" s="8"/>
      <c r="H555" s="13"/>
    </row>
    <row r="556" spans="1:8" x14ac:dyDescent="0.3">
      <c r="A556" s="11"/>
      <c r="B556" s="8"/>
      <c r="C556" s="7" t="str">
        <f>IF(B556="","",IFERROR(INDEX(Reactivos!$D$2:$D$435,MATCH(B556,Reactivos!$A$2:$A$435,0)),"ID no existe"))</f>
        <v/>
      </c>
      <c r="D556" s="8"/>
      <c r="E556" s="7" t="str">
        <f>IF(B556="","",IFERROR(INDEX(Reactivos!$H$2:$H$435,MATCH(B556,Reactivos!$A$2:$A$435,0)),""))</f>
        <v/>
      </c>
      <c r="F556" s="8"/>
      <c r="G556" s="8"/>
      <c r="H556" s="13"/>
    </row>
    <row r="557" spans="1:8" x14ac:dyDescent="0.3">
      <c r="A557" s="11"/>
      <c r="B557" s="8"/>
      <c r="C557" s="7" t="str">
        <f>IF(B557="","",IFERROR(INDEX(Reactivos!$D$2:$D$435,MATCH(B557,Reactivos!$A$2:$A$435,0)),"ID no existe"))</f>
        <v/>
      </c>
      <c r="D557" s="8"/>
      <c r="E557" s="7" t="str">
        <f>IF(B557="","",IFERROR(INDEX(Reactivos!$H$2:$H$435,MATCH(B557,Reactivos!$A$2:$A$435,0)),""))</f>
        <v/>
      </c>
      <c r="F557" s="8"/>
      <c r="G557" s="8"/>
      <c r="H557" s="13"/>
    </row>
    <row r="558" spans="1:8" x14ac:dyDescent="0.3">
      <c r="A558" s="11"/>
      <c r="B558" s="8"/>
      <c r="C558" s="7" t="str">
        <f>IF(B558="","",IFERROR(INDEX(Reactivos!$D$2:$D$435,MATCH(B558,Reactivos!$A$2:$A$435,0)),"ID no existe"))</f>
        <v/>
      </c>
      <c r="D558" s="8"/>
      <c r="E558" s="7" t="str">
        <f>IF(B558="","",IFERROR(INDEX(Reactivos!$H$2:$H$435,MATCH(B558,Reactivos!$A$2:$A$435,0)),""))</f>
        <v/>
      </c>
      <c r="F558" s="8"/>
      <c r="G558" s="8"/>
      <c r="H558" s="13"/>
    </row>
    <row r="559" spans="1:8" x14ac:dyDescent="0.3">
      <c r="A559" s="11"/>
      <c r="B559" s="8"/>
      <c r="C559" s="7" t="str">
        <f>IF(B559="","",IFERROR(INDEX(Reactivos!$D$2:$D$435,MATCH(B559,Reactivos!$A$2:$A$435,0)),"ID no existe"))</f>
        <v/>
      </c>
      <c r="D559" s="8"/>
      <c r="E559" s="7" t="str">
        <f>IF(B559="","",IFERROR(INDEX(Reactivos!$H$2:$H$435,MATCH(B559,Reactivos!$A$2:$A$435,0)),""))</f>
        <v/>
      </c>
      <c r="F559" s="8"/>
      <c r="G559" s="8"/>
      <c r="H559" s="13"/>
    </row>
    <row r="560" spans="1:8" x14ac:dyDescent="0.3">
      <c r="A560" s="11"/>
      <c r="B560" s="8"/>
      <c r="C560" s="7" t="str">
        <f>IF(B560="","",IFERROR(INDEX(Reactivos!$D$2:$D$435,MATCH(B560,Reactivos!$A$2:$A$435,0)),"ID no existe"))</f>
        <v/>
      </c>
      <c r="D560" s="8"/>
      <c r="E560" s="7" t="str">
        <f>IF(B560="","",IFERROR(INDEX(Reactivos!$H$2:$H$435,MATCH(B560,Reactivos!$A$2:$A$435,0)),""))</f>
        <v/>
      </c>
      <c r="F560" s="8"/>
      <c r="G560" s="8"/>
      <c r="H560" s="13"/>
    </row>
    <row r="561" spans="1:8" x14ac:dyDescent="0.3">
      <c r="A561" s="11"/>
      <c r="B561" s="8"/>
      <c r="C561" s="7" t="str">
        <f>IF(B561="","",IFERROR(INDEX(Reactivos!$D$2:$D$435,MATCH(B561,Reactivos!$A$2:$A$435,0)),"ID no existe"))</f>
        <v/>
      </c>
      <c r="D561" s="8"/>
      <c r="E561" s="7" t="str">
        <f>IF(B561="","",IFERROR(INDEX(Reactivos!$H$2:$H$435,MATCH(B561,Reactivos!$A$2:$A$435,0)),""))</f>
        <v/>
      </c>
      <c r="F561" s="8"/>
      <c r="G561" s="8"/>
      <c r="H561" s="13"/>
    </row>
    <row r="562" spans="1:8" x14ac:dyDescent="0.3">
      <c r="A562" s="11"/>
      <c r="B562" s="8"/>
      <c r="C562" s="7" t="str">
        <f>IF(B562="","",IFERROR(INDEX(Reactivos!$D$2:$D$435,MATCH(B562,Reactivos!$A$2:$A$435,0)),"ID no existe"))</f>
        <v/>
      </c>
      <c r="D562" s="8"/>
      <c r="E562" s="7" t="str">
        <f>IF(B562="","",IFERROR(INDEX(Reactivos!$H$2:$H$435,MATCH(B562,Reactivos!$A$2:$A$435,0)),""))</f>
        <v/>
      </c>
      <c r="F562" s="8"/>
      <c r="G562" s="8"/>
      <c r="H562" s="13"/>
    </row>
    <row r="563" spans="1:8" x14ac:dyDescent="0.3">
      <c r="A563" s="11"/>
      <c r="B563" s="8"/>
      <c r="C563" s="7" t="str">
        <f>IF(B563="","",IFERROR(INDEX(Reactivos!$D$2:$D$435,MATCH(B563,Reactivos!$A$2:$A$435,0)),"ID no existe"))</f>
        <v/>
      </c>
      <c r="D563" s="8"/>
      <c r="E563" s="7" t="str">
        <f>IF(B563="","",IFERROR(INDEX(Reactivos!$H$2:$H$435,MATCH(B563,Reactivos!$A$2:$A$435,0)),""))</f>
        <v/>
      </c>
      <c r="F563" s="8"/>
      <c r="G563" s="8"/>
      <c r="H563" s="13"/>
    </row>
    <row r="564" spans="1:8" x14ac:dyDescent="0.3">
      <c r="A564" s="11"/>
      <c r="B564" s="8"/>
      <c r="C564" s="7" t="str">
        <f>IF(B564="","",IFERROR(INDEX(Reactivos!$D$2:$D$435,MATCH(B564,Reactivos!$A$2:$A$435,0)),"ID no existe"))</f>
        <v/>
      </c>
      <c r="D564" s="8"/>
      <c r="E564" s="7" t="str">
        <f>IF(B564="","",IFERROR(INDEX(Reactivos!$H$2:$H$435,MATCH(B564,Reactivos!$A$2:$A$435,0)),""))</f>
        <v/>
      </c>
      <c r="F564" s="8"/>
      <c r="G564" s="8"/>
      <c r="H564" s="13"/>
    </row>
    <row r="565" spans="1:8" x14ac:dyDescent="0.3">
      <c r="A565" s="11"/>
      <c r="B565" s="8"/>
      <c r="C565" s="7" t="str">
        <f>IF(B565="","",IFERROR(INDEX(Reactivos!$D$2:$D$435,MATCH(B565,Reactivos!$A$2:$A$435,0)),"ID no existe"))</f>
        <v/>
      </c>
      <c r="D565" s="8"/>
      <c r="E565" s="7" t="str">
        <f>IF(B565="","",IFERROR(INDEX(Reactivos!$H$2:$H$435,MATCH(B565,Reactivos!$A$2:$A$435,0)),""))</f>
        <v/>
      </c>
      <c r="F565" s="8"/>
      <c r="G565" s="8"/>
      <c r="H565" s="13"/>
    </row>
    <row r="566" spans="1:8" x14ac:dyDescent="0.3">
      <c r="A566" s="11"/>
      <c r="B566" s="8"/>
      <c r="C566" s="7" t="str">
        <f>IF(B566="","",IFERROR(INDEX(Reactivos!$D$2:$D$435,MATCH(B566,Reactivos!$A$2:$A$435,0)),"ID no existe"))</f>
        <v/>
      </c>
      <c r="D566" s="8"/>
      <c r="E566" s="7" t="str">
        <f>IF(B566="","",IFERROR(INDEX(Reactivos!$H$2:$H$435,MATCH(B566,Reactivos!$A$2:$A$435,0)),""))</f>
        <v/>
      </c>
      <c r="F566" s="8"/>
      <c r="G566" s="8"/>
      <c r="H566" s="13"/>
    </row>
    <row r="567" spans="1:8" x14ac:dyDescent="0.3">
      <c r="A567" s="11"/>
      <c r="B567" s="8"/>
      <c r="C567" s="7" t="str">
        <f>IF(B567="","",IFERROR(INDEX(Reactivos!$D$2:$D$435,MATCH(B567,Reactivos!$A$2:$A$435,0)),"ID no existe"))</f>
        <v/>
      </c>
      <c r="D567" s="8"/>
      <c r="E567" s="7" t="str">
        <f>IF(B567="","",IFERROR(INDEX(Reactivos!$H$2:$H$435,MATCH(B567,Reactivos!$A$2:$A$435,0)),""))</f>
        <v/>
      </c>
      <c r="F567" s="8"/>
      <c r="G567" s="8"/>
      <c r="H567" s="13"/>
    </row>
    <row r="568" spans="1:8" x14ac:dyDescent="0.3">
      <c r="A568" s="11"/>
      <c r="B568" s="8"/>
      <c r="C568" s="7" t="str">
        <f>IF(B568="","",IFERROR(INDEX(Reactivos!$D$2:$D$435,MATCH(B568,Reactivos!$A$2:$A$435,0)),"ID no existe"))</f>
        <v/>
      </c>
      <c r="D568" s="8"/>
      <c r="E568" s="7" t="str">
        <f>IF(B568="","",IFERROR(INDEX(Reactivos!$H$2:$H$435,MATCH(B568,Reactivos!$A$2:$A$435,0)),""))</f>
        <v/>
      </c>
      <c r="F568" s="8"/>
      <c r="G568" s="8"/>
      <c r="H568" s="13"/>
    </row>
    <row r="569" spans="1:8" x14ac:dyDescent="0.3">
      <c r="A569" s="11"/>
      <c r="B569" s="8"/>
      <c r="C569" s="7" t="str">
        <f>IF(B569="","",IFERROR(INDEX(Reactivos!$D$2:$D$435,MATCH(B569,Reactivos!$A$2:$A$435,0)),"ID no existe"))</f>
        <v/>
      </c>
      <c r="D569" s="8"/>
      <c r="E569" s="7" t="str">
        <f>IF(B569="","",IFERROR(INDEX(Reactivos!$H$2:$H$435,MATCH(B569,Reactivos!$A$2:$A$435,0)),""))</f>
        <v/>
      </c>
      <c r="F569" s="8"/>
      <c r="G569" s="8"/>
      <c r="H569" s="13"/>
    </row>
    <row r="570" spans="1:8" x14ac:dyDescent="0.3">
      <c r="A570" s="11"/>
      <c r="B570" s="8"/>
      <c r="C570" s="7" t="str">
        <f>IF(B570="","",IFERROR(INDEX(Reactivos!$D$2:$D$435,MATCH(B570,Reactivos!$A$2:$A$435,0)),"ID no existe"))</f>
        <v/>
      </c>
      <c r="D570" s="8"/>
      <c r="E570" s="7" t="str">
        <f>IF(B570="","",IFERROR(INDEX(Reactivos!$H$2:$H$435,MATCH(B570,Reactivos!$A$2:$A$435,0)),""))</f>
        <v/>
      </c>
      <c r="F570" s="8"/>
      <c r="G570" s="8"/>
      <c r="H570" s="13"/>
    </row>
    <row r="571" spans="1:8" x14ac:dyDescent="0.3">
      <c r="A571" s="11"/>
      <c r="B571" s="8"/>
      <c r="C571" s="7" t="str">
        <f>IF(B571="","",IFERROR(INDEX(Reactivos!$D$2:$D$435,MATCH(B571,Reactivos!$A$2:$A$435,0)),"ID no existe"))</f>
        <v/>
      </c>
      <c r="D571" s="8"/>
      <c r="E571" s="7" t="str">
        <f>IF(B571="","",IFERROR(INDEX(Reactivos!$H$2:$H$435,MATCH(B571,Reactivos!$A$2:$A$435,0)),""))</f>
        <v/>
      </c>
      <c r="F571" s="8"/>
      <c r="G571" s="8"/>
      <c r="H571" s="13"/>
    </row>
    <row r="572" spans="1:8" x14ac:dyDescent="0.3">
      <c r="A572" s="11"/>
      <c r="B572" s="8"/>
      <c r="C572" s="7" t="str">
        <f>IF(B572="","",IFERROR(INDEX(Reactivos!$D$2:$D$435,MATCH(B572,Reactivos!$A$2:$A$435,0)),"ID no existe"))</f>
        <v/>
      </c>
      <c r="D572" s="8"/>
      <c r="E572" s="7" t="str">
        <f>IF(B572="","",IFERROR(INDEX(Reactivos!$H$2:$H$435,MATCH(B572,Reactivos!$A$2:$A$435,0)),""))</f>
        <v/>
      </c>
      <c r="F572" s="8"/>
      <c r="G572" s="8"/>
      <c r="H572" s="13"/>
    </row>
    <row r="573" spans="1:8" x14ac:dyDescent="0.3">
      <c r="A573" s="11"/>
      <c r="B573" s="8"/>
      <c r="C573" s="7" t="str">
        <f>IF(B573="","",IFERROR(INDEX(Reactivos!$D$2:$D$435,MATCH(B573,Reactivos!$A$2:$A$435,0)),"ID no existe"))</f>
        <v/>
      </c>
      <c r="D573" s="8"/>
      <c r="E573" s="7" t="str">
        <f>IF(B573="","",IFERROR(INDEX(Reactivos!$H$2:$H$435,MATCH(B573,Reactivos!$A$2:$A$435,0)),""))</f>
        <v/>
      </c>
      <c r="F573" s="8"/>
      <c r="G573" s="8"/>
      <c r="H573" s="13"/>
    </row>
    <row r="574" spans="1:8" x14ac:dyDescent="0.3">
      <c r="A574" s="11"/>
      <c r="B574" s="8"/>
      <c r="C574" s="7" t="str">
        <f>IF(B574="","",IFERROR(INDEX(Reactivos!$D$2:$D$435,MATCH(B574,Reactivos!$A$2:$A$435,0)),"ID no existe"))</f>
        <v/>
      </c>
      <c r="D574" s="8"/>
      <c r="E574" s="7" t="str">
        <f>IF(B574="","",IFERROR(INDEX(Reactivos!$H$2:$H$435,MATCH(B574,Reactivos!$A$2:$A$435,0)),""))</f>
        <v/>
      </c>
      <c r="F574" s="8"/>
      <c r="G574" s="8"/>
      <c r="H574" s="13"/>
    </row>
    <row r="575" spans="1:8" x14ac:dyDescent="0.3">
      <c r="A575" s="11"/>
      <c r="B575" s="8"/>
      <c r="C575" s="7" t="str">
        <f>IF(B575="","",IFERROR(INDEX(Reactivos!$D$2:$D$435,MATCH(B575,Reactivos!$A$2:$A$435,0)),"ID no existe"))</f>
        <v/>
      </c>
      <c r="D575" s="8"/>
      <c r="E575" s="7" t="str">
        <f>IF(B575="","",IFERROR(INDEX(Reactivos!$H$2:$H$435,MATCH(B575,Reactivos!$A$2:$A$435,0)),""))</f>
        <v/>
      </c>
      <c r="F575" s="8"/>
      <c r="G575" s="8"/>
      <c r="H575" s="13"/>
    </row>
    <row r="576" spans="1:8" x14ac:dyDescent="0.3">
      <c r="A576" s="11"/>
      <c r="B576" s="8"/>
      <c r="C576" s="7" t="str">
        <f>IF(B576="","",IFERROR(INDEX(Reactivos!$D$2:$D$435,MATCH(B576,Reactivos!$A$2:$A$435,0)),"ID no existe"))</f>
        <v/>
      </c>
      <c r="D576" s="8"/>
      <c r="E576" s="7" t="str">
        <f>IF(B576="","",IFERROR(INDEX(Reactivos!$H$2:$H$435,MATCH(B576,Reactivos!$A$2:$A$435,0)),""))</f>
        <v/>
      </c>
      <c r="F576" s="8"/>
      <c r="G576" s="8"/>
      <c r="H576" s="13"/>
    </row>
    <row r="577" spans="1:8" x14ac:dyDescent="0.3">
      <c r="A577" s="11"/>
      <c r="B577" s="8"/>
      <c r="C577" s="7" t="str">
        <f>IF(B577="","",IFERROR(INDEX(Reactivos!$D$2:$D$435,MATCH(B577,Reactivos!$A$2:$A$435,0)),"ID no existe"))</f>
        <v/>
      </c>
      <c r="D577" s="8"/>
      <c r="E577" s="7" t="str">
        <f>IF(B577="","",IFERROR(INDEX(Reactivos!$H$2:$H$435,MATCH(B577,Reactivos!$A$2:$A$435,0)),""))</f>
        <v/>
      </c>
      <c r="F577" s="8"/>
      <c r="G577" s="8"/>
      <c r="H577" s="13"/>
    </row>
    <row r="578" spans="1:8" x14ac:dyDescent="0.3">
      <c r="A578" s="11"/>
      <c r="B578" s="8"/>
      <c r="C578" s="7" t="str">
        <f>IF(B578="","",IFERROR(INDEX(Reactivos!$D$2:$D$435,MATCH(B578,Reactivos!$A$2:$A$435,0)),"ID no existe"))</f>
        <v/>
      </c>
      <c r="D578" s="8"/>
      <c r="E578" s="7" t="str">
        <f>IF(B578="","",IFERROR(INDEX(Reactivos!$H$2:$H$435,MATCH(B578,Reactivos!$A$2:$A$435,0)),""))</f>
        <v/>
      </c>
      <c r="F578" s="8"/>
      <c r="G578" s="8"/>
      <c r="H578" s="13"/>
    </row>
    <row r="579" spans="1:8" x14ac:dyDescent="0.3">
      <c r="A579" s="11"/>
      <c r="B579" s="8"/>
      <c r="C579" s="7" t="str">
        <f>IF(B579="","",IFERROR(INDEX(Reactivos!$D$2:$D$435,MATCH(B579,Reactivos!$A$2:$A$435,0)),"ID no existe"))</f>
        <v/>
      </c>
      <c r="D579" s="8"/>
      <c r="E579" s="7" t="str">
        <f>IF(B579="","",IFERROR(INDEX(Reactivos!$H$2:$H$435,MATCH(B579,Reactivos!$A$2:$A$435,0)),""))</f>
        <v/>
      </c>
      <c r="F579" s="8"/>
      <c r="G579" s="8"/>
      <c r="H579" s="13"/>
    </row>
    <row r="580" spans="1:8" x14ac:dyDescent="0.3">
      <c r="A580" s="11"/>
      <c r="B580" s="8"/>
      <c r="C580" s="7" t="str">
        <f>IF(B580="","",IFERROR(INDEX(Reactivos!$D$2:$D$435,MATCH(B580,Reactivos!$A$2:$A$435,0)),"ID no existe"))</f>
        <v/>
      </c>
      <c r="D580" s="8"/>
      <c r="E580" s="7" t="str">
        <f>IF(B580="","",IFERROR(INDEX(Reactivos!$H$2:$H$435,MATCH(B580,Reactivos!$A$2:$A$435,0)),""))</f>
        <v/>
      </c>
      <c r="F580" s="8"/>
      <c r="G580" s="8"/>
      <c r="H580" s="13"/>
    </row>
    <row r="581" spans="1:8" x14ac:dyDescent="0.3">
      <c r="A581" s="11"/>
      <c r="B581" s="8"/>
      <c r="C581" s="7" t="str">
        <f>IF(B581="","",IFERROR(INDEX(Reactivos!$D$2:$D$435,MATCH(B581,Reactivos!$A$2:$A$435,0)),"ID no existe"))</f>
        <v/>
      </c>
      <c r="D581" s="8"/>
      <c r="E581" s="7" t="str">
        <f>IF(B581="","",IFERROR(INDEX(Reactivos!$H$2:$H$435,MATCH(B581,Reactivos!$A$2:$A$435,0)),""))</f>
        <v/>
      </c>
      <c r="F581" s="8"/>
      <c r="G581" s="8"/>
      <c r="H581" s="13"/>
    </row>
    <row r="582" spans="1:8" x14ac:dyDescent="0.3">
      <c r="A582" s="11"/>
      <c r="B582" s="8"/>
      <c r="C582" s="7" t="str">
        <f>IF(B582="","",IFERROR(INDEX(Reactivos!$D$2:$D$435,MATCH(B582,Reactivos!$A$2:$A$435,0)),"ID no existe"))</f>
        <v/>
      </c>
      <c r="D582" s="8"/>
      <c r="E582" s="7" t="str">
        <f>IF(B582="","",IFERROR(INDEX(Reactivos!$H$2:$H$435,MATCH(B582,Reactivos!$A$2:$A$435,0)),""))</f>
        <v/>
      </c>
      <c r="F582" s="8"/>
      <c r="G582" s="8"/>
      <c r="H582" s="13"/>
    </row>
    <row r="583" spans="1:8" x14ac:dyDescent="0.3">
      <c r="A583" s="11"/>
      <c r="B583" s="8"/>
      <c r="C583" s="7" t="str">
        <f>IF(B583="","",IFERROR(INDEX(Reactivos!$D$2:$D$435,MATCH(B583,Reactivos!$A$2:$A$435,0)),"ID no existe"))</f>
        <v/>
      </c>
      <c r="D583" s="8"/>
      <c r="E583" s="7" t="str">
        <f>IF(B583="","",IFERROR(INDEX(Reactivos!$H$2:$H$435,MATCH(B583,Reactivos!$A$2:$A$435,0)),""))</f>
        <v/>
      </c>
      <c r="F583" s="8"/>
      <c r="G583" s="8"/>
      <c r="H583" s="13"/>
    </row>
    <row r="584" spans="1:8" x14ac:dyDescent="0.3">
      <c r="A584" s="11"/>
      <c r="B584" s="8"/>
      <c r="C584" s="7" t="str">
        <f>IF(B584="","",IFERROR(INDEX(Reactivos!$D$2:$D$435,MATCH(B584,Reactivos!$A$2:$A$435,0)),"ID no existe"))</f>
        <v/>
      </c>
      <c r="D584" s="8"/>
      <c r="E584" s="7" t="str">
        <f>IF(B584="","",IFERROR(INDEX(Reactivos!$H$2:$H$435,MATCH(B584,Reactivos!$A$2:$A$435,0)),""))</f>
        <v/>
      </c>
      <c r="F584" s="8"/>
      <c r="G584" s="8"/>
      <c r="H584" s="13"/>
    </row>
    <row r="585" spans="1:8" x14ac:dyDescent="0.3">
      <c r="A585" s="11"/>
      <c r="B585" s="8"/>
      <c r="C585" s="7" t="str">
        <f>IF(B585="","",IFERROR(INDEX(Reactivos!$D$2:$D$435,MATCH(B585,Reactivos!$A$2:$A$435,0)),"ID no existe"))</f>
        <v/>
      </c>
      <c r="D585" s="8"/>
      <c r="E585" s="7" t="str">
        <f>IF(B585="","",IFERROR(INDEX(Reactivos!$H$2:$H$435,MATCH(B585,Reactivos!$A$2:$A$435,0)),""))</f>
        <v/>
      </c>
      <c r="F585" s="8"/>
      <c r="G585" s="8"/>
      <c r="H585" s="13"/>
    </row>
    <row r="586" spans="1:8" x14ac:dyDescent="0.3">
      <c r="A586" s="11"/>
      <c r="B586" s="8"/>
      <c r="C586" s="7" t="str">
        <f>IF(B586="","",IFERROR(INDEX(Reactivos!$D$2:$D$435,MATCH(B586,Reactivos!$A$2:$A$435,0)),"ID no existe"))</f>
        <v/>
      </c>
      <c r="D586" s="8"/>
      <c r="E586" s="7" t="str">
        <f>IF(B586="","",IFERROR(INDEX(Reactivos!$H$2:$H$435,MATCH(B586,Reactivos!$A$2:$A$435,0)),""))</f>
        <v/>
      </c>
      <c r="F586" s="8"/>
      <c r="G586" s="8"/>
      <c r="H586" s="13"/>
    </row>
    <row r="587" spans="1:8" x14ac:dyDescent="0.3">
      <c r="A587" s="11"/>
      <c r="B587" s="8"/>
      <c r="C587" s="7" t="str">
        <f>IF(B587="","",IFERROR(INDEX(Reactivos!$D$2:$D$435,MATCH(B587,Reactivos!$A$2:$A$435,0)),"ID no existe"))</f>
        <v/>
      </c>
      <c r="D587" s="8"/>
      <c r="E587" s="7" t="str">
        <f>IF(B587="","",IFERROR(INDEX(Reactivos!$H$2:$H$435,MATCH(B587,Reactivos!$A$2:$A$435,0)),""))</f>
        <v/>
      </c>
      <c r="F587" s="8"/>
      <c r="G587" s="8"/>
      <c r="H587" s="13"/>
    </row>
    <row r="588" spans="1:8" x14ac:dyDescent="0.3">
      <c r="A588" s="11"/>
      <c r="B588" s="8"/>
      <c r="C588" s="7" t="str">
        <f>IF(B588="","",IFERROR(INDEX(Reactivos!$D$2:$D$435,MATCH(B588,Reactivos!$A$2:$A$435,0)),"ID no existe"))</f>
        <v/>
      </c>
      <c r="D588" s="8"/>
      <c r="E588" s="7" t="str">
        <f>IF(B588="","",IFERROR(INDEX(Reactivos!$H$2:$H$435,MATCH(B588,Reactivos!$A$2:$A$435,0)),""))</f>
        <v/>
      </c>
      <c r="F588" s="8"/>
      <c r="G588" s="8"/>
      <c r="H588" s="13"/>
    </row>
    <row r="589" spans="1:8" x14ac:dyDescent="0.3">
      <c r="A589" s="11"/>
      <c r="B589" s="8"/>
      <c r="C589" s="7" t="str">
        <f>IF(B589="","",IFERROR(INDEX(Reactivos!$D$2:$D$435,MATCH(B589,Reactivos!$A$2:$A$435,0)),"ID no existe"))</f>
        <v/>
      </c>
      <c r="D589" s="8"/>
      <c r="E589" s="7" t="str">
        <f>IF(B589="","",IFERROR(INDEX(Reactivos!$H$2:$H$435,MATCH(B589,Reactivos!$A$2:$A$435,0)),""))</f>
        <v/>
      </c>
      <c r="F589" s="8"/>
      <c r="G589" s="8"/>
      <c r="H589" s="13"/>
    </row>
    <row r="590" spans="1:8" x14ac:dyDescent="0.3">
      <c r="A590" s="11"/>
      <c r="B590" s="8"/>
      <c r="C590" s="7" t="str">
        <f>IF(B590="","",IFERROR(INDEX(Reactivos!$D$2:$D$435,MATCH(B590,Reactivos!$A$2:$A$435,0)),"ID no existe"))</f>
        <v/>
      </c>
      <c r="D590" s="8"/>
      <c r="E590" s="7" t="str">
        <f>IF(B590="","",IFERROR(INDEX(Reactivos!$H$2:$H$435,MATCH(B590,Reactivos!$A$2:$A$435,0)),""))</f>
        <v/>
      </c>
      <c r="F590" s="8"/>
      <c r="G590" s="8"/>
      <c r="H590" s="13"/>
    </row>
    <row r="591" spans="1:8" x14ac:dyDescent="0.3">
      <c r="A591" s="11"/>
      <c r="B591" s="8"/>
      <c r="C591" s="7" t="str">
        <f>IF(B591="","",IFERROR(INDEX(Reactivos!$D$2:$D$435,MATCH(B591,Reactivos!$A$2:$A$435,0)),"ID no existe"))</f>
        <v/>
      </c>
      <c r="D591" s="8"/>
      <c r="E591" s="7" t="str">
        <f>IF(B591="","",IFERROR(INDEX(Reactivos!$H$2:$H$435,MATCH(B591,Reactivos!$A$2:$A$435,0)),""))</f>
        <v/>
      </c>
      <c r="F591" s="8"/>
      <c r="G591" s="8"/>
      <c r="H591" s="13"/>
    </row>
    <row r="592" spans="1:8" x14ac:dyDescent="0.3">
      <c r="A592" s="11"/>
      <c r="B592" s="8"/>
      <c r="C592" s="7" t="str">
        <f>IF(B592="","",IFERROR(INDEX(Reactivos!$D$2:$D$435,MATCH(B592,Reactivos!$A$2:$A$435,0)),"ID no existe"))</f>
        <v/>
      </c>
      <c r="D592" s="8"/>
      <c r="E592" s="7" t="str">
        <f>IF(B592="","",IFERROR(INDEX(Reactivos!$H$2:$H$435,MATCH(B592,Reactivos!$A$2:$A$435,0)),""))</f>
        <v/>
      </c>
      <c r="F592" s="8"/>
      <c r="G592" s="8"/>
      <c r="H592" s="13"/>
    </row>
    <row r="593" spans="1:8" x14ac:dyDescent="0.3">
      <c r="A593" s="11"/>
      <c r="B593" s="8"/>
      <c r="C593" s="7" t="str">
        <f>IF(B593="","",IFERROR(INDEX(Reactivos!$D$2:$D$435,MATCH(B593,Reactivos!$A$2:$A$435,0)),"ID no existe"))</f>
        <v/>
      </c>
      <c r="D593" s="8"/>
      <c r="E593" s="7" t="str">
        <f>IF(B593="","",IFERROR(INDEX(Reactivos!$H$2:$H$435,MATCH(B593,Reactivos!$A$2:$A$435,0)),""))</f>
        <v/>
      </c>
      <c r="F593" s="8"/>
      <c r="G593" s="8"/>
      <c r="H593" s="13"/>
    </row>
    <row r="594" spans="1:8" x14ac:dyDescent="0.3">
      <c r="A594" s="11"/>
      <c r="B594" s="8"/>
      <c r="C594" s="7" t="str">
        <f>IF(B594="","",IFERROR(INDEX(Reactivos!$D$2:$D$435,MATCH(B594,Reactivos!$A$2:$A$435,0)),"ID no existe"))</f>
        <v/>
      </c>
      <c r="D594" s="8"/>
      <c r="E594" s="7" t="str">
        <f>IF(B594="","",IFERROR(INDEX(Reactivos!$H$2:$H$435,MATCH(B594,Reactivos!$A$2:$A$435,0)),""))</f>
        <v/>
      </c>
      <c r="F594" s="8"/>
      <c r="G594" s="8"/>
      <c r="H594" s="13"/>
    </row>
    <row r="595" spans="1:8" x14ac:dyDescent="0.3">
      <c r="A595" s="11"/>
      <c r="B595" s="8"/>
      <c r="C595" s="7" t="str">
        <f>IF(B595="","",IFERROR(INDEX(Reactivos!$D$2:$D$435,MATCH(B595,Reactivos!$A$2:$A$435,0)),"ID no existe"))</f>
        <v/>
      </c>
      <c r="D595" s="8"/>
      <c r="E595" s="7" t="str">
        <f>IF(B595="","",IFERROR(INDEX(Reactivos!$H$2:$H$435,MATCH(B595,Reactivos!$A$2:$A$435,0)),""))</f>
        <v/>
      </c>
      <c r="F595" s="8"/>
      <c r="G595" s="8"/>
      <c r="H595" s="13"/>
    </row>
    <row r="596" spans="1:8" x14ac:dyDescent="0.3">
      <c r="A596" s="11"/>
      <c r="B596" s="8"/>
      <c r="C596" s="7" t="str">
        <f>IF(B596="","",IFERROR(INDEX(Reactivos!$D$2:$D$435,MATCH(B596,Reactivos!$A$2:$A$435,0)),"ID no existe"))</f>
        <v/>
      </c>
      <c r="D596" s="8"/>
      <c r="E596" s="7" t="str">
        <f>IF(B596="","",IFERROR(INDEX(Reactivos!$H$2:$H$435,MATCH(B596,Reactivos!$A$2:$A$435,0)),""))</f>
        <v/>
      </c>
      <c r="F596" s="8"/>
      <c r="G596" s="8"/>
      <c r="H596" s="13"/>
    </row>
    <row r="597" spans="1:8" x14ac:dyDescent="0.3">
      <c r="A597" s="11"/>
      <c r="B597" s="8"/>
      <c r="C597" s="7" t="str">
        <f>IF(B597="","",IFERROR(INDEX(Reactivos!$D$2:$D$435,MATCH(B597,Reactivos!$A$2:$A$435,0)),"ID no existe"))</f>
        <v/>
      </c>
      <c r="D597" s="8"/>
      <c r="E597" s="7" t="str">
        <f>IF(B597="","",IFERROR(INDEX(Reactivos!$H$2:$H$435,MATCH(B597,Reactivos!$A$2:$A$435,0)),""))</f>
        <v/>
      </c>
      <c r="F597" s="8"/>
      <c r="G597" s="8"/>
      <c r="H597" s="13"/>
    </row>
    <row r="598" spans="1:8" x14ac:dyDescent="0.3">
      <c r="A598" s="11"/>
      <c r="B598" s="8"/>
      <c r="C598" s="7" t="str">
        <f>IF(B598="","",IFERROR(INDEX(Reactivos!$D$2:$D$435,MATCH(B598,Reactivos!$A$2:$A$435,0)),"ID no existe"))</f>
        <v/>
      </c>
      <c r="D598" s="8"/>
      <c r="E598" s="7" t="str">
        <f>IF(B598="","",IFERROR(INDEX(Reactivos!$H$2:$H$435,MATCH(B598,Reactivos!$A$2:$A$435,0)),""))</f>
        <v/>
      </c>
      <c r="F598" s="8"/>
      <c r="G598" s="8"/>
      <c r="H598" s="13"/>
    </row>
    <row r="599" spans="1:8" x14ac:dyDescent="0.3">
      <c r="A599" s="11"/>
      <c r="B599" s="8"/>
      <c r="C599" s="7" t="str">
        <f>IF(B599="","",IFERROR(INDEX(Reactivos!$D$2:$D$435,MATCH(B599,Reactivos!$A$2:$A$435,0)),"ID no existe"))</f>
        <v/>
      </c>
      <c r="D599" s="8"/>
      <c r="E599" s="7" t="str">
        <f>IF(B599="","",IFERROR(INDEX(Reactivos!$H$2:$H$435,MATCH(B599,Reactivos!$A$2:$A$435,0)),""))</f>
        <v/>
      </c>
      <c r="F599" s="8"/>
      <c r="G599" s="8"/>
      <c r="H599" s="13"/>
    </row>
    <row r="600" spans="1:8" x14ac:dyDescent="0.3">
      <c r="A600" s="11"/>
      <c r="B600" s="8"/>
      <c r="C600" s="7" t="str">
        <f>IF(B600="","",IFERROR(INDEX(Reactivos!$D$2:$D$435,MATCH(B600,Reactivos!$A$2:$A$435,0)),"ID no existe"))</f>
        <v/>
      </c>
      <c r="D600" s="8"/>
      <c r="E600" s="7" t="str">
        <f>IF(B600="","",IFERROR(INDEX(Reactivos!$H$2:$H$435,MATCH(B600,Reactivos!$A$2:$A$435,0)),""))</f>
        <v/>
      </c>
      <c r="F600" s="8"/>
      <c r="G600" s="8"/>
      <c r="H600" s="13"/>
    </row>
    <row r="601" spans="1:8" x14ac:dyDescent="0.3">
      <c r="A601" s="11"/>
      <c r="B601" s="8"/>
      <c r="C601" s="7" t="str">
        <f>IF(B601="","",IFERROR(INDEX(Reactivos!$D$2:$D$435,MATCH(B601,Reactivos!$A$2:$A$435,0)),"ID no existe"))</f>
        <v/>
      </c>
      <c r="D601" s="8"/>
      <c r="E601" s="7" t="str">
        <f>IF(B601="","",IFERROR(INDEX(Reactivos!$H$2:$H$435,MATCH(B601,Reactivos!$A$2:$A$435,0)),""))</f>
        <v/>
      </c>
      <c r="F601" s="8"/>
      <c r="G601" s="8"/>
      <c r="H601" s="13"/>
    </row>
    <row r="602" spans="1:8" x14ac:dyDescent="0.3">
      <c r="A602" s="11"/>
      <c r="B602" s="8"/>
      <c r="C602" s="7" t="str">
        <f>IF(B602="","",IFERROR(INDEX(Reactivos!$D$2:$D$435,MATCH(B602,Reactivos!$A$2:$A$435,0)),"ID no existe"))</f>
        <v/>
      </c>
      <c r="D602" s="8"/>
      <c r="E602" s="7" t="str">
        <f>IF(B602="","",IFERROR(INDEX(Reactivos!$H$2:$H$435,MATCH(B602,Reactivos!$A$2:$A$435,0)),""))</f>
        <v/>
      </c>
      <c r="F602" s="8"/>
      <c r="G602" s="8"/>
      <c r="H602" s="13"/>
    </row>
    <row r="603" spans="1:8" x14ac:dyDescent="0.3">
      <c r="A603" s="11"/>
      <c r="B603" s="8"/>
      <c r="C603" s="7" t="str">
        <f>IF(B603="","",IFERROR(INDEX(Reactivos!$D$2:$D$435,MATCH(B603,Reactivos!$A$2:$A$435,0)),"ID no existe"))</f>
        <v/>
      </c>
      <c r="D603" s="8"/>
      <c r="E603" s="7" t="str">
        <f>IF(B603="","",IFERROR(INDEX(Reactivos!$H$2:$H$435,MATCH(B603,Reactivos!$A$2:$A$435,0)),""))</f>
        <v/>
      </c>
      <c r="F603" s="8"/>
      <c r="G603" s="8"/>
      <c r="H603" s="13"/>
    </row>
    <row r="604" spans="1:8" x14ac:dyDescent="0.3">
      <c r="A604" s="11"/>
      <c r="B604" s="8"/>
      <c r="C604" s="7" t="str">
        <f>IF(B604="","",IFERROR(INDEX(Reactivos!$D$2:$D$435,MATCH(B604,Reactivos!$A$2:$A$435,0)),"ID no existe"))</f>
        <v/>
      </c>
      <c r="D604" s="8"/>
      <c r="E604" s="7" t="str">
        <f>IF(B604="","",IFERROR(INDEX(Reactivos!$H$2:$H$435,MATCH(B604,Reactivos!$A$2:$A$435,0)),""))</f>
        <v/>
      </c>
      <c r="F604" s="8"/>
      <c r="G604" s="8"/>
      <c r="H604" s="13"/>
    </row>
    <row r="605" spans="1:8" x14ac:dyDescent="0.3">
      <c r="A605" s="11"/>
      <c r="B605" s="8"/>
      <c r="C605" s="7" t="str">
        <f>IF(B605="","",IFERROR(INDEX(Reactivos!$D$2:$D$435,MATCH(B605,Reactivos!$A$2:$A$435,0)),"ID no existe"))</f>
        <v/>
      </c>
      <c r="D605" s="8"/>
      <c r="E605" s="7" t="str">
        <f>IF(B605="","",IFERROR(INDEX(Reactivos!$H$2:$H$435,MATCH(B605,Reactivos!$A$2:$A$435,0)),""))</f>
        <v/>
      </c>
      <c r="F605" s="8"/>
      <c r="G605" s="8"/>
      <c r="H605" s="13"/>
    </row>
    <row r="606" spans="1:8" x14ac:dyDescent="0.3">
      <c r="A606" s="11"/>
      <c r="B606" s="8"/>
      <c r="C606" s="7" t="str">
        <f>IF(B606="","",IFERROR(INDEX(Reactivos!$D$2:$D$435,MATCH(B606,Reactivos!$A$2:$A$435,0)),"ID no existe"))</f>
        <v/>
      </c>
      <c r="D606" s="8"/>
      <c r="E606" s="7" t="str">
        <f>IF(B606="","",IFERROR(INDEX(Reactivos!$H$2:$H$435,MATCH(B606,Reactivos!$A$2:$A$435,0)),""))</f>
        <v/>
      </c>
      <c r="F606" s="8"/>
      <c r="G606" s="8"/>
      <c r="H606" s="13"/>
    </row>
    <row r="607" spans="1:8" x14ac:dyDescent="0.3">
      <c r="A607" s="11"/>
      <c r="B607" s="8"/>
      <c r="C607" s="7" t="str">
        <f>IF(B607="","",IFERROR(INDEX(Reactivos!$D$2:$D$435,MATCH(B607,Reactivos!$A$2:$A$435,0)),"ID no existe"))</f>
        <v/>
      </c>
      <c r="D607" s="8"/>
      <c r="E607" s="7" t="str">
        <f>IF(B607="","",IFERROR(INDEX(Reactivos!$H$2:$H$435,MATCH(B607,Reactivos!$A$2:$A$435,0)),""))</f>
        <v/>
      </c>
      <c r="F607" s="8"/>
      <c r="G607" s="8"/>
      <c r="H607" s="13"/>
    </row>
    <row r="608" spans="1:8" x14ac:dyDescent="0.3">
      <c r="A608" s="11"/>
      <c r="B608" s="8"/>
      <c r="C608" s="7" t="str">
        <f>IF(B608="","",IFERROR(INDEX(Reactivos!$D$2:$D$435,MATCH(B608,Reactivos!$A$2:$A$435,0)),"ID no existe"))</f>
        <v/>
      </c>
      <c r="D608" s="8"/>
      <c r="E608" s="7" t="str">
        <f>IF(B608="","",IFERROR(INDEX(Reactivos!$H$2:$H$435,MATCH(B608,Reactivos!$A$2:$A$435,0)),""))</f>
        <v/>
      </c>
      <c r="F608" s="8"/>
      <c r="G608" s="8"/>
      <c r="H608" s="13"/>
    </row>
    <row r="609" spans="1:8" x14ac:dyDescent="0.3">
      <c r="A609" s="11"/>
      <c r="B609" s="8"/>
      <c r="C609" s="7" t="str">
        <f>IF(B609="","",IFERROR(INDEX(Reactivos!$D$2:$D$435,MATCH(B609,Reactivos!$A$2:$A$435,0)),"ID no existe"))</f>
        <v/>
      </c>
      <c r="D609" s="8"/>
      <c r="E609" s="7" t="str">
        <f>IF(B609="","",IFERROR(INDEX(Reactivos!$H$2:$H$435,MATCH(B609,Reactivos!$A$2:$A$435,0)),""))</f>
        <v/>
      </c>
      <c r="F609" s="8"/>
      <c r="G609" s="8"/>
      <c r="H609" s="13"/>
    </row>
    <row r="610" spans="1:8" x14ac:dyDescent="0.3">
      <c r="A610" s="11"/>
      <c r="B610" s="8"/>
      <c r="C610" s="7" t="str">
        <f>IF(B610="","",IFERROR(INDEX(Reactivos!$D$2:$D$435,MATCH(B610,Reactivos!$A$2:$A$435,0)),"ID no existe"))</f>
        <v/>
      </c>
      <c r="D610" s="8"/>
      <c r="E610" s="7" t="str">
        <f>IF(B610="","",IFERROR(INDEX(Reactivos!$H$2:$H$435,MATCH(B610,Reactivos!$A$2:$A$435,0)),""))</f>
        <v/>
      </c>
      <c r="F610" s="8"/>
      <c r="G610" s="8"/>
      <c r="H610" s="13"/>
    </row>
    <row r="611" spans="1:8" x14ac:dyDescent="0.3">
      <c r="A611" s="11"/>
      <c r="B611" s="8"/>
      <c r="C611" s="7" t="str">
        <f>IF(B611="","",IFERROR(INDEX(Reactivos!$D$2:$D$435,MATCH(B611,Reactivos!$A$2:$A$435,0)),"ID no existe"))</f>
        <v/>
      </c>
      <c r="D611" s="8"/>
      <c r="E611" s="7" t="str">
        <f>IF(B611="","",IFERROR(INDEX(Reactivos!$H$2:$H$435,MATCH(B611,Reactivos!$A$2:$A$435,0)),""))</f>
        <v/>
      </c>
      <c r="F611" s="8"/>
      <c r="G611" s="8"/>
      <c r="H611" s="13"/>
    </row>
    <row r="612" spans="1:8" x14ac:dyDescent="0.3">
      <c r="A612" s="11"/>
      <c r="B612" s="8"/>
      <c r="C612" s="7" t="str">
        <f>IF(B612="","",IFERROR(INDEX(Reactivos!$D$2:$D$435,MATCH(B612,Reactivos!$A$2:$A$435,0)),"ID no existe"))</f>
        <v/>
      </c>
      <c r="D612" s="8"/>
      <c r="E612" s="7" t="str">
        <f>IF(B612="","",IFERROR(INDEX(Reactivos!$H$2:$H$435,MATCH(B612,Reactivos!$A$2:$A$435,0)),""))</f>
        <v/>
      </c>
      <c r="F612" s="8"/>
      <c r="G612" s="8"/>
      <c r="H612" s="13"/>
    </row>
    <row r="613" spans="1:8" x14ac:dyDescent="0.3">
      <c r="A613" s="11"/>
      <c r="B613" s="8"/>
      <c r="C613" s="7" t="str">
        <f>IF(B613="","",IFERROR(INDEX(Reactivos!$D$2:$D$435,MATCH(B613,Reactivos!$A$2:$A$435,0)),"ID no existe"))</f>
        <v/>
      </c>
      <c r="D613" s="8"/>
      <c r="E613" s="7" t="str">
        <f>IF(B613="","",IFERROR(INDEX(Reactivos!$H$2:$H$435,MATCH(B613,Reactivos!$A$2:$A$435,0)),""))</f>
        <v/>
      </c>
      <c r="F613" s="8"/>
      <c r="G613" s="8"/>
      <c r="H613" s="13"/>
    </row>
    <row r="614" spans="1:8" x14ac:dyDescent="0.3">
      <c r="A614" s="11"/>
      <c r="B614" s="8"/>
      <c r="C614" s="7" t="str">
        <f>IF(B614="","",IFERROR(INDEX(Reactivos!$D$2:$D$435,MATCH(B614,Reactivos!$A$2:$A$435,0)),"ID no existe"))</f>
        <v/>
      </c>
      <c r="D614" s="8"/>
      <c r="E614" s="7" t="str">
        <f>IF(B614="","",IFERROR(INDEX(Reactivos!$H$2:$H$435,MATCH(B614,Reactivos!$A$2:$A$435,0)),""))</f>
        <v/>
      </c>
      <c r="F614" s="8"/>
      <c r="G614" s="8"/>
      <c r="H614" s="13"/>
    </row>
    <row r="615" spans="1:8" x14ac:dyDescent="0.3">
      <c r="A615" s="11"/>
      <c r="B615" s="8"/>
      <c r="C615" s="7" t="str">
        <f>IF(B615="","",IFERROR(INDEX(Reactivos!$D$2:$D$435,MATCH(B615,Reactivos!$A$2:$A$435,0)),"ID no existe"))</f>
        <v/>
      </c>
      <c r="D615" s="8"/>
      <c r="E615" s="7" t="str">
        <f>IF(B615="","",IFERROR(INDEX(Reactivos!$H$2:$H$435,MATCH(B615,Reactivos!$A$2:$A$435,0)),""))</f>
        <v/>
      </c>
      <c r="F615" s="8"/>
      <c r="G615" s="8"/>
      <c r="H615" s="13"/>
    </row>
    <row r="616" spans="1:8" x14ac:dyDescent="0.3">
      <c r="A616" s="11"/>
      <c r="B616" s="8"/>
      <c r="C616" s="7" t="str">
        <f>IF(B616="","",IFERROR(INDEX(Reactivos!$D$2:$D$435,MATCH(B616,Reactivos!$A$2:$A$435,0)),"ID no existe"))</f>
        <v/>
      </c>
      <c r="D616" s="8"/>
      <c r="E616" s="7" t="str">
        <f>IF(B616="","",IFERROR(INDEX(Reactivos!$H$2:$H$435,MATCH(B616,Reactivos!$A$2:$A$435,0)),""))</f>
        <v/>
      </c>
      <c r="F616" s="8"/>
      <c r="G616" s="8"/>
      <c r="H616" s="13"/>
    </row>
    <row r="617" spans="1:8" x14ac:dyDescent="0.3">
      <c r="A617" s="11"/>
      <c r="B617" s="8"/>
      <c r="C617" s="7" t="str">
        <f>IF(B617="","",IFERROR(INDEX(Reactivos!$D$2:$D$435,MATCH(B617,Reactivos!$A$2:$A$435,0)),"ID no existe"))</f>
        <v/>
      </c>
      <c r="D617" s="8"/>
      <c r="E617" s="7" t="str">
        <f>IF(B617="","",IFERROR(INDEX(Reactivos!$H$2:$H$435,MATCH(B617,Reactivos!$A$2:$A$435,0)),""))</f>
        <v/>
      </c>
      <c r="F617" s="8"/>
      <c r="G617" s="8"/>
      <c r="H617" s="13"/>
    </row>
    <row r="618" spans="1:8" x14ac:dyDescent="0.3">
      <c r="A618" s="11"/>
      <c r="B618" s="8"/>
      <c r="C618" s="7" t="str">
        <f>IF(B618="","",IFERROR(INDEX(Reactivos!$D$2:$D$435,MATCH(B618,Reactivos!$A$2:$A$435,0)),"ID no existe"))</f>
        <v/>
      </c>
      <c r="D618" s="8"/>
      <c r="E618" s="7" t="str">
        <f>IF(B618="","",IFERROR(INDEX(Reactivos!$H$2:$H$435,MATCH(B618,Reactivos!$A$2:$A$435,0)),""))</f>
        <v/>
      </c>
      <c r="F618" s="8"/>
      <c r="G618" s="8"/>
      <c r="H618" s="13"/>
    </row>
    <row r="619" spans="1:8" x14ac:dyDescent="0.3">
      <c r="A619" s="11"/>
      <c r="B619" s="8"/>
      <c r="C619" s="7" t="str">
        <f>IF(B619="","",IFERROR(INDEX(Reactivos!$D$2:$D$435,MATCH(B619,Reactivos!$A$2:$A$435,0)),"ID no existe"))</f>
        <v/>
      </c>
      <c r="D619" s="8"/>
      <c r="E619" s="7" t="str">
        <f>IF(B619="","",IFERROR(INDEX(Reactivos!$H$2:$H$435,MATCH(B619,Reactivos!$A$2:$A$435,0)),""))</f>
        <v/>
      </c>
      <c r="F619" s="8"/>
      <c r="G619" s="8"/>
      <c r="H619" s="13"/>
    </row>
    <row r="620" spans="1:8" x14ac:dyDescent="0.3">
      <c r="A620" s="11"/>
      <c r="B620" s="8"/>
      <c r="C620" s="7" t="str">
        <f>IF(B620="","",IFERROR(INDEX(Reactivos!$D$2:$D$435,MATCH(B620,Reactivos!$A$2:$A$435,0)),"ID no existe"))</f>
        <v/>
      </c>
      <c r="D620" s="8"/>
      <c r="E620" s="7" t="str">
        <f>IF(B620="","",IFERROR(INDEX(Reactivos!$H$2:$H$435,MATCH(B620,Reactivos!$A$2:$A$435,0)),""))</f>
        <v/>
      </c>
      <c r="F620" s="8"/>
      <c r="G620" s="8"/>
      <c r="H620" s="13"/>
    </row>
    <row r="621" spans="1:8" x14ac:dyDescent="0.3">
      <c r="A621" s="11"/>
      <c r="B621" s="8"/>
      <c r="C621" s="7" t="str">
        <f>IF(B621="","",IFERROR(INDEX(Reactivos!$D$2:$D$435,MATCH(B621,Reactivos!$A$2:$A$435,0)),"ID no existe"))</f>
        <v/>
      </c>
      <c r="D621" s="8"/>
      <c r="E621" s="7" t="str">
        <f>IF(B621="","",IFERROR(INDEX(Reactivos!$H$2:$H$435,MATCH(B621,Reactivos!$A$2:$A$435,0)),""))</f>
        <v/>
      </c>
      <c r="F621" s="8"/>
      <c r="G621" s="8"/>
      <c r="H621" s="13"/>
    </row>
    <row r="622" spans="1:8" x14ac:dyDescent="0.3">
      <c r="A622" s="11"/>
      <c r="B622" s="8"/>
      <c r="C622" s="7" t="str">
        <f>IF(B622="","",IFERROR(INDEX(Reactivos!$D$2:$D$435,MATCH(B622,Reactivos!$A$2:$A$435,0)),"ID no existe"))</f>
        <v/>
      </c>
      <c r="D622" s="8"/>
      <c r="E622" s="7" t="str">
        <f>IF(B622="","",IFERROR(INDEX(Reactivos!$H$2:$H$435,MATCH(B622,Reactivos!$A$2:$A$435,0)),""))</f>
        <v/>
      </c>
      <c r="F622" s="8"/>
      <c r="G622" s="8"/>
      <c r="H622" s="13"/>
    </row>
    <row r="623" spans="1:8" x14ac:dyDescent="0.3">
      <c r="A623" s="11"/>
      <c r="B623" s="8"/>
      <c r="C623" s="7" t="str">
        <f>IF(B623="","",IFERROR(INDEX(Reactivos!$D$2:$D$435,MATCH(B623,Reactivos!$A$2:$A$435,0)),"ID no existe"))</f>
        <v/>
      </c>
      <c r="D623" s="8"/>
      <c r="E623" s="7" t="str">
        <f>IF(B623="","",IFERROR(INDEX(Reactivos!$H$2:$H$435,MATCH(B623,Reactivos!$A$2:$A$435,0)),""))</f>
        <v/>
      </c>
      <c r="F623" s="8"/>
      <c r="G623" s="8"/>
      <c r="H623" s="13"/>
    </row>
    <row r="624" spans="1:8" x14ac:dyDescent="0.3">
      <c r="A624" s="11"/>
      <c r="B624" s="8"/>
      <c r="C624" s="7" t="str">
        <f>IF(B624="","",IFERROR(INDEX(Reactivos!$D$2:$D$435,MATCH(B624,Reactivos!$A$2:$A$435,0)),"ID no existe"))</f>
        <v/>
      </c>
      <c r="D624" s="8"/>
      <c r="E624" s="7" t="str">
        <f>IF(B624="","",IFERROR(INDEX(Reactivos!$H$2:$H$435,MATCH(B624,Reactivos!$A$2:$A$435,0)),""))</f>
        <v/>
      </c>
      <c r="F624" s="8"/>
      <c r="G624" s="8"/>
      <c r="H624" s="13"/>
    </row>
    <row r="625" spans="1:8" x14ac:dyDescent="0.3">
      <c r="A625" s="11"/>
      <c r="B625" s="8"/>
      <c r="C625" s="7" t="str">
        <f>IF(B625="","",IFERROR(INDEX(Reactivos!$D$2:$D$435,MATCH(B625,Reactivos!$A$2:$A$435,0)),"ID no existe"))</f>
        <v/>
      </c>
      <c r="D625" s="8"/>
      <c r="E625" s="7" t="str">
        <f>IF(B625="","",IFERROR(INDEX(Reactivos!$H$2:$H$435,MATCH(B625,Reactivos!$A$2:$A$435,0)),""))</f>
        <v/>
      </c>
      <c r="F625" s="8"/>
      <c r="G625" s="8"/>
      <c r="H625" s="13"/>
    </row>
    <row r="626" spans="1:8" x14ac:dyDescent="0.3">
      <c r="A626" s="11"/>
      <c r="B626" s="8"/>
      <c r="C626" s="7" t="str">
        <f>IF(B626="","",IFERROR(INDEX(Reactivos!$D$2:$D$435,MATCH(B626,Reactivos!$A$2:$A$435,0)),"ID no existe"))</f>
        <v/>
      </c>
      <c r="D626" s="8"/>
      <c r="E626" s="7" t="str">
        <f>IF(B626="","",IFERROR(INDEX(Reactivos!$H$2:$H$435,MATCH(B626,Reactivos!$A$2:$A$435,0)),""))</f>
        <v/>
      </c>
      <c r="F626" s="8"/>
      <c r="G626" s="8"/>
      <c r="H626" s="13"/>
    </row>
    <row r="627" spans="1:8" x14ac:dyDescent="0.3">
      <c r="A627" s="11"/>
      <c r="B627" s="8"/>
      <c r="C627" s="7" t="str">
        <f>IF(B627="","",IFERROR(INDEX(Reactivos!$D$2:$D$435,MATCH(B627,Reactivos!$A$2:$A$435,0)),"ID no existe"))</f>
        <v/>
      </c>
      <c r="D627" s="8"/>
      <c r="E627" s="7" t="str">
        <f>IF(B627="","",IFERROR(INDEX(Reactivos!$H$2:$H$435,MATCH(B627,Reactivos!$A$2:$A$435,0)),""))</f>
        <v/>
      </c>
      <c r="F627" s="8"/>
      <c r="G627" s="8"/>
      <c r="H627" s="13"/>
    </row>
    <row r="628" spans="1:8" x14ac:dyDescent="0.3">
      <c r="A628" s="11"/>
      <c r="B628" s="8"/>
      <c r="C628" s="7" t="str">
        <f>IF(B628="","",IFERROR(INDEX(Reactivos!$D$2:$D$435,MATCH(B628,Reactivos!$A$2:$A$435,0)),"ID no existe"))</f>
        <v/>
      </c>
      <c r="D628" s="8"/>
      <c r="E628" s="7" t="str">
        <f>IF(B628="","",IFERROR(INDEX(Reactivos!$H$2:$H$435,MATCH(B628,Reactivos!$A$2:$A$435,0)),""))</f>
        <v/>
      </c>
      <c r="F628" s="8"/>
      <c r="G628" s="8"/>
      <c r="H628" s="13"/>
    </row>
    <row r="629" spans="1:8" x14ac:dyDescent="0.3">
      <c r="A629" s="11"/>
      <c r="B629" s="8"/>
      <c r="C629" s="7" t="str">
        <f>IF(B629="","",IFERROR(INDEX(Reactivos!$D$2:$D$435,MATCH(B629,Reactivos!$A$2:$A$435,0)),"ID no existe"))</f>
        <v/>
      </c>
      <c r="D629" s="8"/>
      <c r="E629" s="7" t="str">
        <f>IF(B629="","",IFERROR(INDEX(Reactivos!$H$2:$H$435,MATCH(B629,Reactivos!$A$2:$A$435,0)),""))</f>
        <v/>
      </c>
      <c r="F629" s="8"/>
      <c r="G629" s="8"/>
      <c r="H629" s="13"/>
    </row>
    <row r="630" spans="1:8" x14ac:dyDescent="0.3">
      <c r="A630" s="11"/>
      <c r="B630" s="8"/>
      <c r="C630" s="7" t="str">
        <f>IF(B630="","",IFERROR(INDEX(Reactivos!$D$2:$D$435,MATCH(B630,Reactivos!$A$2:$A$435,0)),"ID no existe"))</f>
        <v/>
      </c>
      <c r="D630" s="8"/>
      <c r="E630" s="7" t="str">
        <f>IF(B630="","",IFERROR(INDEX(Reactivos!$H$2:$H$435,MATCH(B630,Reactivos!$A$2:$A$435,0)),""))</f>
        <v/>
      </c>
      <c r="F630" s="8"/>
      <c r="G630" s="8"/>
      <c r="H630" s="13"/>
    </row>
    <row r="631" spans="1:8" x14ac:dyDescent="0.3">
      <c r="A631" s="11"/>
      <c r="B631" s="8"/>
      <c r="C631" s="7" t="str">
        <f>IF(B631="","",IFERROR(INDEX(Reactivos!$D$2:$D$435,MATCH(B631,Reactivos!$A$2:$A$435,0)),"ID no existe"))</f>
        <v/>
      </c>
      <c r="D631" s="8"/>
      <c r="E631" s="7" t="str">
        <f>IF(B631="","",IFERROR(INDEX(Reactivos!$H$2:$H$435,MATCH(B631,Reactivos!$A$2:$A$435,0)),""))</f>
        <v/>
      </c>
      <c r="F631" s="8"/>
      <c r="G631" s="8"/>
      <c r="H631" s="13"/>
    </row>
    <row r="632" spans="1:8" x14ac:dyDescent="0.3">
      <c r="A632" s="11"/>
      <c r="B632" s="8"/>
      <c r="C632" s="7" t="str">
        <f>IF(B632="","",IFERROR(INDEX(Reactivos!$D$2:$D$435,MATCH(B632,Reactivos!$A$2:$A$435,0)),"ID no existe"))</f>
        <v/>
      </c>
      <c r="D632" s="8"/>
      <c r="E632" s="7" t="str">
        <f>IF(B632="","",IFERROR(INDEX(Reactivos!$H$2:$H$435,MATCH(B632,Reactivos!$A$2:$A$435,0)),""))</f>
        <v/>
      </c>
      <c r="F632" s="8"/>
      <c r="G632" s="8"/>
      <c r="H632" s="13"/>
    </row>
    <row r="633" spans="1:8" x14ac:dyDescent="0.3">
      <c r="A633" s="11"/>
      <c r="B633" s="8"/>
      <c r="C633" s="7" t="str">
        <f>IF(B633="","",IFERROR(INDEX(Reactivos!$D$2:$D$435,MATCH(B633,Reactivos!$A$2:$A$435,0)),"ID no existe"))</f>
        <v/>
      </c>
      <c r="D633" s="8"/>
      <c r="E633" s="7" t="str">
        <f>IF(B633="","",IFERROR(INDEX(Reactivos!$H$2:$H$435,MATCH(B633,Reactivos!$A$2:$A$435,0)),""))</f>
        <v/>
      </c>
      <c r="F633" s="8"/>
      <c r="G633" s="8"/>
      <c r="H633" s="13"/>
    </row>
    <row r="634" spans="1:8" x14ac:dyDescent="0.3">
      <c r="A634" s="11"/>
      <c r="B634" s="8"/>
      <c r="C634" s="7" t="str">
        <f>IF(B634="","",IFERROR(INDEX(Reactivos!$D$2:$D$435,MATCH(B634,Reactivos!$A$2:$A$435,0)),"ID no existe"))</f>
        <v/>
      </c>
      <c r="D634" s="8"/>
      <c r="E634" s="7" t="str">
        <f>IF(B634="","",IFERROR(INDEX(Reactivos!$H$2:$H$435,MATCH(B634,Reactivos!$A$2:$A$435,0)),""))</f>
        <v/>
      </c>
      <c r="F634" s="8"/>
      <c r="G634" s="8"/>
      <c r="H634" s="13"/>
    </row>
    <row r="635" spans="1:8" x14ac:dyDescent="0.3">
      <c r="A635" s="11"/>
      <c r="B635" s="8"/>
      <c r="C635" s="7" t="str">
        <f>IF(B635="","",IFERROR(INDEX(Reactivos!$D$2:$D$435,MATCH(B635,Reactivos!$A$2:$A$435,0)),"ID no existe"))</f>
        <v/>
      </c>
      <c r="D635" s="8"/>
      <c r="E635" s="7" t="str">
        <f>IF(B635="","",IFERROR(INDEX(Reactivos!$H$2:$H$435,MATCH(B635,Reactivos!$A$2:$A$435,0)),""))</f>
        <v/>
      </c>
      <c r="F635" s="8"/>
      <c r="G635" s="8"/>
      <c r="H635" s="13"/>
    </row>
    <row r="636" spans="1:8" x14ac:dyDescent="0.3">
      <c r="A636" s="11"/>
      <c r="B636" s="8"/>
      <c r="C636" s="7" t="str">
        <f>IF(B636="","",IFERROR(INDEX(Reactivos!$D$2:$D$435,MATCH(B636,Reactivos!$A$2:$A$435,0)),"ID no existe"))</f>
        <v/>
      </c>
      <c r="D636" s="8"/>
      <c r="E636" s="7" t="str">
        <f>IF(B636="","",IFERROR(INDEX(Reactivos!$H$2:$H$435,MATCH(B636,Reactivos!$A$2:$A$435,0)),""))</f>
        <v/>
      </c>
      <c r="F636" s="8"/>
      <c r="G636" s="8"/>
      <c r="H636" s="13"/>
    </row>
    <row r="637" spans="1:8" x14ac:dyDescent="0.3">
      <c r="A637" s="11"/>
      <c r="B637" s="8"/>
      <c r="C637" s="7" t="str">
        <f>IF(B637="","",IFERROR(INDEX(Reactivos!$D$2:$D$435,MATCH(B637,Reactivos!$A$2:$A$435,0)),"ID no existe"))</f>
        <v/>
      </c>
      <c r="D637" s="8"/>
      <c r="E637" s="7" t="str">
        <f>IF(B637="","",IFERROR(INDEX(Reactivos!$H$2:$H$435,MATCH(B637,Reactivos!$A$2:$A$435,0)),""))</f>
        <v/>
      </c>
      <c r="F637" s="8"/>
      <c r="G637" s="8"/>
      <c r="H637" s="13"/>
    </row>
    <row r="638" spans="1:8" x14ac:dyDescent="0.3">
      <c r="A638" s="11"/>
      <c r="B638" s="8"/>
      <c r="C638" s="7" t="str">
        <f>IF(B638="","",IFERROR(INDEX(Reactivos!$D$2:$D$435,MATCH(B638,Reactivos!$A$2:$A$435,0)),"ID no existe"))</f>
        <v/>
      </c>
      <c r="D638" s="8"/>
      <c r="E638" s="7" t="str">
        <f>IF(B638="","",IFERROR(INDEX(Reactivos!$H$2:$H$435,MATCH(B638,Reactivos!$A$2:$A$435,0)),""))</f>
        <v/>
      </c>
      <c r="F638" s="8"/>
      <c r="G638" s="8"/>
      <c r="H638" s="13"/>
    </row>
    <row r="639" spans="1:8" x14ac:dyDescent="0.3">
      <c r="A639" s="11"/>
      <c r="B639" s="8"/>
      <c r="C639" s="7" t="str">
        <f>IF(B639="","",IFERROR(INDEX(Reactivos!$D$2:$D$435,MATCH(B639,Reactivos!$A$2:$A$435,0)),"ID no existe"))</f>
        <v/>
      </c>
      <c r="D639" s="8"/>
      <c r="E639" s="7" t="str">
        <f>IF(B639="","",IFERROR(INDEX(Reactivos!$H$2:$H$435,MATCH(B639,Reactivos!$A$2:$A$435,0)),""))</f>
        <v/>
      </c>
      <c r="F639" s="8"/>
      <c r="G639" s="8"/>
      <c r="H639" s="13"/>
    </row>
    <row r="640" spans="1:8" x14ac:dyDescent="0.3">
      <c r="A640" s="11"/>
      <c r="B640" s="8"/>
      <c r="C640" s="7" t="str">
        <f>IF(B640="","",IFERROR(INDEX(Reactivos!$D$2:$D$435,MATCH(B640,Reactivos!$A$2:$A$435,0)),"ID no existe"))</f>
        <v/>
      </c>
      <c r="D640" s="8"/>
      <c r="E640" s="7" t="str">
        <f>IF(B640="","",IFERROR(INDEX(Reactivos!$H$2:$H$435,MATCH(B640,Reactivos!$A$2:$A$435,0)),""))</f>
        <v/>
      </c>
      <c r="F640" s="8"/>
      <c r="G640" s="8"/>
      <c r="H640" s="13"/>
    </row>
    <row r="641" spans="1:8" x14ac:dyDescent="0.3">
      <c r="A641" s="11"/>
      <c r="B641" s="8"/>
      <c r="C641" s="7" t="str">
        <f>IF(B641="","",IFERROR(INDEX(Reactivos!$D$2:$D$435,MATCH(B641,Reactivos!$A$2:$A$435,0)),"ID no existe"))</f>
        <v/>
      </c>
      <c r="D641" s="8"/>
      <c r="E641" s="7" t="str">
        <f>IF(B641="","",IFERROR(INDEX(Reactivos!$H$2:$H$435,MATCH(B641,Reactivos!$A$2:$A$435,0)),""))</f>
        <v/>
      </c>
      <c r="F641" s="8"/>
      <c r="G641" s="8"/>
      <c r="H641" s="13"/>
    </row>
    <row r="642" spans="1:8" x14ac:dyDescent="0.3">
      <c r="A642" s="11"/>
      <c r="B642" s="8"/>
      <c r="C642" s="7" t="str">
        <f>IF(B642="","",IFERROR(INDEX(Reactivos!$D$2:$D$435,MATCH(B642,Reactivos!$A$2:$A$435,0)),"ID no existe"))</f>
        <v/>
      </c>
      <c r="D642" s="8"/>
      <c r="E642" s="7" t="str">
        <f>IF(B642="","",IFERROR(INDEX(Reactivos!$H$2:$H$435,MATCH(B642,Reactivos!$A$2:$A$435,0)),""))</f>
        <v/>
      </c>
      <c r="F642" s="8"/>
      <c r="G642" s="8"/>
      <c r="H642" s="13"/>
    </row>
    <row r="643" spans="1:8" x14ac:dyDescent="0.3">
      <c r="A643" s="11"/>
      <c r="B643" s="8"/>
      <c r="C643" s="7" t="str">
        <f>IF(B643="","",IFERROR(INDEX(Reactivos!$D$2:$D$435,MATCH(B643,Reactivos!$A$2:$A$435,0)),"ID no existe"))</f>
        <v/>
      </c>
      <c r="D643" s="8"/>
      <c r="E643" s="7" t="str">
        <f>IF(B643="","",IFERROR(INDEX(Reactivos!$H$2:$H$435,MATCH(B643,Reactivos!$A$2:$A$435,0)),""))</f>
        <v/>
      </c>
      <c r="F643" s="8"/>
      <c r="G643" s="8"/>
      <c r="H643" s="13"/>
    </row>
    <row r="644" spans="1:8" x14ac:dyDescent="0.3">
      <c r="A644" s="11"/>
      <c r="B644" s="8"/>
      <c r="C644" s="7" t="str">
        <f>IF(B644="","",IFERROR(INDEX(Reactivos!$D$2:$D$435,MATCH(B644,Reactivos!$A$2:$A$435,0)),"ID no existe"))</f>
        <v/>
      </c>
      <c r="D644" s="8"/>
      <c r="E644" s="7" t="str">
        <f>IF(B644="","",IFERROR(INDEX(Reactivos!$H$2:$H$435,MATCH(B644,Reactivos!$A$2:$A$435,0)),""))</f>
        <v/>
      </c>
      <c r="F644" s="8"/>
      <c r="G644" s="8"/>
      <c r="H644" s="13"/>
    </row>
    <row r="645" spans="1:8" x14ac:dyDescent="0.3">
      <c r="A645" s="11"/>
      <c r="B645" s="8"/>
      <c r="C645" s="7" t="str">
        <f>IF(B645="","",IFERROR(INDEX(Reactivos!$D$2:$D$435,MATCH(B645,Reactivos!$A$2:$A$435,0)),"ID no existe"))</f>
        <v/>
      </c>
      <c r="D645" s="8"/>
      <c r="E645" s="7" t="str">
        <f>IF(B645="","",IFERROR(INDEX(Reactivos!$H$2:$H$435,MATCH(B645,Reactivos!$A$2:$A$435,0)),""))</f>
        <v/>
      </c>
      <c r="F645" s="8"/>
      <c r="G645" s="8"/>
      <c r="H645" s="13"/>
    </row>
    <row r="646" spans="1:8" x14ac:dyDescent="0.3">
      <c r="A646" s="11"/>
      <c r="B646" s="8"/>
      <c r="C646" s="7" t="str">
        <f>IF(B646="","",IFERROR(INDEX(Reactivos!$D$2:$D$435,MATCH(B646,Reactivos!$A$2:$A$435,0)),"ID no existe"))</f>
        <v/>
      </c>
      <c r="D646" s="8"/>
      <c r="E646" s="7" t="str">
        <f>IF(B646="","",IFERROR(INDEX(Reactivos!$H$2:$H$435,MATCH(B646,Reactivos!$A$2:$A$435,0)),""))</f>
        <v/>
      </c>
      <c r="F646" s="8"/>
      <c r="G646" s="8"/>
      <c r="H646" s="13"/>
    </row>
    <row r="647" spans="1:8" x14ac:dyDescent="0.3">
      <c r="A647" s="11"/>
      <c r="B647" s="8"/>
      <c r="C647" s="7" t="str">
        <f>IF(B647="","",IFERROR(INDEX(Reactivos!$D$2:$D$435,MATCH(B647,Reactivos!$A$2:$A$435,0)),"ID no existe"))</f>
        <v/>
      </c>
      <c r="D647" s="8"/>
      <c r="E647" s="7" t="str">
        <f>IF(B647="","",IFERROR(INDEX(Reactivos!$H$2:$H$435,MATCH(B647,Reactivos!$A$2:$A$435,0)),""))</f>
        <v/>
      </c>
      <c r="F647" s="8"/>
      <c r="G647" s="8"/>
      <c r="H647" s="13"/>
    </row>
    <row r="648" spans="1:8" x14ac:dyDescent="0.3">
      <c r="A648" s="11"/>
      <c r="B648" s="8"/>
      <c r="C648" s="7" t="str">
        <f>IF(B648="","",IFERROR(INDEX(Reactivos!$D$2:$D$435,MATCH(B648,Reactivos!$A$2:$A$435,0)),"ID no existe"))</f>
        <v/>
      </c>
      <c r="D648" s="8"/>
      <c r="E648" s="7" t="str">
        <f>IF(B648="","",IFERROR(INDEX(Reactivos!$H$2:$H$435,MATCH(B648,Reactivos!$A$2:$A$435,0)),""))</f>
        <v/>
      </c>
      <c r="F648" s="8"/>
      <c r="G648" s="8"/>
      <c r="H648" s="13"/>
    </row>
    <row r="649" spans="1:8" x14ac:dyDescent="0.3">
      <c r="A649" s="11"/>
      <c r="B649" s="8"/>
      <c r="C649" s="7" t="str">
        <f>IF(B649="","",IFERROR(INDEX(Reactivos!$D$2:$D$435,MATCH(B649,Reactivos!$A$2:$A$435,0)),"ID no existe"))</f>
        <v/>
      </c>
      <c r="D649" s="8"/>
      <c r="E649" s="7" t="str">
        <f>IF(B649="","",IFERROR(INDEX(Reactivos!$H$2:$H$435,MATCH(B649,Reactivos!$A$2:$A$435,0)),""))</f>
        <v/>
      </c>
      <c r="F649" s="8"/>
      <c r="G649" s="8"/>
      <c r="H649" s="13"/>
    </row>
    <row r="650" spans="1:8" x14ac:dyDescent="0.3">
      <c r="A650" s="11"/>
      <c r="B650" s="8"/>
      <c r="C650" s="7" t="str">
        <f>IF(B650="","",IFERROR(INDEX(Reactivos!$D$2:$D$435,MATCH(B650,Reactivos!$A$2:$A$435,0)),"ID no existe"))</f>
        <v/>
      </c>
      <c r="D650" s="8"/>
      <c r="E650" s="7" t="str">
        <f>IF(B650="","",IFERROR(INDEX(Reactivos!$H$2:$H$435,MATCH(B650,Reactivos!$A$2:$A$435,0)),""))</f>
        <v/>
      </c>
      <c r="F650" s="8"/>
      <c r="G650" s="8"/>
      <c r="H650" s="13"/>
    </row>
    <row r="651" spans="1:8" x14ac:dyDescent="0.3">
      <c r="A651" s="11"/>
      <c r="B651" s="8"/>
      <c r="C651" s="7" t="str">
        <f>IF(B651="","",IFERROR(INDEX(Reactivos!$D$2:$D$435,MATCH(B651,Reactivos!$A$2:$A$435,0)),"ID no existe"))</f>
        <v/>
      </c>
      <c r="D651" s="8"/>
      <c r="E651" s="7" t="str">
        <f>IF(B651="","",IFERROR(INDEX(Reactivos!$H$2:$H$435,MATCH(B651,Reactivos!$A$2:$A$435,0)),""))</f>
        <v/>
      </c>
      <c r="F651" s="8"/>
      <c r="G651" s="8"/>
      <c r="H651" s="13"/>
    </row>
    <row r="652" spans="1:8" x14ac:dyDescent="0.3">
      <c r="A652" s="11"/>
      <c r="B652" s="8"/>
      <c r="C652" s="7" t="str">
        <f>IF(B652="","",IFERROR(INDEX(Reactivos!$D$2:$D$435,MATCH(B652,Reactivos!$A$2:$A$435,0)),"ID no existe"))</f>
        <v/>
      </c>
      <c r="D652" s="8"/>
      <c r="E652" s="7" t="str">
        <f>IF(B652="","",IFERROR(INDEX(Reactivos!$H$2:$H$435,MATCH(B652,Reactivos!$A$2:$A$435,0)),""))</f>
        <v/>
      </c>
      <c r="F652" s="8"/>
      <c r="G652" s="8"/>
      <c r="H652" s="13"/>
    </row>
    <row r="653" spans="1:8" x14ac:dyDescent="0.3">
      <c r="A653" s="11"/>
      <c r="B653" s="8"/>
      <c r="C653" s="7" t="str">
        <f>IF(B653="","",IFERROR(INDEX(Reactivos!$D$2:$D$435,MATCH(B653,Reactivos!$A$2:$A$435,0)),"ID no existe"))</f>
        <v/>
      </c>
      <c r="D653" s="8"/>
      <c r="E653" s="7" t="str">
        <f>IF(B653="","",IFERROR(INDEX(Reactivos!$H$2:$H$435,MATCH(B653,Reactivos!$A$2:$A$435,0)),""))</f>
        <v/>
      </c>
      <c r="F653" s="8"/>
      <c r="G653" s="8"/>
      <c r="H653" s="13"/>
    </row>
    <row r="654" spans="1:8" x14ac:dyDescent="0.3">
      <c r="A654" s="11"/>
      <c r="B654" s="8"/>
      <c r="C654" s="7" t="str">
        <f>IF(B654="","",IFERROR(INDEX(Reactivos!$D$2:$D$435,MATCH(B654,Reactivos!$A$2:$A$435,0)),"ID no existe"))</f>
        <v/>
      </c>
      <c r="D654" s="8"/>
      <c r="E654" s="7" t="str">
        <f>IF(B654="","",IFERROR(INDEX(Reactivos!$H$2:$H$435,MATCH(B654,Reactivos!$A$2:$A$435,0)),""))</f>
        <v/>
      </c>
      <c r="F654" s="8"/>
      <c r="G654" s="8"/>
      <c r="H654" s="13"/>
    </row>
    <row r="655" spans="1:8" x14ac:dyDescent="0.3">
      <c r="A655" s="11"/>
      <c r="B655" s="8"/>
      <c r="C655" s="7" t="str">
        <f>IF(B655="","",IFERROR(INDEX(Reactivos!$D$2:$D$435,MATCH(B655,Reactivos!$A$2:$A$435,0)),"ID no existe"))</f>
        <v/>
      </c>
      <c r="D655" s="8"/>
      <c r="E655" s="7" t="str">
        <f>IF(B655="","",IFERROR(INDEX(Reactivos!$H$2:$H$435,MATCH(B655,Reactivos!$A$2:$A$435,0)),""))</f>
        <v/>
      </c>
      <c r="F655" s="8"/>
      <c r="G655" s="8"/>
      <c r="H655" s="13"/>
    </row>
    <row r="656" spans="1:8" x14ac:dyDescent="0.3">
      <c r="A656" s="11"/>
      <c r="B656" s="8"/>
      <c r="C656" s="7" t="str">
        <f>IF(B656="","",IFERROR(INDEX(Reactivos!$D$2:$D$435,MATCH(B656,Reactivos!$A$2:$A$435,0)),"ID no existe"))</f>
        <v/>
      </c>
      <c r="D656" s="8"/>
      <c r="E656" s="7" t="str">
        <f>IF(B656="","",IFERROR(INDEX(Reactivos!$H$2:$H$435,MATCH(B656,Reactivos!$A$2:$A$435,0)),""))</f>
        <v/>
      </c>
      <c r="F656" s="8"/>
      <c r="G656" s="8"/>
      <c r="H656" s="13"/>
    </row>
    <row r="657" spans="1:8" x14ac:dyDescent="0.3">
      <c r="A657" s="11"/>
      <c r="B657" s="8"/>
      <c r="C657" s="7" t="str">
        <f>IF(B657="","",IFERROR(INDEX(Reactivos!$D$2:$D$435,MATCH(B657,Reactivos!$A$2:$A$435,0)),"ID no existe"))</f>
        <v/>
      </c>
      <c r="D657" s="8"/>
      <c r="E657" s="7" t="str">
        <f>IF(B657="","",IFERROR(INDEX(Reactivos!$H$2:$H$435,MATCH(B657,Reactivos!$A$2:$A$435,0)),""))</f>
        <v/>
      </c>
      <c r="F657" s="8"/>
      <c r="G657" s="8"/>
      <c r="H657" s="13"/>
    </row>
    <row r="658" spans="1:8" x14ac:dyDescent="0.3">
      <c r="A658" s="11"/>
      <c r="B658" s="8"/>
      <c r="C658" s="7" t="str">
        <f>IF(B658="","",IFERROR(INDEX(Reactivos!$D$2:$D$435,MATCH(B658,Reactivos!$A$2:$A$435,0)),"ID no existe"))</f>
        <v/>
      </c>
      <c r="D658" s="8"/>
      <c r="E658" s="7" t="str">
        <f>IF(B658="","",IFERROR(INDEX(Reactivos!$H$2:$H$435,MATCH(B658,Reactivos!$A$2:$A$435,0)),""))</f>
        <v/>
      </c>
      <c r="F658" s="8"/>
      <c r="G658" s="8"/>
      <c r="H658" s="13"/>
    </row>
    <row r="659" spans="1:8" x14ac:dyDescent="0.3">
      <c r="A659" s="11"/>
      <c r="B659" s="8"/>
      <c r="C659" s="7" t="str">
        <f>IF(B659="","",IFERROR(INDEX(Reactivos!$D$2:$D$435,MATCH(B659,Reactivos!$A$2:$A$435,0)),"ID no existe"))</f>
        <v/>
      </c>
      <c r="D659" s="8"/>
      <c r="E659" s="7" t="str">
        <f>IF(B659="","",IFERROR(INDEX(Reactivos!$H$2:$H$435,MATCH(B659,Reactivos!$A$2:$A$435,0)),""))</f>
        <v/>
      </c>
      <c r="F659" s="8"/>
      <c r="G659" s="8"/>
      <c r="H659" s="13"/>
    </row>
    <row r="660" spans="1:8" x14ac:dyDescent="0.3">
      <c r="A660" s="11"/>
      <c r="B660" s="8"/>
      <c r="C660" s="7" t="str">
        <f>IF(B660="","",IFERROR(INDEX(Reactivos!$D$2:$D$435,MATCH(B660,Reactivos!$A$2:$A$435,0)),"ID no existe"))</f>
        <v/>
      </c>
      <c r="D660" s="8"/>
      <c r="E660" s="7" t="str">
        <f>IF(B660="","",IFERROR(INDEX(Reactivos!$H$2:$H$435,MATCH(B660,Reactivos!$A$2:$A$435,0)),""))</f>
        <v/>
      </c>
      <c r="F660" s="8"/>
      <c r="G660" s="8"/>
      <c r="H660" s="13"/>
    </row>
    <row r="661" spans="1:8" x14ac:dyDescent="0.3">
      <c r="A661" s="11"/>
      <c r="B661" s="8"/>
      <c r="C661" s="7" t="str">
        <f>IF(B661="","",IFERROR(INDEX(Reactivos!$D$2:$D$435,MATCH(B661,Reactivos!$A$2:$A$435,0)),"ID no existe"))</f>
        <v/>
      </c>
      <c r="D661" s="8"/>
      <c r="E661" s="7" t="str">
        <f>IF(B661="","",IFERROR(INDEX(Reactivos!$H$2:$H$435,MATCH(B661,Reactivos!$A$2:$A$435,0)),""))</f>
        <v/>
      </c>
      <c r="F661" s="8"/>
      <c r="G661" s="8"/>
      <c r="H661" s="13"/>
    </row>
    <row r="662" spans="1:8" x14ac:dyDescent="0.3">
      <c r="A662" s="11"/>
      <c r="B662" s="8"/>
      <c r="C662" s="7" t="str">
        <f>IF(B662="","",IFERROR(INDEX(Reactivos!$D$2:$D$435,MATCH(B662,Reactivos!$A$2:$A$435,0)),"ID no existe"))</f>
        <v/>
      </c>
      <c r="D662" s="8"/>
      <c r="E662" s="7" t="str">
        <f>IF(B662="","",IFERROR(INDEX(Reactivos!$H$2:$H$435,MATCH(B662,Reactivos!$A$2:$A$435,0)),""))</f>
        <v/>
      </c>
      <c r="F662" s="8"/>
      <c r="G662" s="8"/>
      <c r="H662" s="13"/>
    </row>
    <row r="663" spans="1:8" x14ac:dyDescent="0.3">
      <c r="A663" s="11"/>
      <c r="B663" s="8"/>
      <c r="C663" s="7" t="str">
        <f>IF(B663="","",IFERROR(INDEX(Reactivos!$D$2:$D$435,MATCH(B663,Reactivos!$A$2:$A$435,0)),"ID no existe"))</f>
        <v/>
      </c>
      <c r="D663" s="8"/>
      <c r="E663" s="7" t="str">
        <f>IF(B663="","",IFERROR(INDEX(Reactivos!$H$2:$H$435,MATCH(B663,Reactivos!$A$2:$A$435,0)),""))</f>
        <v/>
      </c>
      <c r="F663" s="8"/>
      <c r="G663" s="8"/>
      <c r="H663" s="13"/>
    </row>
    <row r="664" spans="1:8" x14ac:dyDescent="0.3">
      <c r="A664" s="11"/>
      <c r="B664" s="8"/>
      <c r="C664" s="7" t="str">
        <f>IF(B664="","",IFERROR(INDEX(Reactivos!$D$2:$D$435,MATCH(B664,Reactivos!$A$2:$A$435,0)),"ID no existe"))</f>
        <v/>
      </c>
      <c r="D664" s="8"/>
      <c r="E664" s="7" t="str">
        <f>IF(B664="","",IFERROR(INDEX(Reactivos!$H$2:$H$435,MATCH(B664,Reactivos!$A$2:$A$435,0)),""))</f>
        <v/>
      </c>
      <c r="F664" s="8"/>
      <c r="G664" s="8"/>
      <c r="H664" s="13"/>
    </row>
    <row r="665" spans="1:8" x14ac:dyDescent="0.3">
      <c r="A665" s="11"/>
      <c r="B665" s="8"/>
      <c r="C665" s="7" t="str">
        <f>IF(B665="","",IFERROR(INDEX(Reactivos!$D$2:$D$435,MATCH(B665,Reactivos!$A$2:$A$435,0)),"ID no existe"))</f>
        <v/>
      </c>
      <c r="D665" s="8"/>
      <c r="E665" s="7" t="str">
        <f>IF(B665="","",IFERROR(INDEX(Reactivos!$H$2:$H$435,MATCH(B665,Reactivos!$A$2:$A$435,0)),""))</f>
        <v/>
      </c>
      <c r="F665" s="8"/>
      <c r="G665" s="8"/>
      <c r="H665" s="13"/>
    </row>
    <row r="666" spans="1:8" x14ac:dyDescent="0.3">
      <c r="A666" s="11"/>
      <c r="B666" s="8"/>
      <c r="C666" s="7" t="str">
        <f>IF(B666="","",IFERROR(INDEX(Reactivos!$D$2:$D$435,MATCH(B666,Reactivos!$A$2:$A$435,0)),"ID no existe"))</f>
        <v/>
      </c>
      <c r="D666" s="8"/>
      <c r="E666" s="7" t="str">
        <f>IF(B666="","",IFERROR(INDEX(Reactivos!$H$2:$H$435,MATCH(B666,Reactivos!$A$2:$A$435,0)),""))</f>
        <v/>
      </c>
      <c r="F666" s="8"/>
      <c r="G666" s="8"/>
      <c r="H666" s="13"/>
    </row>
    <row r="667" spans="1:8" x14ac:dyDescent="0.3">
      <c r="A667" s="11"/>
      <c r="B667" s="8"/>
      <c r="C667" s="7" t="str">
        <f>IF(B667="","",IFERROR(INDEX(Reactivos!$D$2:$D$435,MATCH(B667,Reactivos!$A$2:$A$435,0)),"ID no existe"))</f>
        <v/>
      </c>
      <c r="D667" s="8"/>
      <c r="E667" s="7" t="str">
        <f>IF(B667="","",IFERROR(INDEX(Reactivos!$H$2:$H$435,MATCH(B667,Reactivos!$A$2:$A$435,0)),""))</f>
        <v/>
      </c>
      <c r="F667" s="8"/>
      <c r="G667" s="8"/>
      <c r="H667" s="13"/>
    </row>
    <row r="668" spans="1:8" x14ac:dyDescent="0.3">
      <c r="A668" s="11"/>
      <c r="B668" s="8"/>
      <c r="C668" s="7" t="str">
        <f>IF(B668="","",IFERROR(INDEX(Reactivos!$D$2:$D$435,MATCH(B668,Reactivos!$A$2:$A$435,0)),"ID no existe"))</f>
        <v/>
      </c>
      <c r="D668" s="8"/>
      <c r="E668" s="7" t="str">
        <f>IF(B668="","",IFERROR(INDEX(Reactivos!$H$2:$H$435,MATCH(B668,Reactivos!$A$2:$A$435,0)),""))</f>
        <v/>
      </c>
      <c r="F668" s="8"/>
      <c r="G668" s="8"/>
      <c r="H668" s="13"/>
    </row>
    <row r="669" spans="1:8" x14ac:dyDescent="0.3">
      <c r="A669" s="11"/>
      <c r="B669" s="8"/>
      <c r="C669" s="7" t="str">
        <f>IF(B669="","",IFERROR(INDEX(Reactivos!$D$2:$D$435,MATCH(B669,Reactivos!$A$2:$A$435,0)),"ID no existe"))</f>
        <v/>
      </c>
      <c r="D669" s="8"/>
      <c r="E669" s="7" t="str">
        <f>IF(B669="","",IFERROR(INDEX(Reactivos!$H$2:$H$435,MATCH(B669,Reactivos!$A$2:$A$435,0)),""))</f>
        <v/>
      </c>
      <c r="F669" s="8"/>
      <c r="G669" s="8"/>
      <c r="H669" s="13"/>
    </row>
    <row r="670" spans="1:8" x14ac:dyDescent="0.3">
      <c r="A670" s="11"/>
      <c r="B670" s="8"/>
      <c r="C670" s="7" t="str">
        <f>IF(B670="","",IFERROR(INDEX(Reactivos!$D$2:$D$435,MATCH(B670,Reactivos!$A$2:$A$435,0)),"ID no existe"))</f>
        <v/>
      </c>
      <c r="D670" s="8"/>
      <c r="E670" s="7" t="str">
        <f>IF(B670="","",IFERROR(INDEX(Reactivos!$H$2:$H$435,MATCH(B670,Reactivos!$A$2:$A$435,0)),""))</f>
        <v/>
      </c>
      <c r="F670" s="8"/>
      <c r="G670" s="8"/>
      <c r="H670" s="13"/>
    </row>
    <row r="671" spans="1:8" x14ac:dyDescent="0.3">
      <c r="A671" s="11"/>
      <c r="B671" s="8"/>
      <c r="C671" s="7" t="str">
        <f>IF(B671="","",IFERROR(INDEX(Reactivos!$D$2:$D$435,MATCH(B671,Reactivos!$A$2:$A$435,0)),"ID no existe"))</f>
        <v/>
      </c>
      <c r="D671" s="8"/>
      <c r="E671" s="7" t="str">
        <f>IF(B671="","",IFERROR(INDEX(Reactivos!$H$2:$H$435,MATCH(B671,Reactivos!$A$2:$A$435,0)),""))</f>
        <v/>
      </c>
      <c r="F671" s="8"/>
      <c r="G671" s="8"/>
      <c r="H671" s="13"/>
    </row>
    <row r="672" spans="1:8" x14ac:dyDescent="0.3">
      <c r="A672" s="11"/>
      <c r="B672" s="8"/>
      <c r="C672" s="7" t="str">
        <f>IF(B672="","",IFERROR(INDEX(Reactivos!$D$2:$D$435,MATCH(B672,Reactivos!$A$2:$A$435,0)),"ID no existe"))</f>
        <v/>
      </c>
      <c r="D672" s="8"/>
      <c r="E672" s="7" t="str">
        <f>IF(B672="","",IFERROR(INDEX(Reactivos!$H$2:$H$435,MATCH(B672,Reactivos!$A$2:$A$435,0)),""))</f>
        <v/>
      </c>
      <c r="F672" s="8"/>
      <c r="G672" s="8"/>
      <c r="H672" s="13"/>
    </row>
    <row r="673" spans="1:8" x14ac:dyDescent="0.3">
      <c r="A673" s="11"/>
      <c r="B673" s="8"/>
      <c r="C673" s="7" t="str">
        <f>IF(B673="","",IFERROR(INDEX(Reactivos!$D$2:$D$435,MATCH(B673,Reactivos!$A$2:$A$435,0)),"ID no existe"))</f>
        <v/>
      </c>
      <c r="D673" s="8"/>
      <c r="E673" s="7" t="str">
        <f>IF(B673="","",IFERROR(INDEX(Reactivos!$H$2:$H$435,MATCH(B673,Reactivos!$A$2:$A$435,0)),""))</f>
        <v/>
      </c>
      <c r="F673" s="8"/>
      <c r="G673" s="8"/>
      <c r="H673" s="13"/>
    </row>
    <row r="674" spans="1:8" x14ac:dyDescent="0.3">
      <c r="A674" s="11"/>
      <c r="B674" s="8"/>
      <c r="C674" s="7" t="str">
        <f>IF(B674="","",IFERROR(INDEX(Reactivos!$D$2:$D$435,MATCH(B674,Reactivos!$A$2:$A$435,0)),"ID no existe"))</f>
        <v/>
      </c>
      <c r="D674" s="8"/>
      <c r="E674" s="7" t="str">
        <f>IF(B674="","",IFERROR(INDEX(Reactivos!$H$2:$H$435,MATCH(B674,Reactivos!$A$2:$A$435,0)),""))</f>
        <v/>
      </c>
      <c r="F674" s="8"/>
      <c r="G674" s="8"/>
      <c r="H674" s="13"/>
    </row>
    <row r="675" spans="1:8" x14ac:dyDescent="0.3">
      <c r="A675" s="11"/>
      <c r="B675" s="8"/>
      <c r="C675" s="7" t="str">
        <f>IF(B675="","",IFERROR(INDEX(Reactivos!$D$2:$D$435,MATCH(B675,Reactivos!$A$2:$A$435,0)),"ID no existe"))</f>
        <v/>
      </c>
      <c r="D675" s="8"/>
      <c r="E675" s="7" t="str">
        <f>IF(B675="","",IFERROR(INDEX(Reactivos!$H$2:$H$435,MATCH(B675,Reactivos!$A$2:$A$435,0)),""))</f>
        <v/>
      </c>
      <c r="F675" s="8"/>
      <c r="G675" s="8"/>
      <c r="H675" s="13"/>
    </row>
    <row r="676" spans="1:8" x14ac:dyDescent="0.3">
      <c r="A676" s="11"/>
      <c r="B676" s="8"/>
      <c r="C676" s="7" t="str">
        <f>IF(B676="","",IFERROR(INDEX(Reactivos!$D$2:$D$435,MATCH(B676,Reactivos!$A$2:$A$435,0)),"ID no existe"))</f>
        <v/>
      </c>
      <c r="D676" s="8"/>
      <c r="E676" s="7" t="str">
        <f>IF(B676="","",IFERROR(INDEX(Reactivos!$H$2:$H$435,MATCH(B676,Reactivos!$A$2:$A$435,0)),""))</f>
        <v/>
      </c>
      <c r="F676" s="8"/>
      <c r="G676" s="8"/>
      <c r="H676" s="13"/>
    </row>
    <row r="677" spans="1:8" x14ac:dyDescent="0.3">
      <c r="A677" s="11"/>
      <c r="B677" s="8"/>
      <c r="C677" s="7" t="str">
        <f>IF(B677="","",IFERROR(INDEX(Reactivos!$D$2:$D$435,MATCH(B677,Reactivos!$A$2:$A$435,0)),"ID no existe"))</f>
        <v/>
      </c>
      <c r="D677" s="8"/>
      <c r="E677" s="7" t="str">
        <f>IF(B677="","",IFERROR(INDEX(Reactivos!$H$2:$H$435,MATCH(B677,Reactivos!$A$2:$A$435,0)),""))</f>
        <v/>
      </c>
      <c r="F677" s="8"/>
      <c r="G677" s="8"/>
      <c r="H677" s="13"/>
    </row>
    <row r="678" spans="1:8" x14ac:dyDescent="0.3">
      <c r="A678" s="11"/>
      <c r="B678" s="8"/>
      <c r="C678" s="7" t="str">
        <f>IF(B678="","",IFERROR(INDEX(Reactivos!$D$2:$D$435,MATCH(B678,Reactivos!$A$2:$A$435,0)),"ID no existe"))</f>
        <v/>
      </c>
      <c r="D678" s="8"/>
      <c r="E678" s="7" t="str">
        <f>IF(B678="","",IFERROR(INDEX(Reactivos!$H$2:$H$435,MATCH(B678,Reactivos!$A$2:$A$435,0)),""))</f>
        <v/>
      </c>
      <c r="F678" s="8"/>
      <c r="G678" s="8"/>
      <c r="H678" s="13"/>
    </row>
    <row r="679" spans="1:8" x14ac:dyDescent="0.3">
      <c r="A679" s="11"/>
      <c r="B679" s="8"/>
      <c r="C679" s="7" t="str">
        <f>IF(B679="","",IFERROR(INDEX(Reactivos!$D$2:$D$435,MATCH(B679,Reactivos!$A$2:$A$435,0)),"ID no existe"))</f>
        <v/>
      </c>
      <c r="D679" s="8"/>
      <c r="E679" s="7" t="str">
        <f>IF(B679="","",IFERROR(INDEX(Reactivos!$H$2:$H$435,MATCH(B679,Reactivos!$A$2:$A$435,0)),""))</f>
        <v/>
      </c>
      <c r="F679" s="8"/>
      <c r="G679" s="8"/>
      <c r="H679" s="13"/>
    </row>
    <row r="680" spans="1:8" x14ac:dyDescent="0.3">
      <c r="A680" s="11"/>
      <c r="B680" s="8"/>
      <c r="C680" s="7" t="str">
        <f>IF(B680="","",IFERROR(INDEX(Reactivos!$D$2:$D$435,MATCH(B680,Reactivos!$A$2:$A$435,0)),"ID no existe"))</f>
        <v/>
      </c>
      <c r="D680" s="8"/>
      <c r="E680" s="7" t="str">
        <f>IF(B680="","",IFERROR(INDEX(Reactivos!$H$2:$H$435,MATCH(B680,Reactivos!$A$2:$A$435,0)),""))</f>
        <v/>
      </c>
      <c r="F680" s="8"/>
      <c r="G680" s="8"/>
      <c r="H680" s="13"/>
    </row>
    <row r="681" spans="1:8" x14ac:dyDescent="0.3">
      <c r="A681" s="11"/>
      <c r="B681" s="8"/>
      <c r="C681" s="7" t="str">
        <f>IF(B681="","",IFERROR(INDEX(Reactivos!$D$2:$D$435,MATCH(B681,Reactivos!$A$2:$A$435,0)),"ID no existe"))</f>
        <v/>
      </c>
      <c r="D681" s="8"/>
      <c r="E681" s="7" t="str">
        <f>IF(B681="","",IFERROR(INDEX(Reactivos!$H$2:$H$435,MATCH(B681,Reactivos!$A$2:$A$435,0)),""))</f>
        <v/>
      </c>
      <c r="F681" s="8"/>
      <c r="G681" s="8"/>
      <c r="H681" s="13"/>
    </row>
    <row r="682" spans="1:8" x14ac:dyDescent="0.3">
      <c r="A682" s="11"/>
      <c r="B682" s="8"/>
      <c r="C682" s="7" t="str">
        <f>IF(B682="","",IFERROR(INDEX(Reactivos!$D$2:$D$435,MATCH(B682,Reactivos!$A$2:$A$435,0)),"ID no existe"))</f>
        <v/>
      </c>
      <c r="D682" s="8"/>
      <c r="E682" s="7" t="str">
        <f>IF(B682="","",IFERROR(INDEX(Reactivos!$H$2:$H$435,MATCH(B682,Reactivos!$A$2:$A$435,0)),""))</f>
        <v/>
      </c>
      <c r="F682" s="8"/>
      <c r="G682" s="8"/>
      <c r="H682" s="13"/>
    </row>
    <row r="683" spans="1:8" x14ac:dyDescent="0.3">
      <c r="A683" s="11"/>
      <c r="B683" s="8"/>
      <c r="C683" s="7" t="str">
        <f>IF(B683="","",IFERROR(INDEX(Reactivos!$D$2:$D$435,MATCH(B683,Reactivos!$A$2:$A$435,0)),"ID no existe"))</f>
        <v/>
      </c>
      <c r="D683" s="8"/>
      <c r="E683" s="7" t="str">
        <f>IF(B683="","",IFERROR(INDEX(Reactivos!$H$2:$H$435,MATCH(B683,Reactivos!$A$2:$A$435,0)),""))</f>
        <v/>
      </c>
      <c r="F683" s="8"/>
      <c r="G683" s="8"/>
      <c r="H683" s="13"/>
    </row>
    <row r="684" spans="1:8" x14ac:dyDescent="0.3">
      <c r="A684" s="11"/>
      <c r="B684" s="8"/>
      <c r="C684" s="7" t="str">
        <f>IF(B684="","",IFERROR(INDEX(Reactivos!$D$2:$D$435,MATCH(B684,Reactivos!$A$2:$A$435,0)),"ID no existe"))</f>
        <v/>
      </c>
      <c r="D684" s="8"/>
      <c r="E684" s="7" t="str">
        <f>IF(B684="","",IFERROR(INDEX(Reactivos!$H$2:$H$435,MATCH(B684,Reactivos!$A$2:$A$435,0)),""))</f>
        <v/>
      </c>
      <c r="F684" s="8"/>
      <c r="G684" s="8"/>
      <c r="H684" s="13"/>
    </row>
    <row r="685" spans="1:8" x14ac:dyDescent="0.3">
      <c r="A685" s="11"/>
      <c r="B685" s="8"/>
      <c r="C685" s="7" t="str">
        <f>IF(B685="","",IFERROR(INDEX(Reactivos!$D$2:$D$435,MATCH(B685,Reactivos!$A$2:$A$435,0)),"ID no existe"))</f>
        <v/>
      </c>
      <c r="D685" s="8"/>
      <c r="E685" s="7" t="str">
        <f>IF(B685="","",IFERROR(INDEX(Reactivos!$H$2:$H$435,MATCH(B685,Reactivos!$A$2:$A$435,0)),""))</f>
        <v/>
      </c>
      <c r="F685" s="8"/>
      <c r="G685" s="8"/>
      <c r="H685" s="13"/>
    </row>
    <row r="686" spans="1:8" x14ac:dyDescent="0.3">
      <c r="A686" s="11"/>
      <c r="B686" s="8"/>
      <c r="C686" s="7" t="str">
        <f>IF(B686="","",IFERROR(INDEX(Reactivos!$D$2:$D$435,MATCH(B686,Reactivos!$A$2:$A$435,0)),"ID no existe"))</f>
        <v/>
      </c>
      <c r="D686" s="8"/>
      <c r="E686" s="7" t="str">
        <f>IF(B686="","",IFERROR(INDEX(Reactivos!$H$2:$H$435,MATCH(B686,Reactivos!$A$2:$A$435,0)),""))</f>
        <v/>
      </c>
      <c r="F686" s="8"/>
      <c r="G686" s="8"/>
      <c r="H686" s="13"/>
    </row>
    <row r="687" spans="1:8" x14ac:dyDescent="0.3">
      <c r="A687" s="11"/>
      <c r="B687" s="8"/>
      <c r="C687" s="7" t="str">
        <f>IF(B687="","",IFERROR(INDEX(Reactivos!$D$2:$D$435,MATCH(B687,Reactivos!$A$2:$A$435,0)),"ID no existe"))</f>
        <v/>
      </c>
      <c r="D687" s="8"/>
      <c r="E687" s="7" t="str">
        <f>IF(B687="","",IFERROR(INDEX(Reactivos!$H$2:$H$435,MATCH(B687,Reactivos!$A$2:$A$435,0)),""))</f>
        <v/>
      </c>
      <c r="F687" s="8"/>
      <c r="G687" s="8"/>
      <c r="H687" s="13"/>
    </row>
    <row r="688" spans="1:8" x14ac:dyDescent="0.3">
      <c r="A688" s="11"/>
      <c r="B688" s="8"/>
      <c r="C688" s="7" t="str">
        <f>IF(B688="","",IFERROR(INDEX(Reactivos!$D$2:$D$435,MATCH(B688,Reactivos!$A$2:$A$435,0)),"ID no existe"))</f>
        <v/>
      </c>
      <c r="D688" s="8"/>
      <c r="E688" s="7" t="str">
        <f>IF(B688="","",IFERROR(INDEX(Reactivos!$H$2:$H$435,MATCH(B688,Reactivos!$A$2:$A$435,0)),""))</f>
        <v/>
      </c>
      <c r="F688" s="8"/>
      <c r="G688" s="8"/>
      <c r="H688" s="13"/>
    </row>
    <row r="689" spans="1:8" x14ac:dyDescent="0.3">
      <c r="A689" s="11"/>
      <c r="B689" s="8"/>
      <c r="C689" s="7" t="str">
        <f>IF(B689="","",IFERROR(INDEX(Reactivos!$D$2:$D$435,MATCH(B689,Reactivos!$A$2:$A$435,0)),"ID no existe"))</f>
        <v/>
      </c>
      <c r="D689" s="8"/>
      <c r="E689" s="7" t="str">
        <f>IF(B689="","",IFERROR(INDEX(Reactivos!$H$2:$H$435,MATCH(B689,Reactivos!$A$2:$A$435,0)),""))</f>
        <v/>
      </c>
      <c r="F689" s="8"/>
      <c r="G689" s="8"/>
      <c r="H689" s="13"/>
    </row>
    <row r="690" spans="1:8" x14ac:dyDescent="0.3">
      <c r="A690" s="11"/>
      <c r="B690" s="8"/>
      <c r="C690" s="7" t="str">
        <f>IF(B690="","",IFERROR(INDEX(Reactivos!$D$2:$D$435,MATCH(B690,Reactivos!$A$2:$A$435,0)),"ID no existe"))</f>
        <v/>
      </c>
      <c r="D690" s="8"/>
      <c r="E690" s="7" t="str">
        <f>IF(B690="","",IFERROR(INDEX(Reactivos!$H$2:$H$435,MATCH(B690,Reactivos!$A$2:$A$435,0)),""))</f>
        <v/>
      </c>
      <c r="F690" s="8"/>
      <c r="G690" s="8"/>
      <c r="H690" s="13"/>
    </row>
    <row r="691" spans="1:8" x14ac:dyDescent="0.3">
      <c r="A691" s="11"/>
      <c r="B691" s="8"/>
      <c r="C691" s="7" t="str">
        <f>IF(B691="","",IFERROR(INDEX(Reactivos!$D$2:$D$435,MATCH(B691,Reactivos!$A$2:$A$435,0)),"ID no existe"))</f>
        <v/>
      </c>
      <c r="D691" s="8"/>
      <c r="E691" s="7" t="str">
        <f>IF(B691="","",IFERROR(INDEX(Reactivos!$H$2:$H$435,MATCH(B691,Reactivos!$A$2:$A$435,0)),""))</f>
        <v/>
      </c>
      <c r="F691" s="8"/>
      <c r="G691" s="8"/>
      <c r="H691" s="13"/>
    </row>
    <row r="692" spans="1:8" x14ac:dyDescent="0.3">
      <c r="A692" s="11"/>
      <c r="B692" s="8"/>
      <c r="C692" s="7" t="str">
        <f>IF(B692="","",IFERROR(INDEX(Reactivos!$D$2:$D$435,MATCH(B692,Reactivos!$A$2:$A$435,0)),"ID no existe"))</f>
        <v/>
      </c>
      <c r="D692" s="8"/>
      <c r="E692" s="7" t="str">
        <f>IF(B692="","",IFERROR(INDEX(Reactivos!$H$2:$H$435,MATCH(B692,Reactivos!$A$2:$A$435,0)),""))</f>
        <v/>
      </c>
      <c r="F692" s="8"/>
      <c r="G692" s="8"/>
      <c r="H692" s="13"/>
    </row>
    <row r="693" spans="1:8" x14ac:dyDescent="0.3">
      <c r="A693" s="11"/>
      <c r="B693" s="8"/>
      <c r="C693" s="7" t="str">
        <f>IF(B693="","",IFERROR(INDEX(Reactivos!$D$2:$D$435,MATCH(B693,Reactivos!$A$2:$A$435,0)),"ID no existe"))</f>
        <v/>
      </c>
      <c r="D693" s="8"/>
      <c r="E693" s="7" t="str">
        <f>IF(B693="","",IFERROR(INDEX(Reactivos!$H$2:$H$435,MATCH(B693,Reactivos!$A$2:$A$435,0)),""))</f>
        <v/>
      </c>
      <c r="F693" s="8"/>
      <c r="G693" s="8"/>
      <c r="H693" s="13"/>
    </row>
    <row r="694" spans="1:8" x14ac:dyDescent="0.3">
      <c r="A694" s="11"/>
      <c r="B694" s="8"/>
      <c r="C694" s="7" t="str">
        <f>IF(B694="","",IFERROR(INDEX(Reactivos!$D$2:$D$435,MATCH(B694,Reactivos!$A$2:$A$435,0)),"ID no existe"))</f>
        <v/>
      </c>
      <c r="D694" s="8"/>
      <c r="E694" s="7" t="str">
        <f>IF(B694="","",IFERROR(INDEX(Reactivos!$H$2:$H$435,MATCH(B694,Reactivos!$A$2:$A$435,0)),""))</f>
        <v/>
      </c>
      <c r="F694" s="8"/>
      <c r="G694" s="8"/>
      <c r="H694" s="13"/>
    </row>
    <row r="695" spans="1:8" x14ac:dyDescent="0.3">
      <c r="A695" s="11"/>
      <c r="B695" s="8"/>
      <c r="C695" s="7" t="str">
        <f>IF(B695="","",IFERROR(INDEX(Reactivos!$D$2:$D$435,MATCH(B695,Reactivos!$A$2:$A$435,0)),"ID no existe"))</f>
        <v/>
      </c>
      <c r="D695" s="8"/>
      <c r="E695" s="7" t="str">
        <f>IF(B695="","",IFERROR(INDEX(Reactivos!$H$2:$H$435,MATCH(B695,Reactivos!$A$2:$A$435,0)),""))</f>
        <v/>
      </c>
      <c r="F695" s="8"/>
      <c r="G695" s="8"/>
      <c r="H695" s="13"/>
    </row>
    <row r="696" spans="1:8" x14ac:dyDescent="0.3">
      <c r="A696" s="11"/>
      <c r="B696" s="8"/>
      <c r="C696" s="7" t="str">
        <f>IF(B696="","",IFERROR(INDEX(Reactivos!$D$2:$D$435,MATCH(B696,Reactivos!$A$2:$A$435,0)),"ID no existe"))</f>
        <v/>
      </c>
      <c r="D696" s="8"/>
      <c r="E696" s="7" t="str">
        <f>IF(B696="","",IFERROR(INDEX(Reactivos!$H$2:$H$435,MATCH(B696,Reactivos!$A$2:$A$435,0)),""))</f>
        <v/>
      </c>
      <c r="F696" s="8"/>
      <c r="G696" s="8"/>
      <c r="H696" s="13"/>
    </row>
    <row r="697" spans="1:8" x14ac:dyDescent="0.3">
      <c r="A697" s="11"/>
      <c r="B697" s="8"/>
      <c r="C697" s="7" t="str">
        <f>IF(B697="","",IFERROR(INDEX(Reactivos!$D$2:$D$435,MATCH(B697,Reactivos!$A$2:$A$435,0)),"ID no existe"))</f>
        <v/>
      </c>
      <c r="D697" s="8"/>
      <c r="E697" s="7" t="str">
        <f>IF(B697="","",IFERROR(INDEX(Reactivos!$H$2:$H$435,MATCH(B697,Reactivos!$A$2:$A$435,0)),""))</f>
        <v/>
      </c>
      <c r="F697" s="8"/>
      <c r="G697" s="8"/>
      <c r="H697" s="13"/>
    </row>
    <row r="698" spans="1:8" x14ac:dyDescent="0.3">
      <c r="A698" s="11"/>
      <c r="B698" s="8"/>
      <c r="C698" s="7" t="str">
        <f>IF(B698="","",IFERROR(INDEX(Reactivos!$D$2:$D$435,MATCH(B698,Reactivos!$A$2:$A$435,0)),"ID no existe"))</f>
        <v/>
      </c>
      <c r="D698" s="8"/>
      <c r="E698" s="7" t="str">
        <f>IF(B698="","",IFERROR(INDEX(Reactivos!$H$2:$H$435,MATCH(B698,Reactivos!$A$2:$A$435,0)),""))</f>
        <v/>
      </c>
      <c r="F698" s="8"/>
      <c r="G698" s="8"/>
      <c r="H698" s="13"/>
    </row>
    <row r="699" spans="1:8" x14ac:dyDescent="0.3">
      <c r="A699" s="11"/>
      <c r="B699" s="8"/>
      <c r="C699" s="7" t="str">
        <f>IF(B699="","",IFERROR(INDEX(Reactivos!$D$2:$D$435,MATCH(B699,Reactivos!$A$2:$A$435,0)),"ID no existe"))</f>
        <v/>
      </c>
      <c r="D699" s="8"/>
      <c r="E699" s="7" t="str">
        <f>IF(B699="","",IFERROR(INDEX(Reactivos!$H$2:$H$435,MATCH(B699,Reactivos!$A$2:$A$435,0)),""))</f>
        <v/>
      </c>
      <c r="F699" s="8"/>
      <c r="G699" s="8"/>
      <c r="H699" s="13"/>
    </row>
    <row r="700" spans="1:8" x14ac:dyDescent="0.3">
      <c r="A700" s="11"/>
      <c r="B700" s="8"/>
      <c r="C700" s="7" t="str">
        <f>IF(B700="","",IFERROR(INDEX(Reactivos!$D$2:$D$435,MATCH(B700,Reactivos!$A$2:$A$435,0)),"ID no existe"))</f>
        <v/>
      </c>
      <c r="D700" s="8"/>
      <c r="E700" s="7" t="str">
        <f>IF(B700="","",IFERROR(INDEX(Reactivos!$H$2:$H$435,MATCH(B700,Reactivos!$A$2:$A$435,0)),""))</f>
        <v/>
      </c>
      <c r="F700" s="8"/>
      <c r="G700" s="8"/>
      <c r="H700" s="13"/>
    </row>
    <row r="701" spans="1:8" x14ac:dyDescent="0.3">
      <c r="A701" s="11"/>
      <c r="B701" s="8"/>
      <c r="C701" s="7" t="str">
        <f>IF(B701="","",IFERROR(INDEX(Reactivos!$D$2:$D$435,MATCH(B701,Reactivos!$A$2:$A$435,0)),"ID no existe"))</f>
        <v/>
      </c>
      <c r="D701" s="8"/>
      <c r="E701" s="7" t="str">
        <f>IF(B701="","",IFERROR(INDEX(Reactivos!$H$2:$H$435,MATCH(B701,Reactivos!$A$2:$A$435,0)),""))</f>
        <v/>
      </c>
      <c r="F701" s="8"/>
      <c r="G701" s="8"/>
      <c r="H701" s="13"/>
    </row>
    <row r="702" spans="1:8" x14ac:dyDescent="0.3">
      <c r="A702" s="11"/>
      <c r="B702" s="8"/>
      <c r="C702" s="7" t="str">
        <f>IF(B702="","",IFERROR(INDEX(Reactivos!$D$2:$D$435,MATCH(B702,Reactivos!$A$2:$A$435,0)),"ID no existe"))</f>
        <v/>
      </c>
      <c r="D702" s="8"/>
      <c r="E702" s="7" t="str">
        <f>IF(B702="","",IFERROR(INDEX(Reactivos!$H$2:$H$435,MATCH(B702,Reactivos!$A$2:$A$435,0)),""))</f>
        <v/>
      </c>
      <c r="F702" s="8"/>
      <c r="G702" s="8"/>
      <c r="H702" s="13"/>
    </row>
    <row r="703" spans="1:8" x14ac:dyDescent="0.3">
      <c r="A703" s="11"/>
      <c r="B703" s="8"/>
      <c r="C703" s="7" t="str">
        <f>IF(B703="","",IFERROR(INDEX(Reactivos!$D$2:$D$435,MATCH(B703,Reactivos!$A$2:$A$435,0)),"ID no existe"))</f>
        <v/>
      </c>
      <c r="D703" s="8"/>
      <c r="E703" s="7" t="str">
        <f>IF(B703="","",IFERROR(INDEX(Reactivos!$H$2:$H$435,MATCH(B703,Reactivos!$A$2:$A$435,0)),""))</f>
        <v/>
      </c>
      <c r="F703" s="8"/>
      <c r="G703" s="8"/>
      <c r="H703" s="13"/>
    </row>
    <row r="704" spans="1:8" x14ac:dyDescent="0.3">
      <c r="A704" s="11"/>
      <c r="B704" s="8"/>
      <c r="C704" s="7" t="str">
        <f>IF(B704="","",IFERROR(INDEX(Reactivos!$D$2:$D$435,MATCH(B704,Reactivos!$A$2:$A$435,0)),"ID no existe"))</f>
        <v/>
      </c>
      <c r="D704" s="8"/>
      <c r="E704" s="7" t="str">
        <f>IF(B704="","",IFERROR(INDEX(Reactivos!$H$2:$H$435,MATCH(B704,Reactivos!$A$2:$A$435,0)),""))</f>
        <v/>
      </c>
      <c r="F704" s="8"/>
      <c r="G704" s="8"/>
      <c r="H704" s="13"/>
    </row>
    <row r="705" spans="1:8" x14ac:dyDescent="0.3">
      <c r="A705" s="11"/>
      <c r="B705" s="8"/>
      <c r="C705" s="7" t="str">
        <f>IF(B705="","",IFERROR(INDEX(Reactivos!$D$2:$D$435,MATCH(B705,Reactivos!$A$2:$A$435,0)),"ID no existe"))</f>
        <v/>
      </c>
      <c r="D705" s="8"/>
      <c r="E705" s="7" t="str">
        <f>IF(B705="","",IFERROR(INDEX(Reactivos!$H$2:$H$435,MATCH(B705,Reactivos!$A$2:$A$435,0)),""))</f>
        <v/>
      </c>
      <c r="F705" s="8"/>
      <c r="G705" s="8"/>
      <c r="H705" s="13"/>
    </row>
    <row r="706" spans="1:8" x14ac:dyDescent="0.3">
      <c r="A706" s="11"/>
      <c r="B706" s="8"/>
      <c r="C706" s="7" t="str">
        <f>IF(B706="","",IFERROR(INDEX(Reactivos!$D$2:$D$435,MATCH(B706,Reactivos!$A$2:$A$435,0)),"ID no existe"))</f>
        <v/>
      </c>
      <c r="D706" s="8"/>
      <c r="E706" s="7" t="str">
        <f>IF(B706="","",IFERROR(INDEX(Reactivos!$H$2:$H$435,MATCH(B706,Reactivos!$A$2:$A$435,0)),""))</f>
        <v/>
      </c>
      <c r="F706" s="8"/>
      <c r="G706" s="8"/>
      <c r="H706" s="13"/>
    </row>
    <row r="707" spans="1:8" x14ac:dyDescent="0.3">
      <c r="A707" s="11"/>
      <c r="B707" s="8"/>
      <c r="C707" s="7" t="str">
        <f>IF(B707="","",IFERROR(INDEX(Reactivos!$D$2:$D$435,MATCH(B707,Reactivos!$A$2:$A$435,0)),"ID no existe"))</f>
        <v/>
      </c>
      <c r="D707" s="8"/>
      <c r="E707" s="7" t="str">
        <f>IF(B707="","",IFERROR(INDEX(Reactivos!$H$2:$H$435,MATCH(B707,Reactivos!$A$2:$A$435,0)),""))</f>
        <v/>
      </c>
      <c r="F707" s="8"/>
      <c r="G707" s="8"/>
      <c r="H707" s="13"/>
    </row>
    <row r="708" spans="1:8" x14ac:dyDescent="0.3">
      <c r="A708" s="11"/>
      <c r="B708" s="8"/>
      <c r="C708" s="7" t="str">
        <f>IF(B708="","",IFERROR(INDEX(Reactivos!$D$2:$D$435,MATCH(B708,Reactivos!$A$2:$A$435,0)),"ID no existe"))</f>
        <v/>
      </c>
      <c r="D708" s="8"/>
      <c r="E708" s="7" t="str">
        <f>IF(B708="","",IFERROR(INDEX(Reactivos!$H$2:$H$435,MATCH(B708,Reactivos!$A$2:$A$435,0)),""))</f>
        <v/>
      </c>
      <c r="F708" s="8"/>
      <c r="G708" s="8"/>
      <c r="H708" s="13"/>
    </row>
    <row r="709" spans="1:8" x14ac:dyDescent="0.3">
      <c r="A709" s="11"/>
      <c r="B709" s="8"/>
      <c r="C709" s="7" t="str">
        <f>IF(B709="","",IFERROR(INDEX(Reactivos!$D$2:$D$435,MATCH(B709,Reactivos!$A$2:$A$435,0)),"ID no existe"))</f>
        <v/>
      </c>
      <c r="D709" s="8"/>
      <c r="E709" s="7" t="str">
        <f>IF(B709="","",IFERROR(INDEX(Reactivos!$H$2:$H$435,MATCH(B709,Reactivos!$A$2:$A$435,0)),""))</f>
        <v/>
      </c>
      <c r="F709" s="8"/>
      <c r="G709" s="8"/>
      <c r="H709" s="13"/>
    </row>
    <row r="710" spans="1:8" x14ac:dyDescent="0.3">
      <c r="A710" s="11"/>
      <c r="B710" s="8"/>
      <c r="C710" s="7" t="str">
        <f>IF(B710="","",IFERROR(INDEX(Reactivos!$D$2:$D$435,MATCH(B710,Reactivos!$A$2:$A$435,0)),"ID no existe"))</f>
        <v/>
      </c>
      <c r="D710" s="8"/>
      <c r="E710" s="7" t="str">
        <f>IF(B710="","",IFERROR(INDEX(Reactivos!$H$2:$H$435,MATCH(B710,Reactivos!$A$2:$A$435,0)),""))</f>
        <v/>
      </c>
      <c r="F710" s="8"/>
      <c r="G710" s="8"/>
      <c r="H710" s="13"/>
    </row>
    <row r="711" spans="1:8" x14ac:dyDescent="0.3">
      <c r="A711" s="11"/>
      <c r="B711" s="8"/>
      <c r="C711" s="7" t="str">
        <f>IF(B711="","",IFERROR(INDEX(Reactivos!$D$2:$D$435,MATCH(B711,Reactivos!$A$2:$A$435,0)),"ID no existe"))</f>
        <v/>
      </c>
      <c r="D711" s="8"/>
      <c r="E711" s="7" t="str">
        <f>IF(B711="","",IFERROR(INDEX(Reactivos!$H$2:$H$435,MATCH(B711,Reactivos!$A$2:$A$435,0)),""))</f>
        <v/>
      </c>
      <c r="F711" s="8"/>
      <c r="G711" s="8"/>
      <c r="H711" s="13"/>
    </row>
    <row r="712" spans="1:8" x14ac:dyDescent="0.3">
      <c r="A712" s="11"/>
      <c r="B712" s="8"/>
      <c r="C712" s="7" t="str">
        <f>IF(B712="","",IFERROR(INDEX(Reactivos!$D$2:$D$435,MATCH(B712,Reactivos!$A$2:$A$435,0)),"ID no existe"))</f>
        <v/>
      </c>
      <c r="D712" s="8"/>
      <c r="E712" s="7" t="str">
        <f>IF(B712="","",IFERROR(INDEX(Reactivos!$H$2:$H$435,MATCH(B712,Reactivos!$A$2:$A$435,0)),""))</f>
        <v/>
      </c>
      <c r="F712" s="8"/>
      <c r="G712" s="8"/>
      <c r="H712" s="13"/>
    </row>
    <row r="713" spans="1:8" x14ac:dyDescent="0.3">
      <c r="A713" s="11"/>
      <c r="B713" s="8"/>
      <c r="C713" s="7" t="str">
        <f>IF(B713="","",IFERROR(INDEX(Reactivos!$D$2:$D$435,MATCH(B713,Reactivos!$A$2:$A$435,0)),"ID no existe"))</f>
        <v/>
      </c>
      <c r="D713" s="8"/>
      <c r="E713" s="7" t="str">
        <f>IF(B713="","",IFERROR(INDEX(Reactivos!$H$2:$H$435,MATCH(B713,Reactivos!$A$2:$A$435,0)),""))</f>
        <v/>
      </c>
      <c r="F713" s="8"/>
      <c r="G713" s="8"/>
      <c r="H713" s="13"/>
    </row>
    <row r="714" spans="1:8" x14ac:dyDescent="0.3">
      <c r="A714" s="11"/>
      <c r="B714" s="8"/>
      <c r="C714" s="7" t="str">
        <f>IF(B714="","",IFERROR(INDEX(Reactivos!$D$2:$D$435,MATCH(B714,Reactivos!$A$2:$A$435,0)),"ID no existe"))</f>
        <v/>
      </c>
      <c r="D714" s="8"/>
      <c r="E714" s="7" t="str">
        <f>IF(B714="","",IFERROR(INDEX(Reactivos!$H$2:$H$435,MATCH(B714,Reactivos!$A$2:$A$435,0)),""))</f>
        <v/>
      </c>
      <c r="F714" s="8"/>
      <c r="G714" s="8"/>
      <c r="H714" s="13"/>
    </row>
    <row r="715" spans="1:8" x14ac:dyDescent="0.3">
      <c r="A715" s="11"/>
      <c r="B715" s="8"/>
      <c r="C715" s="7" t="str">
        <f>IF(B715="","",IFERROR(INDEX(Reactivos!$D$2:$D$435,MATCH(B715,Reactivos!$A$2:$A$435,0)),"ID no existe"))</f>
        <v/>
      </c>
      <c r="D715" s="8"/>
      <c r="E715" s="7" t="str">
        <f>IF(B715="","",IFERROR(INDEX(Reactivos!$H$2:$H$435,MATCH(B715,Reactivos!$A$2:$A$435,0)),""))</f>
        <v/>
      </c>
      <c r="F715" s="8"/>
      <c r="G715" s="8"/>
      <c r="H715" s="13"/>
    </row>
    <row r="716" spans="1:8" x14ac:dyDescent="0.3">
      <c r="A716" s="11"/>
      <c r="B716" s="8"/>
      <c r="C716" s="7" t="str">
        <f>IF(B716="","",IFERROR(INDEX(Reactivos!$D$2:$D$435,MATCH(B716,Reactivos!$A$2:$A$435,0)),"ID no existe"))</f>
        <v/>
      </c>
      <c r="D716" s="8"/>
      <c r="E716" s="7" t="str">
        <f>IF(B716="","",IFERROR(INDEX(Reactivos!$H$2:$H$435,MATCH(B716,Reactivos!$A$2:$A$435,0)),""))</f>
        <v/>
      </c>
      <c r="F716" s="8"/>
      <c r="G716" s="8"/>
      <c r="H716" s="13"/>
    </row>
    <row r="717" spans="1:8" x14ac:dyDescent="0.3">
      <c r="A717" s="11"/>
      <c r="B717" s="8"/>
      <c r="C717" s="7" t="str">
        <f>IF(B717="","",IFERROR(INDEX(Reactivos!$D$2:$D$435,MATCH(B717,Reactivos!$A$2:$A$435,0)),"ID no existe"))</f>
        <v/>
      </c>
      <c r="D717" s="8"/>
      <c r="E717" s="7" t="str">
        <f>IF(B717="","",IFERROR(INDEX(Reactivos!$H$2:$H$435,MATCH(B717,Reactivos!$A$2:$A$435,0)),""))</f>
        <v/>
      </c>
      <c r="F717" s="8"/>
      <c r="G717" s="8"/>
      <c r="H717" s="13"/>
    </row>
    <row r="718" spans="1:8" x14ac:dyDescent="0.3">
      <c r="A718" s="11"/>
      <c r="B718" s="8"/>
      <c r="C718" s="7" t="str">
        <f>IF(B718="","",IFERROR(INDEX(Reactivos!$D$2:$D$435,MATCH(B718,Reactivos!$A$2:$A$435,0)),"ID no existe"))</f>
        <v/>
      </c>
      <c r="D718" s="8"/>
      <c r="E718" s="7" t="str">
        <f>IF(B718="","",IFERROR(INDEX(Reactivos!$H$2:$H$435,MATCH(B718,Reactivos!$A$2:$A$435,0)),""))</f>
        <v/>
      </c>
      <c r="F718" s="8"/>
      <c r="G718" s="8"/>
      <c r="H718" s="13"/>
    </row>
    <row r="719" spans="1:8" x14ac:dyDescent="0.3">
      <c r="A719" s="11"/>
      <c r="B719" s="8"/>
      <c r="C719" s="7" t="str">
        <f>IF(B719="","",IFERROR(INDEX(Reactivos!$D$2:$D$435,MATCH(B719,Reactivos!$A$2:$A$435,0)),"ID no existe"))</f>
        <v/>
      </c>
      <c r="D719" s="8"/>
      <c r="E719" s="7" t="str">
        <f>IF(B719="","",IFERROR(INDEX(Reactivos!$H$2:$H$435,MATCH(B719,Reactivos!$A$2:$A$435,0)),""))</f>
        <v/>
      </c>
      <c r="F719" s="8"/>
      <c r="G719" s="8"/>
      <c r="H719" s="13"/>
    </row>
    <row r="720" spans="1:8" x14ac:dyDescent="0.3">
      <c r="A720" s="11"/>
      <c r="B720" s="8"/>
      <c r="C720" s="7" t="str">
        <f>IF(B720="","",IFERROR(INDEX(Reactivos!$D$2:$D$435,MATCH(B720,Reactivos!$A$2:$A$435,0)),"ID no existe"))</f>
        <v/>
      </c>
      <c r="D720" s="8"/>
      <c r="E720" s="7" t="str">
        <f>IF(B720="","",IFERROR(INDEX(Reactivos!$H$2:$H$435,MATCH(B720,Reactivos!$A$2:$A$435,0)),""))</f>
        <v/>
      </c>
      <c r="F720" s="8"/>
      <c r="G720" s="8"/>
      <c r="H720" s="13"/>
    </row>
    <row r="721" spans="1:8" x14ac:dyDescent="0.3">
      <c r="A721" s="11"/>
      <c r="B721" s="8"/>
      <c r="C721" s="7" t="str">
        <f>IF(B721="","",IFERROR(INDEX(Reactivos!$D$2:$D$435,MATCH(B721,Reactivos!$A$2:$A$435,0)),"ID no existe"))</f>
        <v/>
      </c>
      <c r="D721" s="8"/>
      <c r="E721" s="7" t="str">
        <f>IF(B721="","",IFERROR(INDEX(Reactivos!$H$2:$H$435,MATCH(B721,Reactivos!$A$2:$A$435,0)),""))</f>
        <v/>
      </c>
      <c r="F721" s="8"/>
      <c r="G721" s="8"/>
      <c r="H721" s="13"/>
    </row>
    <row r="722" spans="1:8" x14ac:dyDescent="0.3">
      <c r="A722" s="11"/>
      <c r="B722" s="8"/>
      <c r="C722" s="7" t="str">
        <f>IF(B722="","",IFERROR(INDEX(Reactivos!$D$2:$D$435,MATCH(B722,Reactivos!$A$2:$A$435,0)),"ID no existe"))</f>
        <v/>
      </c>
      <c r="D722" s="8"/>
      <c r="E722" s="7" t="str">
        <f>IF(B722="","",IFERROR(INDEX(Reactivos!$H$2:$H$435,MATCH(B722,Reactivos!$A$2:$A$435,0)),""))</f>
        <v/>
      </c>
      <c r="F722" s="8"/>
      <c r="G722" s="8"/>
      <c r="H722" s="13"/>
    </row>
    <row r="723" spans="1:8" x14ac:dyDescent="0.3">
      <c r="A723" s="11"/>
      <c r="B723" s="8"/>
      <c r="C723" s="7" t="str">
        <f>IF(B723="","",IFERROR(INDEX(Reactivos!$D$2:$D$435,MATCH(B723,Reactivos!$A$2:$A$435,0)),"ID no existe"))</f>
        <v/>
      </c>
      <c r="D723" s="8"/>
      <c r="E723" s="7" t="str">
        <f>IF(B723="","",IFERROR(INDEX(Reactivos!$H$2:$H$435,MATCH(B723,Reactivos!$A$2:$A$435,0)),""))</f>
        <v/>
      </c>
      <c r="F723" s="8"/>
      <c r="G723" s="8"/>
      <c r="H723" s="13"/>
    </row>
    <row r="724" spans="1:8" x14ac:dyDescent="0.3">
      <c r="A724" s="11"/>
      <c r="B724" s="8"/>
      <c r="C724" s="7" t="str">
        <f>IF(B724="","",IFERROR(INDEX(Reactivos!$D$2:$D$435,MATCH(B724,Reactivos!$A$2:$A$435,0)),"ID no existe"))</f>
        <v/>
      </c>
      <c r="D724" s="8"/>
      <c r="E724" s="7" t="str">
        <f>IF(B724="","",IFERROR(INDEX(Reactivos!$H$2:$H$435,MATCH(B724,Reactivos!$A$2:$A$435,0)),""))</f>
        <v/>
      </c>
      <c r="F724" s="8"/>
      <c r="G724" s="8"/>
      <c r="H724" s="13"/>
    </row>
    <row r="725" spans="1:8" x14ac:dyDescent="0.3">
      <c r="A725" s="11"/>
      <c r="B725" s="8"/>
      <c r="C725" s="7" t="str">
        <f>IF(B725="","",IFERROR(INDEX(Reactivos!$D$2:$D$435,MATCH(B725,Reactivos!$A$2:$A$435,0)),"ID no existe"))</f>
        <v/>
      </c>
      <c r="D725" s="8"/>
      <c r="E725" s="7" t="str">
        <f>IF(B725="","",IFERROR(INDEX(Reactivos!$H$2:$H$435,MATCH(B725,Reactivos!$A$2:$A$435,0)),""))</f>
        <v/>
      </c>
      <c r="F725" s="8"/>
      <c r="G725" s="8"/>
      <c r="H725" s="13"/>
    </row>
    <row r="726" spans="1:8" x14ac:dyDescent="0.3">
      <c r="A726" s="11"/>
      <c r="B726" s="8"/>
      <c r="C726" s="7" t="str">
        <f>IF(B726="","",IFERROR(INDEX(Reactivos!$D$2:$D$435,MATCH(B726,Reactivos!$A$2:$A$435,0)),"ID no existe"))</f>
        <v/>
      </c>
      <c r="D726" s="8"/>
      <c r="E726" s="7" t="str">
        <f>IF(B726="","",IFERROR(INDEX(Reactivos!$H$2:$H$435,MATCH(B726,Reactivos!$A$2:$A$435,0)),""))</f>
        <v/>
      </c>
      <c r="F726" s="8"/>
      <c r="G726" s="8"/>
      <c r="H726" s="13"/>
    </row>
    <row r="727" spans="1:8" x14ac:dyDescent="0.3">
      <c r="A727" s="11"/>
      <c r="B727" s="8"/>
      <c r="C727" s="7" t="str">
        <f>IF(B727="","",IFERROR(INDEX(Reactivos!$D$2:$D$435,MATCH(B727,Reactivos!$A$2:$A$435,0)),"ID no existe"))</f>
        <v/>
      </c>
      <c r="D727" s="8"/>
      <c r="E727" s="7" t="str">
        <f>IF(B727="","",IFERROR(INDEX(Reactivos!$H$2:$H$435,MATCH(B727,Reactivos!$A$2:$A$435,0)),""))</f>
        <v/>
      </c>
      <c r="F727" s="8"/>
      <c r="G727" s="8"/>
      <c r="H727" s="13"/>
    </row>
    <row r="728" spans="1:8" x14ac:dyDescent="0.3">
      <c r="A728" s="11"/>
      <c r="B728" s="8"/>
      <c r="C728" s="7" t="str">
        <f>IF(B728="","",IFERROR(INDEX(Reactivos!$D$2:$D$435,MATCH(B728,Reactivos!$A$2:$A$435,0)),"ID no existe"))</f>
        <v/>
      </c>
      <c r="D728" s="8"/>
      <c r="E728" s="7" t="str">
        <f>IF(B728="","",IFERROR(INDEX(Reactivos!$H$2:$H$435,MATCH(B728,Reactivos!$A$2:$A$435,0)),""))</f>
        <v/>
      </c>
      <c r="F728" s="8"/>
      <c r="G728" s="8"/>
      <c r="H728" s="13"/>
    </row>
    <row r="729" spans="1:8" x14ac:dyDescent="0.3">
      <c r="A729" s="11"/>
      <c r="B729" s="8"/>
      <c r="C729" s="7" t="str">
        <f>IF(B729="","",IFERROR(INDEX(Reactivos!$D$2:$D$435,MATCH(B729,Reactivos!$A$2:$A$435,0)),"ID no existe"))</f>
        <v/>
      </c>
      <c r="D729" s="8"/>
      <c r="E729" s="7" t="str">
        <f>IF(B729="","",IFERROR(INDEX(Reactivos!$H$2:$H$435,MATCH(B729,Reactivos!$A$2:$A$435,0)),""))</f>
        <v/>
      </c>
      <c r="F729" s="8"/>
      <c r="G729" s="8"/>
      <c r="H729" s="13"/>
    </row>
    <row r="730" spans="1:8" x14ac:dyDescent="0.3">
      <c r="A730" s="11"/>
      <c r="B730" s="8"/>
      <c r="C730" s="7" t="str">
        <f>IF(B730="","",IFERROR(INDEX(Reactivos!$D$2:$D$435,MATCH(B730,Reactivos!$A$2:$A$435,0)),"ID no existe"))</f>
        <v/>
      </c>
      <c r="D730" s="8"/>
      <c r="E730" s="7" t="str">
        <f>IF(B730="","",IFERROR(INDEX(Reactivos!$H$2:$H$435,MATCH(B730,Reactivos!$A$2:$A$435,0)),""))</f>
        <v/>
      </c>
      <c r="F730" s="8"/>
      <c r="G730" s="8"/>
      <c r="H730" s="13"/>
    </row>
    <row r="731" spans="1:8" x14ac:dyDescent="0.3">
      <c r="A731" s="11"/>
      <c r="B731" s="8"/>
      <c r="C731" s="7" t="str">
        <f>IF(B731="","",IFERROR(INDEX(Reactivos!$D$2:$D$435,MATCH(B731,Reactivos!$A$2:$A$435,0)),"ID no existe"))</f>
        <v/>
      </c>
      <c r="D731" s="8"/>
      <c r="E731" s="7" t="str">
        <f>IF(B731="","",IFERROR(INDEX(Reactivos!$H$2:$H$435,MATCH(B731,Reactivos!$A$2:$A$435,0)),""))</f>
        <v/>
      </c>
      <c r="F731" s="8"/>
      <c r="G731" s="8"/>
      <c r="H731" s="13"/>
    </row>
    <row r="732" spans="1:8" x14ac:dyDescent="0.3">
      <c r="A732" s="11"/>
      <c r="B732" s="8"/>
      <c r="C732" s="7" t="str">
        <f>IF(B732="","",IFERROR(INDEX(Reactivos!$D$2:$D$435,MATCH(B732,Reactivos!$A$2:$A$435,0)),"ID no existe"))</f>
        <v/>
      </c>
      <c r="D732" s="8"/>
      <c r="E732" s="7" t="str">
        <f>IF(B732="","",IFERROR(INDEX(Reactivos!$H$2:$H$435,MATCH(B732,Reactivos!$A$2:$A$435,0)),""))</f>
        <v/>
      </c>
      <c r="F732" s="8"/>
      <c r="G732" s="8"/>
      <c r="H732" s="13"/>
    </row>
    <row r="733" spans="1:8" x14ac:dyDescent="0.3">
      <c r="A733" s="11"/>
      <c r="B733" s="8"/>
      <c r="C733" s="7" t="str">
        <f>IF(B733="","",IFERROR(INDEX(Reactivos!$D$2:$D$435,MATCH(B733,Reactivos!$A$2:$A$435,0)),"ID no existe"))</f>
        <v/>
      </c>
      <c r="D733" s="8"/>
      <c r="E733" s="7" t="str">
        <f>IF(B733="","",IFERROR(INDEX(Reactivos!$H$2:$H$435,MATCH(B733,Reactivos!$A$2:$A$435,0)),""))</f>
        <v/>
      </c>
      <c r="F733" s="8"/>
      <c r="G733" s="8"/>
      <c r="H733" s="13"/>
    </row>
    <row r="734" spans="1:8" x14ac:dyDescent="0.3">
      <c r="A734" s="11"/>
      <c r="B734" s="8"/>
      <c r="C734" s="7" t="str">
        <f>IF(B734="","",IFERROR(INDEX(Reactivos!$D$2:$D$435,MATCH(B734,Reactivos!$A$2:$A$435,0)),"ID no existe"))</f>
        <v/>
      </c>
      <c r="D734" s="8"/>
      <c r="E734" s="7" t="str">
        <f>IF(B734="","",IFERROR(INDEX(Reactivos!$H$2:$H$435,MATCH(B734,Reactivos!$A$2:$A$435,0)),""))</f>
        <v/>
      </c>
      <c r="F734" s="8"/>
      <c r="G734" s="8"/>
      <c r="H734" s="13"/>
    </row>
    <row r="735" spans="1:8" x14ac:dyDescent="0.3">
      <c r="A735" s="11"/>
      <c r="B735" s="8"/>
      <c r="C735" s="7" t="str">
        <f>IF(B735="","",IFERROR(INDEX(Reactivos!$D$2:$D$435,MATCH(B735,Reactivos!$A$2:$A$435,0)),"ID no existe"))</f>
        <v/>
      </c>
      <c r="D735" s="8"/>
      <c r="E735" s="7" t="str">
        <f>IF(B735="","",IFERROR(INDEX(Reactivos!$H$2:$H$435,MATCH(B735,Reactivos!$A$2:$A$435,0)),""))</f>
        <v/>
      </c>
      <c r="F735" s="8"/>
      <c r="G735" s="8"/>
      <c r="H735" s="13"/>
    </row>
    <row r="736" spans="1:8" x14ac:dyDescent="0.3">
      <c r="A736" s="11"/>
      <c r="B736" s="8"/>
      <c r="C736" s="7" t="str">
        <f>IF(B736="","",IFERROR(INDEX(Reactivos!$D$2:$D$435,MATCH(B736,Reactivos!$A$2:$A$435,0)),"ID no existe"))</f>
        <v/>
      </c>
      <c r="D736" s="8"/>
      <c r="E736" s="7" t="str">
        <f>IF(B736="","",IFERROR(INDEX(Reactivos!$H$2:$H$435,MATCH(B736,Reactivos!$A$2:$A$435,0)),""))</f>
        <v/>
      </c>
      <c r="F736" s="8"/>
      <c r="G736" s="8"/>
      <c r="H736" s="13"/>
    </row>
    <row r="737" spans="1:8" x14ac:dyDescent="0.3">
      <c r="A737" s="11"/>
      <c r="B737" s="8"/>
      <c r="C737" s="7" t="str">
        <f>IF(B737="","",IFERROR(INDEX(Reactivos!$D$2:$D$435,MATCH(B737,Reactivos!$A$2:$A$435,0)),"ID no existe"))</f>
        <v/>
      </c>
      <c r="D737" s="8"/>
      <c r="E737" s="7" t="str">
        <f>IF(B737="","",IFERROR(INDEX(Reactivos!$H$2:$H$435,MATCH(B737,Reactivos!$A$2:$A$435,0)),""))</f>
        <v/>
      </c>
      <c r="F737" s="8"/>
      <c r="G737" s="8"/>
      <c r="H737" s="13"/>
    </row>
    <row r="738" spans="1:8" x14ac:dyDescent="0.3">
      <c r="A738" s="11"/>
      <c r="B738" s="8"/>
      <c r="C738" s="7" t="str">
        <f>IF(B738="","",IFERROR(INDEX(Reactivos!$D$2:$D$435,MATCH(B738,Reactivos!$A$2:$A$435,0)),"ID no existe"))</f>
        <v/>
      </c>
      <c r="D738" s="8"/>
      <c r="E738" s="7" t="str">
        <f>IF(B738="","",IFERROR(INDEX(Reactivos!$H$2:$H$435,MATCH(B738,Reactivos!$A$2:$A$435,0)),""))</f>
        <v/>
      </c>
      <c r="F738" s="8"/>
      <c r="G738" s="8"/>
      <c r="H738" s="13"/>
    </row>
    <row r="739" spans="1:8" x14ac:dyDescent="0.3">
      <c r="A739" s="11"/>
      <c r="B739" s="8"/>
      <c r="C739" s="7" t="str">
        <f>IF(B739="","",IFERROR(INDEX(Reactivos!$D$2:$D$435,MATCH(B739,Reactivos!$A$2:$A$435,0)),"ID no existe"))</f>
        <v/>
      </c>
      <c r="D739" s="8"/>
      <c r="E739" s="7" t="str">
        <f>IF(B739="","",IFERROR(INDEX(Reactivos!$H$2:$H$435,MATCH(B739,Reactivos!$A$2:$A$435,0)),""))</f>
        <v/>
      </c>
      <c r="F739" s="8"/>
      <c r="G739" s="8"/>
      <c r="H739" s="13"/>
    </row>
    <row r="740" spans="1:8" x14ac:dyDescent="0.3">
      <c r="A740" s="11"/>
      <c r="B740" s="8"/>
      <c r="C740" s="7" t="str">
        <f>IF(B740="","",IFERROR(INDEX(Reactivos!$D$2:$D$435,MATCH(B740,Reactivos!$A$2:$A$435,0)),"ID no existe"))</f>
        <v/>
      </c>
      <c r="D740" s="8"/>
      <c r="E740" s="7" t="str">
        <f>IF(B740="","",IFERROR(INDEX(Reactivos!$H$2:$H$435,MATCH(B740,Reactivos!$A$2:$A$435,0)),""))</f>
        <v/>
      </c>
      <c r="F740" s="8"/>
      <c r="G740" s="8"/>
      <c r="H740" s="13"/>
    </row>
    <row r="741" spans="1:8" x14ac:dyDescent="0.3">
      <c r="A741" s="11"/>
      <c r="B741" s="8"/>
      <c r="C741" s="7" t="str">
        <f>IF(B741="","",IFERROR(INDEX(Reactivos!$D$2:$D$435,MATCH(B741,Reactivos!$A$2:$A$435,0)),"ID no existe"))</f>
        <v/>
      </c>
      <c r="D741" s="8"/>
      <c r="E741" s="7" t="str">
        <f>IF(B741="","",IFERROR(INDEX(Reactivos!$H$2:$H$435,MATCH(B741,Reactivos!$A$2:$A$435,0)),""))</f>
        <v/>
      </c>
      <c r="F741" s="8"/>
      <c r="G741" s="8"/>
      <c r="H741" s="13"/>
    </row>
    <row r="742" spans="1:8" x14ac:dyDescent="0.3">
      <c r="A742" s="11"/>
      <c r="B742" s="8"/>
      <c r="C742" s="7" t="str">
        <f>IF(B742="","",IFERROR(INDEX(Reactivos!$D$2:$D$435,MATCH(B742,Reactivos!$A$2:$A$435,0)),"ID no existe"))</f>
        <v/>
      </c>
      <c r="D742" s="8"/>
      <c r="E742" s="7" t="str">
        <f>IF(B742="","",IFERROR(INDEX(Reactivos!$H$2:$H$435,MATCH(B742,Reactivos!$A$2:$A$435,0)),""))</f>
        <v/>
      </c>
      <c r="F742" s="8"/>
      <c r="G742" s="8"/>
      <c r="H742" s="13"/>
    </row>
    <row r="743" spans="1:8" x14ac:dyDescent="0.3">
      <c r="A743" s="11"/>
      <c r="B743" s="8"/>
      <c r="C743" s="7" t="str">
        <f>IF(B743="","",IFERROR(INDEX(Reactivos!$D$2:$D$435,MATCH(B743,Reactivos!$A$2:$A$435,0)),"ID no existe"))</f>
        <v/>
      </c>
      <c r="D743" s="8"/>
      <c r="E743" s="7" t="str">
        <f>IF(B743="","",IFERROR(INDEX(Reactivos!$H$2:$H$435,MATCH(B743,Reactivos!$A$2:$A$435,0)),""))</f>
        <v/>
      </c>
      <c r="F743" s="8"/>
      <c r="G743" s="8"/>
      <c r="H743" s="13"/>
    </row>
    <row r="744" spans="1:8" x14ac:dyDescent="0.3">
      <c r="A744" s="11"/>
      <c r="B744" s="8"/>
      <c r="C744" s="7" t="str">
        <f>IF(B744="","",IFERROR(INDEX(Reactivos!$D$2:$D$435,MATCH(B744,Reactivos!$A$2:$A$435,0)),"ID no existe"))</f>
        <v/>
      </c>
      <c r="D744" s="8"/>
      <c r="E744" s="7" t="str">
        <f>IF(B744="","",IFERROR(INDEX(Reactivos!$H$2:$H$435,MATCH(B744,Reactivos!$A$2:$A$435,0)),""))</f>
        <v/>
      </c>
      <c r="F744" s="8"/>
      <c r="G744" s="8"/>
      <c r="H744" s="13"/>
    </row>
    <row r="745" spans="1:8" x14ac:dyDescent="0.3">
      <c r="A745" s="11"/>
      <c r="B745" s="8"/>
      <c r="C745" s="7" t="str">
        <f>IF(B745="","",IFERROR(INDEX(Reactivos!$D$2:$D$435,MATCH(B745,Reactivos!$A$2:$A$435,0)),"ID no existe"))</f>
        <v/>
      </c>
      <c r="D745" s="8"/>
      <c r="E745" s="7" t="str">
        <f>IF(B745="","",IFERROR(INDEX(Reactivos!$H$2:$H$435,MATCH(B745,Reactivos!$A$2:$A$435,0)),""))</f>
        <v/>
      </c>
      <c r="F745" s="8"/>
      <c r="G745" s="8"/>
      <c r="H745" s="13"/>
    </row>
    <row r="746" spans="1:8" x14ac:dyDescent="0.3">
      <c r="A746" s="11"/>
      <c r="B746" s="8"/>
      <c r="C746" s="7" t="str">
        <f>IF(B746="","",IFERROR(INDEX(Reactivos!$D$2:$D$435,MATCH(B746,Reactivos!$A$2:$A$435,0)),"ID no existe"))</f>
        <v/>
      </c>
      <c r="D746" s="8"/>
      <c r="E746" s="7" t="str">
        <f>IF(B746="","",IFERROR(INDEX(Reactivos!$H$2:$H$435,MATCH(B746,Reactivos!$A$2:$A$435,0)),""))</f>
        <v/>
      </c>
      <c r="F746" s="8"/>
      <c r="G746" s="8"/>
      <c r="H746" s="13"/>
    </row>
    <row r="747" spans="1:8" x14ac:dyDescent="0.3">
      <c r="A747" s="11"/>
      <c r="B747" s="8"/>
      <c r="C747" s="7" t="str">
        <f>IF(B747="","",IFERROR(INDEX(Reactivos!$D$2:$D$435,MATCH(B747,Reactivos!$A$2:$A$435,0)),"ID no existe"))</f>
        <v/>
      </c>
      <c r="D747" s="8"/>
      <c r="E747" s="7" t="str">
        <f>IF(B747="","",IFERROR(INDEX(Reactivos!$H$2:$H$435,MATCH(B747,Reactivos!$A$2:$A$435,0)),""))</f>
        <v/>
      </c>
      <c r="F747" s="8"/>
      <c r="G747" s="8"/>
      <c r="H747" s="13"/>
    </row>
    <row r="748" spans="1:8" x14ac:dyDescent="0.3">
      <c r="A748" s="11"/>
      <c r="B748" s="8"/>
      <c r="C748" s="7" t="str">
        <f>IF(B748="","",IFERROR(INDEX(Reactivos!$D$2:$D$435,MATCH(B748,Reactivos!$A$2:$A$435,0)),"ID no existe"))</f>
        <v/>
      </c>
      <c r="D748" s="8"/>
      <c r="E748" s="7" t="str">
        <f>IF(B748="","",IFERROR(INDEX(Reactivos!$H$2:$H$435,MATCH(B748,Reactivos!$A$2:$A$435,0)),""))</f>
        <v/>
      </c>
      <c r="F748" s="8"/>
      <c r="G748" s="8"/>
      <c r="H748" s="13"/>
    </row>
    <row r="749" spans="1:8" x14ac:dyDescent="0.3">
      <c r="A749" s="11"/>
      <c r="B749" s="8"/>
      <c r="C749" s="7" t="str">
        <f>IF(B749="","",IFERROR(INDEX(Reactivos!$D$2:$D$435,MATCH(B749,Reactivos!$A$2:$A$435,0)),"ID no existe"))</f>
        <v/>
      </c>
      <c r="D749" s="8"/>
      <c r="E749" s="7" t="str">
        <f>IF(B749="","",IFERROR(INDEX(Reactivos!$H$2:$H$435,MATCH(B749,Reactivos!$A$2:$A$435,0)),""))</f>
        <v/>
      </c>
      <c r="F749" s="8"/>
      <c r="G749" s="8"/>
      <c r="H749" s="13"/>
    </row>
    <row r="750" spans="1:8" x14ac:dyDescent="0.3">
      <c r="A750" s="11"/>
      <c r="B750" s="8"/>
      <c r="C750" s="7" t="str">
        <f>IF(B750="","",IFERROR(INDEX(Reactivos!$D$2:$D$435,MATCH(B750,Reactivos!$A$2:$A$435,0)),"ID no existe"))</f>
        <v/>
      </c>
      <c r="D750" s="8"/>
      <c r="E750" s="7" t="str">
        <f>IF(B750="","",IFERROR(INDEX(Reactivos!$H$2:$H$435,MATCH(B750,Reactivos!$A$2:$A$435,0)),""))</f>
        <v/>
      </c>
      <c r="F750" s="8"/>
      <c r="G750" s="8"/>
      <c r="H750" s="13"/>
    </row>
    <row r="751" spans="1:8" x14ac:dyDescent="0.3">
      <c r="A751" s="11"/>
      <c r="B751" s="8"/>
      <c r="C751" s="7" t="str">
        <f>IF(B751="","",IFERROR(INDEX(Reactivos!$D$2:$D$435,MATCH(B751,Reactivos!$A$2:$A$435,0)),"ID no existe"))</f>
        <v/>
      </c>
      <c r="D751" s="8"/>
      <c r="E751" s="7" t="str">
        <f>IF(B751="","",IFERROR(INDEX(Reactivos!$H$2:$H$435,MATCH(B751,Reactivos!$A$2:$A$435,0)),""))</f>
        <v/>
      </c>
      <c r="F751" s="8"/>
      <c r="G751" s="8"/>
      <c r="H751" s="13"/>
    </row>
    <row r="752" spans="1:8" x14ac:dyDescent="0.3">
      <c r="A752" s="11"/>
      <c r="B752" s="8"/>
      <c r="C752" s="7" t="str">
        <f>IF(B752="","",IFERROR(INDEX(Reactivos!$D$2:$D$435,MATCH(B752,Reactivos!$A$2:$A$435,0)),"ID no existe"))</f>
        <v/>
      </c>
      <c r="D752" s="8"/>
      <c r="E752" s="7" t="str">
        <f>IF(B752="","",IFERROR(INDEX(Reactivos!$H$2:$H$435,MATCH(B752,Reactivos!$A$2:$A$435,0)),""))</f>
        <v/>
      </c>
      <c r="F752" s="8"/>
      <c r="G752" s="8"/>
      <c r="H752" s="13"/>
    </row>
    <row r="753" spans="1:8" x14ac:dyDescent="0.3">
      <c r="A753" s="11"/>
      <c r="B753" s="8"/>
      <c r="C753" s="7" t="str">
        <f>IF(B753="","",IFERROR(INDEX(Reactivos!$D$2:$D$435,MATCH(B753,Reactivos!$A$2:$A$435,0)),"ID no existe"))</f>
        <v/>
      </c>
      <c r="D753" s="8"/>
      <c r="E753" s="7" t="str">
        <f>IF(B753="","",IFERROR(INDEX(Reactivos!$H$2:$H$435,MATCH(B753,Reactivos!$A$2:$A$435,0)),""))</f>
        <v/>
      </c>
      <c r="F753" s="8"/>
      <c r="G753" s="8"/>
      <c r="H753" s="13"/>
    </row>
    <row r="754" spans="1:8" x14ac:dyDescent="0.3">
      <c r="A754" s="11"/>
      <c r="B754" s="8"/>
      <c r="C754" s="7" t="str">
        <f>IF(B754="","",IFERROR(INDEX(Reactivos!$D$2:$D$435,MATCH(B754,Reactivos!$A$2:$A$435,0)),"ID no existe"))</f>
        <v/>
      </c>
      <c r="D754" s="8"/>
      <c r="E754" s="7" t="str">
        <f>IF(B754="","",IFERROR(INDEX(Reactivos!$H$2:$H$435,MATCH(B754,Reactivos!$A$2:$A$435,0)),""))</f>
        <v/>
      </c>
      <c r="F754" s="8"/>
      <c r="G754" s="8"/>
      <c r="H754" s="13"/>
    </row>
    <row r="755" spans="1:8" x14ac:dyDescent="0.3">
      <c r="A755" s="11"/>
      <c r="B755" s="8"/>
      <c r="C755" s="7" t="str">
        <f>IF(B755="","",IFERROR(INDEX(Reactivos!$D$2:$D$435,MATCH(B755,Reactivos!$A$2:$A$435,0)),"ID no existe"))</f>
        <v/>
      </c>
      <c r="D755" s="8"/>
      <c r="E755" s="7" t="str">
        <f>IF(B755="","",IFERROR(INDEX(Reactivos!$H$2:$H$435,MATCH(B755,Reactivos!$A$2:$A$435,0)),""))</f>
        <v/>
      </c>
      <c r="F755" s="8"/>
      <c r="G755" s="8"/>
      <c r="H755" s="13"/>
    </row>
    <row r="756" spans="1:8" x14ac:dyDescent="0.3">
      <c r="A756" s="11"/>
      <c r="B756" s="8"/>
      <c r="C756" s="7" t="str">
        <f>IF(B756="","",IFERROR(INDEX(Reactivos!$D$2:$D$435,MATCH(B756,Reactivos!$A$2:$A$435,0)),"ID no existe"))</f>
        <v/>
      </c>
      <c r="D756" s="8"/>
      <c r="E756" s="7" t="str">
        <f>IF(B756="","",IFERROR(INDEX(Reactivos!$H$2:$H$435,MATCH(B756,Reactivos!$A$2:$A$435,0)),""))</f>
        <v/>
      </c>
      <c r="F756" s="8"/>
      <c r="G756" s="8"/>
      <c r="H756" s="13"/>
    </row>
    <row r="757" spans="1:8" x14ac:dyDescent="0.3">
      <c r="A757" s="11"/>
      <c r="B757" s="8"/>
      <c r="C757" s="7" t="str">
        <f>IF(B757="","",IFERROR(INDEX(Reactivos!$D$2:$D$435,MATCH(B757,Reactivos!$A$2:$A$435,0)),"ID no existe"))</f>
        <v/>
      </c>
      <c r="D757" s="8"/>
      <c r="E757" s="7" t="str">
        <f>IF(B757="","",IFERROR(INDEX(Reactivos!$H$2:$H$435,MATCH(B757,Reactivos!$A$2:$A$435,0)),""))</f>
        <v/>
      </c>
      <c r="F757" s="8"/>
      <c r="G757" s="8"/>
      <c r="H757" s="13"/>
    </row>
    <row r="758" spans="1:8" x14ac:dyDescent="0.3">
      <c r="A758" s="11"/>
      <c r="B758" s="8"/>
      <c r="C758" s="7" t="str">
        <f>IF(B758="","",IFERROR(INDEX(Reactivos!$D$2:$D$435,MATCH(B758,Reactivos!$A$2:$A$435,0)),"ID no existe"))</f>
        <v/>
      </c>
      <c r="D758" s="8"/>
      <c r="E758" s="7" t="str">
        <f>IF(B758="","",IFERROR(INDEX(Reactivos!$H$2:$H$435,MATCH(B758,Reactivos!$A$2:$A$435,0)),""))</f>
        <v/>
      </c>
      <c r="F758" s="8"/>
      <c r="G758" s="8"/>
      <c r="H758" s="13"/>
    </row>
    <row r="759" spans="1:8" x14ac:dyDescent="0.3">
      <c r="A759" s="11"/>
      <c r="B759" s="8"/>
      <c r="C759" s="7" t="str">
        <f>IF(B759="","",IFERROR(INDEX(Reactivos!$D$2:$D$435,MATCH(B759,Reactivos!$A$2:$A$435,0)),"ID no existe"))</f>
        <v/>
      </c>
      <c r="D759" s="8"/>
      <c r="E759" s="7" t="str">
        <f>IF(B759="","",IFERROR(INDEX(Reactivos!$H$2:$H$435,MATCH(B759,Reactivos!$A$2:$A$435,0)),""))</f>
        <v/>
      </c>
      <c r="F759" s="8"/>
      <c r="G759" s="8"/>
      <c r="H759" s="13"/>
    </row>
    <row r="760" spans="1:8" x14ac:dyDescent="0.3">
      <c r="A760" s="11"/>
      <c r="B760" s="8"/>
      <c r="C760" s="7" t="str">
        <f>IF(B760="","",IFERROR(INDEX(Reactivos!$D$2:$D$435,MATCH(B760,Reactivos!$A$2:$A$435,0)),"ID no existe"))</f>
        <v/>
      </c>
      <c r="D760" s="8"/>
      <c r="E760" s="7" t="str">
        <f>IF(B760="","",IFERROR(INDEX(Reactivos!$H$2:$H$435,MATCH(B760,Reactivos!$A$2:$A$435,0)),""))</f>
        <v/>
      </c>
      <c r="F760" s="8"/>
      <c r="G760" s="8"/>
      <c r="H760" s="13"/>
    </row>
    <row r="761" spans="1:8" x14ac:dyDescent="0.3">
      <c r="A761" s="11"/>
      <c r="B761" s="8"/>
      <c r="C761" s="7" t="str">
        <f>IF(B761="","",IFERROR(INDEX(Reactivos!$D$2:$D$435,MATCH(B761,Reactivos!$A$2:$A$435,0)),"ID no existe"))</f>
        <v/>
      </c>
      <c r="D761" s="8"/>
      <c r="E761" s="7" t="str">
        <f>IF(B761="","",IFERROR(INDEX(Reactivos!$H$2:$H$435,MATCH(B761,Reactivos!$A$2:$A$435,0)),""))</f>
        <v/>
      </c>
      <c r="F761" s="8"/>
      <c r="G761" s="8"/>
      <c r="H761" s="13"/>
    </row>
    <row r="762" spans="1:8" x14ac:dyDescent="0.3">
      <c r="A762" s="11"/>
      <c r="B762" s="8"/>
      <c r="C762" s="7" t="str">
        <f>IF(B762="","",IFERROR(INDEX(Reactivos!$D$2:$D$435,MATCH(B762,Reactivos!$A$2:$A$435,0)),"ID no existe"))</f>
        <v/>
      </c>
      <c r="D762" s="8"/>
      <c r="E762" s="7" t="str">
        <f>IF(B762="","",IFERROR(INDEX(Reactivos!$H$2:$H$435,MATCH(B762,Reactivos!$A$2:$A$435,0)),""))</f>
        <v/>
      </c>
      <c r="F762" s="8"/>
      <c r="G762" s="8"/>
      <c r="H762" s="13"/>
    </row>
    <row r="763" spans="1:8" x14ac:dyDescent="0.3">
      <c r="A763" s="11"/>
      <c r="B763" s="8"/>
      <c r="C763" s="7" t="str">
        <f>IF(B763="","",IFERROR(INDEX(Reactivos!$D$2:$D$435,MATCH(B763,Reactivos!$A$2:$A$435,0)),"ID no existe"))</f>
        <v/>
      </c>
      <c r="D763" s="8"/>
      <c r="E763" s="7" t="str">
        <f>IF(B763="","",IFERROR(INDEX(Reactivos!$H$2:$H$435,MATCH(B763,Reactivos!$A$2:$A$435,0)),""))</f>
        <v/>
      </c>
      <c r="F763" s="8"/>
      <c r="G763" s="8"/>
      <c r="H763" s="13"/>
    </row>
    <row r="764" spans="1:8" x14ac:dyDescent="0.3">
      <c r="A764" s="11"/>
      <c r="B764" s="8"/>
      <c r="C764" s="7" t="str">
        <f>IF(B764="","",IFERROR(INDEX(Reactivos!$D$2:$D$435,MATCH(B764,Reactivos!$A$2:$A$435,0)),"ID no existe"))</f>
        <v/>
      </c>
      <c r="D764" s="8"/>
      <c r="E764" s="7" t="str">
        <f>IF(B764="","",IFERROR(INDEX(Reactivos!$H$2:$H$435,MATCH(B764,Reactivos!$A$2:$A$435,0)),""))</f>
        <v/>
      </c>
      <c r="F764" s="8"/>
      <c r="G764" s="8"/>
      <c r="H764" s="13"/>
    </row>
    <row r="765" spans="1:8" x14ac:dyDescent="0.3">
      <c r="A765" s="11"/>
      <c r="B765" s="8"/>
      <c r="C765" s="7" t="str">
        <f>IF(B765="","",IFERROR(INDEX(Reactivos!$D$2:$D$435,MATCH(B765,Reactivos!$A$2:$A$435,0)),"ID no existe"))</f>
        <v/>
      </c>
      <c r="D765" s="8"/>
      <c r="E765" s="7" t="str">
        <f>IF(B765="","",IFERROR(INDEX(Reactivos!$H$2:$H$435,MATCH(B765,Reactivos!$A$2:$A$435,0)),""))</f>
        <v/>
      </c>
      <c r="F765" s="8"/>
      <c r="G765" s="8"/>
      <c r="H765" s="13"/>
    </row>
    <row r="766" spans="1:8" x14ac:dyDescent="0.3">
      <c r="A766" s="11"/>
      <c r="B766" s="8"/>
      <c r="C766" s="7" t="str">
        <f>IF(B766="","",IFERROR(INDEX(Reactivos!$D$2:$D$435,MATCH(B766,Reactivos!$A$2:$A$435,0)),"ID no existe"))</f>
        <v/>
      </c>
      <c r="D766" s="8"/>
      <c r="E766" s="7" t="str">
        <f>IF(B766="","",IFERROR(INDEX(Reactivos!$H$2:$H$435,MATCH(B766,Reactivos!$A$2:$A$435,0)),""))</f>
        <v/>
      </c>
      <c r="F766" s="8"/>
      <c r="G766" s="8"/>
      <c r="H766" s="13"/>
    </row>
    <row r="767" spans="1:8" x14ac:dyDescent="0.3">
      <c r="A767" s="11"/>
      <c r="B767" s="8"/>
      <c r="C767" s="7" t="str">
        <f>IF(B767="","",IFERROR(INDEX(Reactivos!$D$2:$D$435,MATCH(B767,Reactivos!$A$2:$A$435,0)),"ID no existe"))</f>
        <v/>
      </c>
      <c r="D767" s="8"/>
      <c r="E767" s="7" t="str">
        <f>IF(B767="","",IFERROR(INDEX(Reactivos!$H$2:$H$435,MATCH(B767,Reactivos!$A$2:$A$435,0)),""))</f>
        <v/>
      </c>
      <c r="F767" s="8"/>
      <c r="G767" s="8"/>
      <c r="H767" s="13"/>
    </row>
    <row r="768" spans="1:8" x14ac:dyDescent="0.3">
      <c r="A768" s="11"/>
      <c r="B768" s="8"/>
      <c r="C768" s="7" t="str">
        <f>IF(B768="","",IFERROR(INDEX(Reactivos!$D$2:$D$435,MATCH(B768,Reactivos!$A$2:$A$435,0)),"ID no existe"))</f>
        <v/>
      </c>
      <c r="D768" s="8"/>
      <c r="E768" s="7" t="str">
        <f>IF(B768="","",IFERROR(INDEX(Reactivos!$H$2:$H$435,MATCH(B768,Reactivos!$A$2:$A$435,0)),""))</f>
        <v/>
      </c>
      <c r="F768" s="8"/>
      <c r="G768" s="8"/>
      <c r="H768" s="13"/>
    </row>
    <row r="769" spans="1:8" x14ac:dyDescent="0.3">
      <c r="A769" s="11"/>
      <c r="B769" s="8"/>
      <c r="C769" s="7" t="str">
        <f>IF(B769="","",IFERROR(INDEX(Reactivos!$D$2:$D$435,MATCH(B769,Reactivos!$A$2:$A$435,0)),"ID no existe"))</f>
        <v/>
      </c>
      <c r="D769" s="8"/>
      <c r="E769" s="7" t="str">
        <f>IF(B769="","",IFERROR(INDEX(Reactivos!$H$2:$H$435,MATCH(B769,Reactivos!$A$2:$A$435,0)),""))</f>
        <v/>
      </c>
      <c r="F769" s="8"/>
      <c r="G769" s="8"/>
      <c r="H769" s="13"/>
    </row>
    <row r="770" spans="1:8" x14ac:dyDescent="0.3">
      <c r="A770" s="11"/>
      <c r="B770" s="8"/>
      <c r="C770" s="7" t="str">
        <f>IF(B770="","",IFERROR(INDEX(Reactivos!$D$2:$D$435,MATCH(B770,Reactivos!$A$2:$A$435,0)),"ID no existe"))</f>
        <v/>
      </c>
      <c r="D770" s="8"/>
      <c r="E770" s="7" t="str">
        <f>IF(B770="","",IFERROR(INDEX(Reactivos!$H$2:$H$435,MATCH(B770,Reactivos!$A$2:$A$435,0)),""))</f>
        <v/>
      </c>
      <c r="F770" s="8"/>
      <c r="G770" s="8"/>
      <c r="H770" s="13"/>
    </row>
    <row r="771" spans="1:8" x14ac:dyDescent="0.3">
      <c r="A771" s="11"/>
      <c r="B771" s="8"/>
      <c r="C771" s="7" t="str">
        <f>IF(B771="","",IFERROR(INDEX(Reactivos!$D$2:$D$435,MATCH(B771,Reactivos!$A$2:$A$435,0)),"ID no existe"))</f>
        <v/>
      </c>
      <c r="D771" s="8"/>
      <c r="E771" s="7" t="str">
        <f>IF(B771="","",IFERROR(INDEX(Reactivos!$H$2:$H$435,MATCH(B771,Reactivos!$A$2:$A$435,0)),""))</f>
        <v/>
      </c>
      <c r="F771" s="8"/>
      <c r="G771" s="8"/>
      <c r="H771" s="13"/>
    </row>
    <row r="772" spans="1:8" x14ac:dyDescent="0.3">
      <c r="A772" s="11"/>
      <c r="B772" s="8"/>
      <c r="C772" s="7" t="str">
        <f>IF(B772="","",IFERROR(INDEX(Reactivos!$D$2:$D$435,MATCH(B772,Reactivos!$A$2:$A$435,0)),"ID no existe"))</f>
        <v/>
      </c>
      <c r="D772" s="8"/>
      <c r="E772" s="7" t="str">
        <f>IF(B772="","",IFERROR(INDEX(Reactivos!$H$2:$H$435,MATCH(B772,Reactivos!$A$2:$A$435,0)),""))</f>
        <v/>
      </c>
      <c r="F772" s="8"/>
      <c r="G772" s="8"/>
      <c r="H772" s="13"/>
    </row>
    <row r="773" spans="1:8" x14ac:dyDescent="0.3">
      <c r="A773" s="11"/>
      <c r="B773" s="8"/>
      <c r="C773" s="7" t="str">
        <f>IF(B773="","",IFERROR(INDEX(Reactivos!$D$2:$D$435,MATCH(B773,Reactivos!$A$2:$A$435,0)),"ID no existe"))</f>
        <v/>
      </c>
      <c r="D773" s="8"/>
      <c r="E773" s="7" t="str">
        <f>IF(B773="","",IFERROR(INDEX(Reactivos!$H$2:$H$435,MATCH(B773,Reactivos!$A$2:$A$435,0)),""))</f>
        <v/>
      </c>
      <c r="F773" s="8"/>
      <c r="G773" s="8"/>
      <c r="H773" s="13"/>
    </row>
    <row r="774" spans="1:8" x14ac:dyDescent="0.3">
      <c r="A774" s="11"/>
      <c r="B774" s="8"/>
      <c r="C774" s="7" t="str">
        <f>IF(B774="","",IFERROR(INDEX(Reactivos!$D$2:$D$435,MATCH(B774,Reactivos!$A$2:$A$435,0)),"ID no existe"))</f>
        <v/>
      </c>
      <c r="D774" s="8"/>
      <c r="E774" s="7" t="str">
        <f>IF(B774="","",IFERROR(INDEX(Reactivos!$H$2:$H$435,MATCH(B774,Reactivos!$A$2:$A$435,0)),""))</f>
        <v/>
      </c>
      <c r="F774" s="8"/>
      <c r="G774" s="8"/>
      <c r="H774" s="13"/>
    </row>
    <row r="775" spans="1:8" x14ac:dyDescent="0.3">
      <c r="A775" s="11"/>
      <c r="B775" s="8"/>
      <c r="C775" s="7" t="str">
        <f>IF(B775="","",IFERROR(INDEX(Reactivos!$D$2:$D$435,MATCH(B775,Reactivos!$A$2:$A$435,0)),"ID no existe"))</f>
        <v/>
      </c>
      <c r="D775" s="8"/>
      <c r="E775" s="7" t="str">
        <f>IF(B775="","",IFERROR(INDEX(Reactivos!$H$2:$H$435,MATCH(B775,Reactivos!$A$2:$A$435,0)),""))</f>
        <v/>
      </c>
      <c r="F775" s="8"/>
      <c r="G775" s="8"/>
      <c r="H775" s="13"/>
    </row>
    <row r="776" spans="1:8" x14ac:dyDescent="0.3">
      <c r="A776" s="11"/>
      <c r="B776" s="8"/>
      <c r="C776" s="7" t="str">
        <f>IF(B776="","",IFERROR(INDEX(Reactivos!$D$2:$D$435,MATCH(B776,Reactivos!$A$2:$A$435,0)),"ID no existe"))</f>
        <v/>
      </c>
      <c r="D776" s="8"/>
      <c r="E776" s="7" t="str">
        <f>IF(B776="","",IFERROR(INDEX(Reactivos!$H$2:$H$435,MATCH(B776,Reactivos!$A$2:$A$435,0)),""))</f>
        <v/>
      </c>
      <c r="F776" s="8"/>
      <c r="G776" s="8"/>
      <c r="H776" s="13"/>
    </row>
    <row r="777" spans="1:8" x14ac:dyDescent="0.3">
      <c r="A777" s="11"/>
      <c r="B777" s="8"/>
      <c r="C777" s="7" t="str">
        <f>IF(B777="","",IFERROR(INDEX(Reactivos!$D$2:$D$435,MATCH(B777,Reactivos!$A$2:$A$435,0)),"ID no existe"))</f>
        <v/>
      </c>
      <c r="D777" s="8"/>
      <c r="E777" s="7" t="str">
        <f>IF(B777="","",IFERROR(INDEX(Reactivos!$H$2:$H$435,MATCH(B777,Reactivos!$A$2:$A$435,0)),""))</f>
        <v/>
      </c>
      <c r="F777" s="8"/>
      <c r="G777" s="8"/>
      <c r="H777" s="13"/>
    </row>
    <row r="778" spans="1:8" x14ac:dyDescent="0.3">
      <c r="A778" s="11"/>
      <c r="B778" s="8"/>
      <c r="C778" s="7" t="str">
        <f>IF(B778="","",IFERROR(INDEX(Reactivos!$D$2:$D$435,MATCH(B778,Reactivos!$A$2:$A$435,0)),"ID no existe"))</f>
        <v/>
      </c>
      <c r="D778" s="8"/>
      <c r="E778" s="7" t="str">
        <f>IF(B778="","",IFERROR(INDEX(Reactivos!$H$2:$H$435,MATCH(B778,Reactivos!$A$2:$A$435,0)),""))</f>
        <v/>
      </c>
      <c r="F778" s="8"/>
      <c r="G778" s="8"/>
      <c r="H778" s="13"/>
    </row>
    <row r="779" spans="1:8" x14ac:dyDescent="0.3">
      <c r="A779" s="11"/>
      <c r="B779" s="8"/>
      <c r="C779" s="7" t="str">
        <f>IF(B779="","",IFERROR(INDEX(Reactivos!$D$2:$D$435,MATCH(B779,Reactivos!$A$2:$A$435,0)),"ID no existe"))</f>
        <v/>
      </c>
      <c r="D779" s="8"/>
      <c r="E779" s="7" t="str">
        <f>IF(B779="","",IFERROR(INDEX(Reactivos!$H$2:$H$435,MATCH(B779,Reactivos!$A$2:$A$435,0)),""))</f>
        <v/>
      </c>
      <c r="F779" s="8"/>
      <c r="G779" s="8"/>
      <c r="H779" s="13"/>
    </row>
    <row r="780" spans="1:8" x14ac:dyDescent="0.3">
      <c r="A780" s="11"/>
      <c r="B780" s="8"/>
      <c r="C780" s="7" t="str">
        <f>IF(B780="","",IFERROR(INDEX(Reactivos!$D$2:$D$435,MATCH(B780,Reactivos!$A$2:$A$435,0)),"ID no existe"))</f>
        <v/>
      </c>
      <c r="D780" s="8"/>
      <c r="E780" s="7" t="str">
        <f>IF(B780="","",IFERROR(INDEX(Reactivos!$H$2:$H$435,MATCH(B780,Reactivos!$A$2:$A$435,0)),""))</f>
        <v/>
      </c>
      <c r="F780" s="8"/>
      <c r="G780" s="8"/>
      <c r="H780" s="13"/>
    </row>
    <row r="781" spans="1:8" x14ac:dyDescent="0.3">
      <c r="A781" s="11"/>
      <c r="B781" s="8"/>
      <c r="C781" s="7" t="str">
        <f>IF(B781="","",IFERROR(INDEX(Reactivos!$D$2:$D$435,MATCH(B781,Reactivos!$A$2:$A$435,0)),"ID no existe"))</f>
        <v/>
      </c>
      <c r="D781" s="8"/>
      <c r="E781" s="7" t="str">
        <f>IF(B781="","",IFERROR(INDEX(Reactivos!$H$2:$H$435,MATCH(B781,Reactivos!$A$2:$A$435,0)),""))</f>
        <v/>
      </c>
      <c r="F781" s="8"/>
      <c r="G781" s="8"/>
      <c r="H781" s="13"/>
    </row>
    <row r="782" spans="1:8" x14ac:dyDescent="0.3">
      <c r="A782" s="11"/>
      <c r="B782" s="8"/>
      <c r="C782" s="7" t="str">
        <f>IF(B782="","",IFERROR(INDEX(Reactivos!$D$2:$D$435,MATCH(B782,Reactivos!$A$2:$A$435,0)),"ID no existe"))</f>
        <v/>
      </c>
      <c r="D782" s="8"/>
      <c r="E782" s="7" t="str">
        <f>IF(B782="","",IFERROR(INDEX(Reactivos!$H$2:$H$435,MATCH(B782,Reactivos!$A$2:$A$435,0)),""))</f>
        <v/>
      </c>
      <c r="F782" s="8"/>
      <c r="G782" s="8"/>
      <c r="H782" s="13"/>
    </row>
    <row r="783" spans="1:8" x14ac:dyDescent="0.3">
      <c r="A783" s="11"/>
      <c r="B783" s="8"/>
      <c r="C783" s="7" t="str">
        <f>IF(B783="","",IFERROR(INDEX(Reactivos!$D$2:$D$435,MATCH(B783,Reactivos!$A$2:$A$435,0)),"ID no existe"))</f>
        <v/>
      </c>
      <c r="D783" s="8"/>
      <c r="E783" s="7" t="str">
        <f>IF(B783="","",IFERROR(INDEX(Reactivos!$H$2:$H$435,MATCH(B783,Reactivos!$A$2:$A$435,0)),""))</f>
        <v/>
      </c>
      <c r="F783" s="8"/>
      <c r="G783" s="8"/>
      <c r="H783" s="13"/>
    </row>
    <row r="784" spans="1:8" x14ac:dyDescent="0.3">
      <c r="A784" s="11"/>
      <c r="B784" s="8"/>
      <c r="C784" s="7" t="str">
        <f>IF(B784="","",IFERROR(INDEX(Reactivos!$D$2:$D$435,MATCH(B784,Reactivos!$A$2:$A$435,0)),"ID no existe"))</f>
        <v/>
      </c>
      <c r="D784" s="8"/>
      <c r="E784" s="7" t="str">
        <f>IF(B784="","",IFERROR(INDEX(Reactivos!$H$2:$H$435,MATCH(B784,Reactivos!$A$2:$A$435,0)),""))</f>
        <v/>
      </c>
      <c r="F784" s="8"/>
      <c r="G784" s="8"/>
      <c r="H784" s="13"/>
    </row>
    <row r="785" spans="1:8" x14ac:dyDescent="0.3">
      <c r="A785" s="11"/>
      <c r="B785" s="8"/>
      <c r="C785" s="7" t="str">
        <f>IF(B785="","",IFERROR(INDEX(Reactivos!$D$2:$D$435,MATCH(B785,Reactivos!$A$2:$A$435,0)),"ID no existe"))</f>
        <v/>
      </c>
      <c r="D785" s="8"/>
      <c r="E785" s="7" t="str">
        <f>IF(B785="","",IFERROR(INDEX(Reactivos!$H$2:$H$435,MATCH(B785,Reactivos!$A$2:$A$435,0)),""))</f>
        <v/>
      </c>
      <c r="F785" s="8"/>
      <c r="G785" s="8"/>
      <c r="H785" s="13"/>
    </row>
    <row r="786" spans="1:8" x14ac:dyDescent="0.3">
      <c r="A786" s="11"/>
      <c r="B786" s="8"/>
      <c r="C786" s="7" t="str">
        <f>IF(B786="","",IFERROR(INDEX(Reactivos!$D$2:$D$435,MATCH(B786,Reactivos!$A$2:$A$435,0)),"ID no existe"))</f>
        <v/>
      </c>
      <c r="D786" s="8"/>
      <c r="E786" s="7" t="str">
        <f>IF(B786="","",IFERROR(INDEX(Reactivos!$H$2:$H$435,MATCH(B786,Reactivos!$A$2:$A$435,0)),""))</f>
        <v/>
      </c>
      <c r="F786" s="8"/>
      <c r="G786" s="8"/>
      <c r="H786" s="13"/>
    </row>
    <row r="787" spans="1:8" x14ac:dyDescent="0.3">
      <c r="A787" s="11"/>
      <c r="B787" s="8"/>
      <c r="C787" s="7" t="str">
        <f>IF(B787="","",IFERROR(INDEX(Reactivos!$D$2:$D$435,MATCH(B787,Reactivos!$A$2:$A$435,0)),"ID no existe"))</f>
        <v/>
      </c>
      <c r="D787" s="8"/>
      <c r="E787" s="7" t="str">
        <f>IF(B787="","",IFERROR(INDEX(Reactivos!$H$2:$H$435,MATCH(B787,Reactivos!$A$2:$A$435,0)),""))</f>
        <v/>
      </c>
      <c r="F787" s="8"/>
      <c r="G787" s="8"/>
      <c r="H787" s="13"/>
    </row>
    <row r="788" spans="1:8" x14ac:dyDescent="0.3">
      <c r="A788" s="11"/>
      <c r="B788" s="8"/>
      <c r="C788" s="7" t="str">
        <f>IF(B788="","",IFERROR(INDEX(Reactivos!$D$2:$D$435,MATCH(B788,Reactivos!$A$2:$A$435,0)),"ID no existe"))</f>
        <v/>
      </c>
      <c r="D788" s="8"/>
      <c r="E788" s="7" t="str">
        <f>IF(B788="","",IFERROR(INDEX(Reactivos!$H$2:$H$435,MATCH(B788,Reactivos!$A$2:$A$435,0)),""))</f>
        <v/>
      </c>
      <c r="F788" s="8"/>
      <c r="G788" s="8"/>
      <c r="H788" s="13"/>
    </row>
    <row r="789" spans="1:8" x14ac:dyDescent="0.3">
      <c r="A789" s="11"/>
      <c r="B789" s="8"/>
      <c r="C789" s="7" t="str">
        <f>IF(B789="","",IFERROR(INDEX(Reactivos!$D$2:$D$435,MATCH(B789,Reactivos!$A$2:$A$435,0)),"ID no existe"))</f>
        <v/>
      </c>
      <c r="D789" s="8"/>
      <c r="E789" s="7" t="str">
        <f>IF(B789="","",IFERROR(INDEX(Reactivos!$H$2:$H$435,MATCH(B789,Reactivos!$A$2:$A$435,0)),""))</f>
        <v/>
      </c>
      <c r="F789" s="8"/>
      <c r="G789" s="8"/>
      <c r="H789" s="13"/>
    </row>
    <row r="790" spans="1:8" x14ac:dyDescent="0.3">
      <c r="A790" s="11"/>
      <c r="B790" s="8"/>
      <c r="C790" s="7" t="str">
        <f>IF(B790="","",IFERROR(INDEX(Reactivos!$D$2:$D$435,MATCH(B790,Reactivos!$A$2:$A$435,0)),"ID no existe"))</f>
        <v/>
      </c>
      <c r="D790" s="8"/>
      <c r="E790" s="7" t="str">
        <f>IF(B790="","",IFERROR(INDEX(Reactivos!$H$2:$H$435,MATCH(B790,Reactivos!$A$2:$A$435,0)),""))</f>
        <v/>
      </c>
      <c r="F790" s="8"/>
      <c r="G790" s="8"/>
      <c r="H790" s="13"/>
    </row>
    <row r="791" spans="1:8" x14ac:dyDescent="0.3">
      <c r="A791" s="11"/>
      <c r="B791" s="8"/>
      <c r="C791" s="7" t="str">
        <f>IF(B791="","",IFERROR(INDEX(Reactivos!$D$2:$D$435,MATCH(B791,Reactivos!$A$2:$A$435,0)),"ID no existe"))</f>
        <v/>
      </c>
      <c r="D791" s="8"/>
      <c r="E791" s="7" t="str">
        <f>IF(B791="","",IFERROR(INDEX(Reactivos!$H$2:$H$435,MATCH(B791,Reactivos!$A$2:$A$435,0)),""))</f>
        <v/>
      </c>
      <c r="F791" s="8"/>
      <c r="G791" s="8"/>
      <c r="H791" s="13"/>
    </row>
    <row r="792" spans="1:8" x14ac:dyDescent="0.3">
      <c r="A792" s="11"/>
      <c r="B792" s="8"/>
      <c r="C792" s="7" t="str">
        <f>IF(B792="","",IFERROR(INDEX(Reactivos!$D$2:$D$435,MATCH(B792,Reactivos!$A$2:$A$435,0)),"ID no existe"))</f>
        <v/>
      </c>
      <c r="D792" s="8"/>
      <c r="E792" s="7" t="str">
        <f>IF(B792="","",IFERROR(INDEX(Reactivos!$H$2:$H$435,MATCH(B792,Reactivos!$A$2:$A$435,0)),""))</f>
        <v/>
      </c>
      <c r="F792" s="8"/>
      <c r="G792" s="8"/>
      <c r="H792" s="13"/>
    </row>
    <row r="793" spans="1:8" x14ac:dyDescent="0.3">
      <c r="A793" s="11"/>
      <c r="B793" s="8"/>
      <c r="C793" s="7" t="str">
        <f>IF(B793="","",IFERROR(INDEX(Reactivos!$D$2:$D$435,MATCH(B793,Reactivos!$A$2:$A$435,0)),"ID no existe"))</f>
        <v/>
      </c>
      <c r="D793" s="8"/>
      <c r="E793" s="7" t="str">
        <f>IF(B793="","",IFERROR(INDEX(Reactivos!$H$2:$H$435,MATCH(B793,Reactivos!$A$2:$A$435,0)),""))</f>
        <v/>
      </c>
      <c r="F793" s="8"/>
      <c r="G793" s="8"/>
      <c r="H793" s="13"/>
    </row>
    <row r="794" spans="1:8" x14ac:dyDescent="0.3">
      <c r="A794" s="11"/>
      <c r="B794" s="8"/>
      <c r="C794" s="7" t="str">
        <f>IF(B794="","",IFERROR(INDEX(Reactivos!$D$2:$D$435,MATCH(B794,Reactivos!$A$2:$A$435,0)),"ID no existe"))</f>
        <v/>
      </c>
      <c r="D794" s="8"/>
      <c r="E794" s="7" t="str">
        <f>IF(B794="","",IFERROR(INDEX(Reactivos!$H$2:$H$435,MATCH(B794,Reactivos!$A$2:$A$435,0)),""))</f>
        <v/>
      </c>
      <c r="F794" s="8"/>
      <c r="G794" s="8"/>
      <c r="H794" s="13"/>
    </row>
    <row r="795" spans="1:8" x14ac:dyDescent="0.3">
      <c r="A795" s="11"/>
      <c r="B795" s="8"/>
      <c r="C795" s="7" t="str">
        <f>IF(B795="","",IFERROR(INDEX(Reactivos!$D$2:$D$435,MATCH(B795,Reactivos!$A$2:$A$435,0)),"ID no existe"))</f>
        <v/>
      </c>
      <c r="D795" s="8"/>
      <c r="E795" s="7" t="str">
        <f>IF(B795="","",IFERROR(INDEX(Reactivos!$H$2:$H$435,MATCH(B795,Reactivos!$A$2:$A$435,0)),""))</f>
        <v/>
      </c>
      <c r="F795" s="8"/>
      <c r="G795" s="8"/>
      <c r="H795" s="13"/>
    </row>
    <row r="796" spans="1:8" x14ac:dyDescent="0.3">
      <c r="A796" s="11"/>
      <c r="B796" s="8"/>
      <c r="C796" s="7" t="str">
        <f>IF(B796="","",IFERROR(INDEX(Reactivos!$D$2:$D$435,MATCH(B796,Reactivos!$A$2:$A$435,0)),"ID no existe"))</f>
        <v/>
      </c>
      <c r="D796" s="8"/>
      <c r="E796" s="7" t="str">
        <f>IF(B796="","",IFERROR(INDEX(Reactivos!$H$2:$H$435,MATCH(B796,Reactivos!$A$2:$A$435,0)),""))</f>
        <v/>
      </c>
      <c r="F796" s="8"/>
      <c r="G796" s="8"/>
      <c r="H796" s="13"/>
    </row>
    <row r="797" spans="1:8" x14ac:dyDescent="0.3">
      <c r="A797" s="11"/>
      <c r="B797" s="8"/>
      <c r="C797" s="7" t="str">
        <f>IF(B797="","",IFERROR(INDEX(Reactivos!$D$2:$D$435,MATCH(B797,Reactivos!$A$2:$A$435,0)),"ID no existe"))</f>
        <v/>
      </c>
      <c r="D797" s="8"/>
      <c r="E797" s="7" t="str">
        <f>IF(B797="","",IFERROR(INDEX(Reactivos!$H$2:$H$435,MATCH(B797,Reactivos!$A$2:$A$435,0)),""))</f>
        <v/>
      </c>
      <c r="F797" s="8"/>
      <c r="G797" s="8"/>
      <c r="H797" s="13"/>
    </row>
    <row r="798" spans="1:8" x14ac:dyDescent="0.3">
      <c r="A798" s="11"/>
      <c r="B798" s="8"/>
      <c r="C798" s="7" t="str">
        <f>IF(B798="","",IFERROR(INDEX(Reactivos!$D$2:$D$435,MATCH(B798,Reactivos!$A$2:$A$435,0)),"ID no existe"))</f>
        <v/>
      </c>
      <c r="D798" s="8"/>
      <c r="E798" s="7" t="str">
        <f>IF(B798="","",IFERROR(INDEX(Reactivos!$H$2:$H$435,MATCH(B798,Reactivos!$A$2:$A$435,0)),""))</f>
        <v/>
      </c>
      <c r="F798" s="8"/>
      <c r="G798" s="8"/>
      <c r="H798" s="13"/>
    </row>
    <row r="799" spans="1:8" x14ac:dyDescent="0.3">
      <c r="A799" s="11"/>
      <c r="B799" s="8"/>
      <c r="C799" s="7" t="str">
        <f>IF(B799="","",IFERROR(INDEX(Reactivos!$D$2:$D$435,MATCH(B799,Reactivos!$A$2:$A$435,0)),"ID no existe"))</f>
        <v/>
      </c>
      <c r="D799" s="8"/>
      <c r="E799" s="7" t="str">
        <f>IF(B799="","",IFERROR(INDEX(Reactivos!$H$2:$H$435,MATCH(B799,Reactivos!$A$2:$A$435,0)),""))</f>
        <v/>
      </c>
      <c r="F799" s="8"/>
      <c r="G799" s="8"/>
      <c r="H799" s="13"/>
    </row>
    <row r="800" spans="1:8" x14ac:dyDescent="0.3">
      <c r="A800" s="11"/>
      <c r="B800" s="8"/>
      <c r="C800" s="7" t="str">
        <f>IF(B800="","",IFERROR(INDEX(Reactivos!$D$2:$D$435,MATCH(B800,Reactivos!$A$2:$A$435,0)),"ID no existe"))</f>
        <v/>
      </c>
      <c r="D800" s="8"/>
      <c r="E800" s="7" t="str">
        <f>IF(B800="","",IFERROR(INDEX(Reactivos!$H$2:$H$435,MATCH(B800,Reactivos!$A$2:$A$435,0)),""))</f>
        <v/>
      </c>
      <c r="F800" s="8"/>
      <c r="G800" s="8"/>
      <c r="H800" s="13"/>
    </row>
    <row r="801" spans="1:8" x14ac:dyDescent="0.3">
      <c r="A801" s="11"/>
      <c r="B801" s="8"/>
      <c r="C801" s="7" t="str">
        <f>IF(B801="","",IFERROR(INDEX(Reactivos!$D$2:$D$435,MATCH(B801,Reactivos!$A$2:$A$435,0)),"ID no existe"))</f>
        <v/>
      </c>
      <c r="D801" s="8"/>
      <c r="E801" s="7" t="str">
        <f>IF(B801="","",IFERROR(INDEX(Reactivos!$H$2:$H$435,MATCH(B801,Reactivos!$A$2:$A$435,0)),""))</f>
        <v/>
      </c>
      <c r="F801" s="8"/>
      <c r="G801" s="8"/>
      <c r="H801" s="13"/>
    </row>
    <row r="802" spans="1:8" x14ac:dyDescent="0.3">
      <c r="A802" s="11"/>
      <c r="B802" s="8"/>
      <c r="C802" s="7" t="str">
        <f>IF(B802="","",IFERROR(INDEX(Reactivos!$D$2:$D$435,MATCH(B802,Reactivos!$A$2:$A$435,0)),"ID no existe"))</f>
        <v/>
      </c>
      <c r="D802" s="8"/>
      <c r="E802" s="7" t="str">
        <f>IF(B802="","",IFERROR(INDEX(Reactivos!$H$2:$H$435,MATCH(B802,Reactivos!$A$2:$A$435,0)),""))</f>
        <v/>
      </c>
      <c r="F802" s="8"/>
      <c r="G802" s="8"/>
      <c r="H802" s="13"/>
    </row>
    <row r="803" spans="1:8" x14ac:dyDescent="0.3">
      <c r="A803" s="11"/>
      <c r="B803" s="8"/>
      <c r="C803" s="7" t="str">
        <f>IF(B803="","",IFERROR(INDEX(Reactivos!$D$2:$D$435,MATCH(B803,Reactivos!$A$2:$A$435,0)),"ID no existe"))</f>
        <v/>
      </c>
      <c r="D803" s="8"/>
      <c r="E803" s="7" t="str">
        <f>IF(B803="","",IFERROR(INDEX(Reactivos!$H$2:$H$435,MATCH(B803,Reactivos!$A$2:$A$435,0)),""))</f>
        <v/>
      </c>
      <c r="F803" s="8"/>
      <c r="G803" s="8"/>
      <c r="H803" s="13"/>
    </row>
    <row r="804" spans="1:8" x14ac:dyDescent="0.3">
      <c r="A804" s="11"/>
      <c r="B804" s="8"/>
      <c r="C804" s="7" t="str">
        <f>IF(B804="","",IFERROR(INDEX(Reactivos!$D$2:$D$435,MATCH(B804,Reactivos!$A$2:$A$435,0)),"ID no existe"))</f>
        <v/>
      </c>
      <c r="D804" s="8"/>
      <c r="E804" s="7" t="str">
        <f>IF(B804="","",IFERROR(INDEX(Reactivos!$H$2:$H$435,MATCH(B804,Reactivos!$A$2:$A$435,0)),""))</f>
        <v/>
      </c>
      <c r="F804" s="8"/>
      <c r="G804" s="8"/>
      <c r="H804" s="13"/>
    </row>
    <row r="805" spans="1:8" x14ac:dyDescent="0.3">
      <c r="A805" s="11"/>
      <c r="B805" s="8"/>
      <c r="C805" s="7" t="str">
        <f>IF(B805="","",IFERROR(INDEX(Reactivos!$D$2:$D$435,MATCH(B805,Reactivos!$A$2:$A$435,0)),"ID no existe"))</f>
        <v/>
      </c>
      <c r="D805" s="8"/>
      <c r="E805" s="7" t="str">
        <f>IF(B805="","",IFERROR(INDEX(Reactivos!$H$2:$H$435,MATCH(B805,Reactivos!$A$2:$A$435,0)),""))</f>
        <v/>
      </c>
      <c r="F805" s="8"/>
      <c r="G805" s="8"/>
      <c r="H805" s="13"/>
    </row>
    <row r="806" spans="1:8" x14ac:dyDescent="0.3">
      <c r="A806" s="11"/>
      <c r="B806" s="8"/>
      <c r="C806" s="7" t="str">
        <f>IF(B806="","",IFERROR(INDEX(Reactivos!$D$2:$D$435,MATCH(B806,Reactivos!$A$2:$A$435,0)),"ID no existe"))</f>
        <v/>
      </c>
      <c r="D806" s="8"/>
      <c r="E806" s="7" t="str">
        <f>IF(B806="","",IFERROR(INDEX(Reactivos!$H$2:$H$435,MATCH(B806,Reactivos!$A$2:$A$435,0)),""))</f>
        <v/>
      </c>
      <c r="F806" s="8"/>
      <c r="G806" s="8"/>
      <c r="H806" s="13"/>
    </row>
    <row r="807" spans="1:8" x14ac:dyDescent="0.3">
      <c r="A807" s="11"/>
      <c r="B807" s="8"/>
      <c r="C807" s="7" t="str">
        <f>IF(B807="","",IFERROR(INDEX(Reactivos!$D$2:$D$435,MATCH(B807,Reactivos!$A$2:$A$435,0)),"ID no existe"))</f>
        <v/>
      </c>
      <c r="D807" s="8"/>
      <c r="E807" s="7" t="str">
        <f>IF(B807="","",IFERROR(INDEX(Reactivos!$H$2:$H$435,MATCH(B807,Reactivos!$A$2:$A$435,0)),""))</f>
        <v/>
      </c>
      <c r="F807" s="8"/>
      <c r="G807" s="8"/>
      <c r="H807" s="13"/>
    </row>
    <row r="808" spans="1:8" x14ac:dyDescent="0.3">
      <c r="A808" s="11"/>
      <c r="B808" s="8"/>
      <c r="C808" s="7" t="str">
        <f>IF(B808="","",IFERROR(INDEX(Reactivos!$D$2:$D$435,MATCH(B808,Reactivos!$A$2:$A$435,0)),"ID no existe"))</f>
        <v/>
      </c>
      <c r="D808" s="8"/>
      <c r="E808" s="7" t="str">
        <f>IF(B808="","",IFERROR(INDEX(Reactivos!$H$2:$H$435,MATCH(B808,Reactivos!$A$2:$A$435,0)),""))</f>
        <v/>
      </c>
      <c r="F808" s="8"/>
      <c r="G808" s="8"/>
      <c r="H808" s="13"/>
    </row>
    <row r="809" spans="1:8" x14ac:dyDescent="0.3">
      <c r="A809" s="11"/>
      <c r="B809" s="8"/>
      <c r="C809" s="7" t="str">
        <f>IF(B809="","",IFERROR(INDEX(Reactivos!$D$2:$D$435,MATCH(B809,Reactivos!$A$2:$A$435,0)),"ID no existe"))</f>
        <v/>
      </c>
      <c r="D809" s="8"/>
      <c r="E809" s="7" t="str">
        <f>IF(B809="","",IFERROR(INDEX(Reactivos!$H$2:$H$435,MATCH(B809,Reactivos!$A$2:$A$435,0)),""))</f>
        <v/>
      </c>
      <c r="F809" s="8"/>
      <c r="G809" s="8"/>
      <c r="H809" s="13"/>
    </row>
    <row r="810" spans="1:8" x14ac:dyDescent="0.3">
      <c r="A810" s="11"/>
      <c r="B810" s="8"/>
      <c r="C810" s="7" t="str">
        <f>IF(B810="","",IFERROR(INDEX(Reactivos!$D$2:$D$435,MATCH(B810,Reactivos!$A$2:$A$435,0)),"ID no existe"))</f>
        <v/>
      </c>
      <c r="D810" s="8"/>
      <c r="E810" s="7" t="str">
        <f>IF(B810="","",IFERROR(INDEX(Reactivos!$H$2:$H$435,MATCH(B810,Reactivos!$A$2:$A$435,0)),""))</f>
        <v/>
      </c>
      <c r="F810" s="8"/>
      <c r="G810" s="8"/>
      <c r="H810" s="13"/>
    </row>
    <row r="811" spans="1:8" x14ac:dyDescent="0.3">
      <c r="A811" s="11"/>
      <c r="B811" s="8"/>
      <c r="C811" s="7" t="str">
        <f>IF(B811="","",IFERROR(INDEX(Reactivos!$D$2:$D$435,MATCH(B811,Reactivos!$A$2:$A$435,0)),"ID no existe"))</f>
        <v/>
      </c>
      <c r="D811" s="8"/>
      <c r="E811" s="7" t="str">
        <f>IF(B811="","",IFERROR(INDEX(Reactivos!$H$2:$H$435,MATCH(B811,Reactivos!$A$2:$A$435,0)),""))</f>
        <v/>
      </c>
      <c r="F811" s="8"/>
      <c r="G811" s="8"/>
      <c r="H811" s="13"/>
    </row>
    <row r="812" spans="1:8" x14ac:dyDescent="0.3">
      <c r="A812" s="11"/>
      <c r="B812" s="8"/>
      <c r="C812" s="7" t="str">
        <f>IF(B812="","",IFERROR(INDEX(Reactivos!$D$2:$D$435,MATCH(B812,Reactivos!$A$2:$A$435,0)),"ID no existe"))</f>
        <v/>
      </c>
      <c r="D812" s="8"/>
      <c r="E812" s="7" t="str">
        <f>IF(B812="","",IFERROR(INDEX(Reactivos!$H$2:$H$435,MATCH(B812,Reactivos!$A$2:$A$435,0)),""))</f>
        <v/>
      </c>
      <c r="F812" s="8"/>
      <c r="G812" s="8"/>
      <c r="H812" s="13"/>
    </row>
    <row r="813" spans="1:8" x14ac:dyDescent="0.3">
      <c r="A813" s="11"/>
      <c r="B813" s="8"/>
      <c r="C813" s="7" t="str">
        <f>IF(B813="","",IFERROR(INDEX(Reactivos!$D$2:$D$435,MATCH(B813,Reactivos!$A$2:$A$435,0)),"ID no existe"))</f>
        <v/>
      </c>
      <c r="D813" s="8"/>
      <c r="E813" s="7" t="str">
        <f>IF(B813="","",IFERROR(INDEX(Reactivos!$H$2:$H$435,MATCH(B813,Reactivos!$A$2:$A$435,0)),""))</f>
        <v/>
      </c>
      <c r="F813" s="8"/>
      <c r="G813" s="8"/>
      <c r="H813" s="13"/>
    </row>
    <row r="814" spans="1:8" x14ac:dyDescent="0.3">
      <c r="A814" s="11"/>
      <c r="B814" s="8"/>
      <c r="C814" s="7" t="str">
        <f>IF(B814="","",IFERROR(INDEX(Reactivos!$D$2:$D$435,MATCH(B814,Reactivos!$A$2:$A$435,0)),"ID no existe"))</f>
        <v/>
      </c>
      <c r="D814" s="8"/>
      <c r="E814" s="7" t="str">
        <f>IF(B814="","",IFERROR(INDEX(Reactivos!$H$2:$H$435,MATCH(B814,Reactivos!$A$2:$A$435,0)),""))</f>
        <v/>
      </c>
      <c r="F814" s="8"/>
      <c r="G814" s="8"/>
      <c r="H814" s="13"/>
    </row>
    <row r="815" spans="1:8" x14ac:dyDescent="0.3">
      <c r="A815" s="11"/>
      <c r="B815" s="8"/>
      <c r="C815" s="7" t="str">
        <f>IF(B815="","",IFERROR(INDEX(Reactivos!$D$2:$D$435,MATCH(B815,Reactivos!$A$2:$A$435,0)),"ID no existe"))</f>
        <v/>
      </c>
      <c r="D815" s="8"/>
      <c r="E815" s="7" t="str">
        <f>IF(B815="","",IFERROR(INDEX(Reactivos!$H$2:$H$435,MATCH(B815,Reactivos!$A$2:$A$435,0)),""))</f>
        <v/>
      </c>
      <c r="F815" s="8"/>
      <c r="G815" s="8"/>
      <c r="H815" s="13"/>
    </row>
    <row r="816" spans="1:8" x14ac:dyDescent="0.3">
      <c r="A816" s="11"/>
      <c r="B816" s="8"/>
      <c r="C816" s="7" t="str">
        <f>IF(B816="","",IFERROR(INDEX(Reactivos!$D$2:$D$435,MATCH(B816,Reactivos!$A$2:$A$435,0)),"ID no existe"))</f>
        <v/>
      </c>
      <c r="D816" s="8"/>
      <c r="E816" s="7" t="str">
        <f>IF(B816="","",IFERROR(INDEX(Reactivos!$H$2:$H$435,MATCH(B816,Reactivos!$A$2:$A$435,0)),""))</f>
        <v/>
      </c>
      <c r="F816" s="8"/>
      <c r="G816" s="8"/>
      <c r="H816" s="13"/>
    </row>
    <row r="817" spans="1:8" x14ac:dyDescent="0.3">
      <c r="A817" s="11"/>
      <c r="B817" s="8"/>
      <c r="C817" s="7" t="str">
        <f>IF(B817="","",IFERROR(INDEX(Reactivos!$D$2:$D$435,MATCH(B817,Reactivos!$A$2:$A$435,0)),"ID no existe"))</f>
        <v/>
      </c>
      <c r="D817" s="8"/>
      <c r="E817" s="7" t="str">
        <f>IF(B817="","",IFERROR(INDEX(Reactivos!$H$2:$H$435,MATCH(B817,Reactivos!$A$2:$A$435,0)),""))</f>
        <v/>
      </c>
      <c r="F817" s="8"/>
      <c r="G817" s="8"/>
      <c r="H817" s="13"/>
    </row>
    <row r="818" spans="1:8" x14ac:dyDescent="0.3">
      <c r="A818" s="11"/>
      <c r="B818" s="8"/>
      <c r="C818" s="7" t="str">
        <f>IF(B818="","",IFERROR(INDEX(Reactivos!$D$2:$D$435,MATCH(B818,Reactivos!$A$2:$A$435,0)),"ID no existe"))</f>
        <v/>
      </c>
      <c r="D818" s="8"/>
      <c r="E818" s="7" t="str">
        <f>IF(B818="","",IFERROR(INDEX(Reactivos!$H$2:$H$435,MATCH(B818,Reactivos!$A$2:$A$435,0)),""))</f>
        <v/>
      </c>
      <c r="F818" s="8"/>
      <c r="G818" s="8"/>
      <c r="H818" s="13"/>
    </row>
    <row r="819" spans="1:8" x14ac:dyDescent="0.3">
      <c r="A819" s="11"/>
      <c r="B819" s="8"/>
      <c r="C819" s="7" t="str">
        <f>IF(B819="","",IFERROR(INDEX(Reactivos!$D$2:$D$435,MATCH(B819,Reactivos!$A$2:$A$435,0)),"ID no existe"))</f>
        <v/>
      </c>
      <c r="D819" s="8"/>
      <c r="E819" s="7" t="str">
        <f>IF(B819="","",IFERROR(INDEX(Reactivos!$H$2:$H$435,MATCH(B819,Reactivos!$A$2:$A$435,0)),""))</f>
        <v/>
      </c>
      <c r="F819" s="8"/>
      <c r="G819" s="8"/>
      <c r="H819" s="13"/>
    </row>
    <row r="820" spans="1:8" x14ac:dyDescent="0.3">
      <c r="A820" s="11"/>
      <c r="B820" s="8"/>
      <c r="C820" s="7" t="str">
        <f>IF(B820="","",IFERROR(INDEX(Reactivos!$D$2:$D$435,MATCH(B820,Reactivos!$A$2:$A$435,0)),"ID no existe"))</f>
        <v/>
      </c>
      <c r="D820" s="8"/>
      <c r="E820" s="7" t="str">
        <f>IF(B820="","",IFERROR(INDEX(Reactivos!$H$2:$H$435,MATCH(B820,Reactivos!$A$2:$A$435,0)),""))</f>
        <v/>
      </c>
      <c r="F820" s="8"/>
      <c r="G820" s="8"/>
      <c r="H820" s="13"/>
    </row>
    <row r="821" spans="1:8" x14ac:dyDescent="0.3">
      <c r="A821" s="11"/>
      <c r="B821" s="8"/>
      <c r="C821" s="7" t="str">
        <f>IF(B821="","",IFERROR(INDEX(Reactivos!$D$2:$D$435,MATCH(B821,Reactivos!$A$2:$A$435,0)),"ID no existe"))</f>
        <v/>
      </c>
      <c r="D821" s="8"/>
      <c r="E821" s="7" t="str">
        <f>IF(B821="","",IFERROR(INDEX(Reactivos!$H$2:$H$435,MATCH(B821,Reactivos!$A$2:$A$435,0)),""))</f>
        <v/>
      </c>
      <c r="F821" s="8"/>
      <c r="G821" s="8"/>
      <c r="H821" s="13"/>
    </row>
    <row r="822" spans="1:8" x14ac:dyDescent="0.3">
      <c r="A822" s="11"/>
      <c r="B822" s="8"/>
      <c r="C822" s="7" t="str">
        <f>IF(B822="","",IFERROR(INDEX(Reactivos!$D$2:$D$435,MATCH(B822,Reactivos!$A$2:$A$435,0)),"ID no existe"))</f>
        <v/>
      </c>
      <c r="D822" s="8"/>
      <c r="E822" s="7" t="str">
        <f>IF(B822="","",IFERROR(INDEX(Reactivos!$H$2:$H$435,MATCH(B822,Reactivos!$A$2:$A$435,0)),""))</f>
        <v/>
      </c>
      <c r="F822" s="8"/>
      <c r="G822" s="8"/>
      <c r="H822" s="13"/>
    </row>
    <row r="823" spans="1:8" x14ac:dyDescent="0.3">
      <c r="A823" s="11"/>
      <c r="B823" s="8"/>
      <c r="C823" s="7" t="str">
        <f>IF(B823="","",IFERROR(INDEX(Reactivos!$D$2:$D$435,MATCH(B823,Reactivos!$A$2:$A$435,0)),"ID no existe"))</f>
        <v/>
      </c>
      <c r="D823" s="8"/>
      <c r="E823" s="7" t="str">
        <f>IF(B823="","",IFERROR(INDEX(Reactivos!$H$2:$H$435,MATCH(B823,Reactivos!$A$2:$A$435,0)),""))</f>
        <v/>
      </c>
      <c r="F823" s="8"/>
      <c r="G823" s="8"/>
      <c r="H823" s="13"/>
    </row>
    <row r="824" spans="1:8" x14ac:dyDescent="0.3">
      <c r="A824" s="11"/>
      <c r="B824" s="8"/>
      <c r="C824" s="7" t="str">
        <f>IF(B824="","",IFERROR(INDEX(Reactivos!$D$2:$D$435,MATCH(B824,Reactivos!$A$2:$A$435,0)),"ID no existe"))</f>
        <v/>
      </c>
      <c r="D824" s="8"/>
      <c r="E824" s="7" t="str">
        <f>IF(B824="","",IFERROR(INDEX(Reactivos!$H$2:$H$435,MATCH(B824,Reactivos!$A$2:$A$435,0)),""))</f>
        <v/>
      </c>
      <c r="F824" s="8"/>
      <c r="G824" s="8"/>
      <c r="H824" s="13"/>
    </row>
    <row r="825" spans="1:8" x14ac:dyDescent="0.3">
      <c r="A825" s="11"/>
      <c r="B825" s="8"/>
      <c r="C825" s="7" t="str">
        <f>IF(B825="","",IFERROR(INDEX(Reactivos!$D$2:$D$435,MATCH(B825,Reactivos!$A$2:$A$435,0)),"ID no existe"))</f>
        <v/>
      </c>
      <c r="D825" s="8"/>
      <c r="E825" s="7" t="str">
        <f>IF(B825="","",IFERROR(INDEX(Reactivos!$H$2:$H$435,MATCH(B825,Reactivos!$A$2:$A$435,0)),""))</f>
        <v/>
      </c>
      <c r="F825" s="8"/>
      <c r="G825" s="8"/>
      <c r="H825" s="13"/>
    </row>
    <row r="826" spans="1:8" x14ac:dyDescent="0.3">
      <c r="A826" s="11"/>
      <c r="B826" s="8"/>
      <c r="C826" s="7" t="str">
        <f>IF(B826="","",IFERROR(INDEX(Reactivos!$D$2:$D$435,MATCH(B826,Reactivos!$A$2:$A$435,0)),"ID no existe"))</f>
        <v/>
      </c>
      <c r="D826" s="8"/>
      <c r="E826" s="7" t="str">
        <f>IF(B826="","",IFERROR(INDEX(Reactivos!$H$2:$H$435,MATCH(B826,Reactivos!$A$2:$A$435,0)),""))</f>
        <v/>
      </c>
      <c r="F826" s="8"/>
      <c r="G826" s="8"/>
      <c r="H826" s="13"/>
    </row>
    <row r="827" spans="1:8" x14ac:dyDescent="0.3">
      <c r="A827" s="11"/>
      <c r="B827" s="8"/>
      <c r="C827" s="7" t="str">
        <f>IF(B827="","",IFERROR(INDEX(Reactivos!$D$2:$D$435,MATCH(B827,Reactivos!$A$2:$A$435,0)),"ID no existe"))</f>
        <v/>
      </c>
      <c r="D827" s="8"/>
      <c r="E827" s="7" t="str">
        <f>IF(B827="","",IFERROR(INDEX(Reactivos!$H$2:$H$435,MATCH(B827,Reactivos!$A$2:$A$435,0)),""))</f>
        <v/>
      </c>
      <c r="F827" s="8"/>
      <c r="G827" s="8"/>
      <c r="H827" s="13"/>
    </row>
    <row r="828" spans="1:8" x14ac:dyDescent="0.3">
      <c r="A828" s="11"/>
      <c r="B828" s="8"/>
      <c r="C828" s="7" t="str">
        <f>IF(B828="","",IFERROR(INDEX(Reactivos!$D$2:$D$435,MATCH(B828,Reactivos!$A$2:$A$435,0)),"ID no existe"))</f>
        <v/>
      </c>
      <c r="D828" s="8"/>
      <c r="E828" s="7" t="str">
        <f>IF(B828="","",IFERROR(INDEX(Reactivos!$H$2:$H$435,MATCH(B828,Reactivos!$A$2:$A$435,0)),""))</f>
        <v/>
      </c>
      <c r="F828" s="8"/>
      <c r="G828" s="8"/>
      <c r="H828" s="13"/>
    </row>
    <row r="829" spans="1:8" x14ac:dyDescent="0.3">
      <c r="A829" s="11"/>
      <c r="B829" s="8"/>
      <c r="C829" s="7" t="str">
        <f>IF(B829="","",IFERROR(INDEX(Reactivos!$D$2:$D$435,MATCH(B829,Reactivos!$A$2:$A$435,0)),"ID no existe"))</f>
        <v/>
      </c>
      <c r="D829" s="8"/>
      <c r="E829" s="7" t="str">
        <f>IF(B829="","",IFERROR(INDEX(Reactivos!$H$2:$H$435,MATCH(B829,Reactivos!$A$2:$A$435,0)),""))</f>
        <v/>
      </c>
      <c r="F829" s="8"/>
      <c r="G829" s="8"/>
      <c r="H829" s="13"/>
    </row>
    <row r="830" spans="1:8" x14ac:dyDescent="0.3">
      <c r="A830" s="11"/>
      <c r="B830" s="8"/>
      <c r="C830" s="7" t="str">
        <f>IF(B830="","",IFERROR(INDEX(Reactivos!$D$2:$D$435,MATCH(B830,Reactivos!$A$2:$A$435,0)),"ID no existe"))</f>
        <v/>
      </c>
      <c r="D830" s="8"/>
      <c r="E830" s="7" t="str">
        <f>IF(B830="","",IFERROR(INDEX(Reactivos!$H$2:$H$435,MATCH(B830,Reactivos!$A$2:$A$435,0)),""))</f>
        <v/>
      </c>
      <c r="F830" s="8"/>
      <c r="G830" s="8"/>
      <c r="H830" s="13"/>
    </row>
    <row r="831" spans="1:8" x14ac:dyDescent="0.3">
      <c r="A831" s="11"/>
      <c r="B831" s="8"/>
      <c r="C831" s="7" t="str">
        <f>IF(B831="","",IFERROR(INDEX(Reactivos!$D$2:$D$435,MATCH(B831,Reactivos!$A$2:$A$435,0)),"ID no existe"))</f>
        <v/>
      </c>
      <c r="D831" s="8"/>
      <c r="E831" s="7" t="str">
        <f>IF(B831="","",IFERROR(INDEX(Reactivos!$H$2:$H$435,MATCH(B831,Reactivos!$A$2:$A$435,0)),""))</f>
        <v/>
      </c>
      <c r="F831" s="8"/>
      <c r="G831" s="8"/>
      <c r="H831" s="13"/>
    </row>
    <row r="832" spans="1:8" x14ac:dyDescent="0.3">
      <c r="A832" s="11"/>
      <c r="B832" s="8"/>
      <c r="C832" s="7" t="str">
        <f>IF(B832="","",IFERROR(INDEX(Reactivos!$D$2:$D$435,MATCH(B832,Reactivos!$A$2:$A$435,0)),"ID no existe"))</f>
        <v/>
      </c>
      <c r="D832" s="8"/>
      <c r="E832" s="7" t="str">
        <f>IF(B832="","",IFERROR(INDEX(Reactivos!$H$2:$H$435,MATCH(B832,Reactivos!$A$2:$A$435,0)),""))</f>
        <v/>
      </c>
      <c r="F832" s="8"/>
      <c r="G832" s="8"/>
      <c r="H832" s="13"/>
    </row>
    <row r="833" spans="1:8" x14ac:dyDescent="0.3">
      <c r="A833" s="11"/>
      <c r="B833" s="8"/>
      <c r="C833" s="7" t="str">
        <f>IF(B833="","",IFERROR(INDEX(Reactivos!$D$2:$D$435,MATCH(B833,Reactivos!$A$2:$A$435,0)),"ID no existe"))</f>
        <v/>
      </c>
      <c r="D833" s="8"/>
      <c r="E833" s="7" t="str">
        <f>IF(B833="","",IFERROR(INDEX(Reactivos!$H$2:$H$435,MATCH(B833,Reactivos!$A$2:$A$435,0)),""))</f>
        <v/>
      </c>
      <c r="F833" s="8"/>
      <c r="G833" s="8"/>
      <c r="H833" s="13"/>
    </row>
    <row r="834" spans="1:8" x14ac:dyDescent="0.3">
      <c r="A834" s="11"/>
      <c r="B834" s="8"/>
      <c r="C834" s="7" t="str">
        <f>IF(B834="","",IFERROR(INDEX(Reactivos!$D$2:$D$435,MATCH(B834,Reactivos!$A$2:$A$435,0)),"ID no existe"))</f>
        <v/>
      </c>
      <c r="D834" s="8"/>
      <c r="E834" s="7" t="str">
        <f>IF(B834="","",IFERROR(INDEX(Reactivos!$H$2:$H$435,MATCH(B834,Reactivos!$A$2:$A$435,0)),""))</f>
        <v/>
      </c>
      <c r="F834" s="8"/>
      <c r="G834" s="8"/>
      <c r="H834" s="13"/>
    </row>
    <row r="835" spans="1:8" x14ac:dyDescent="0.3">
      <c r="A835" s="11"/>
      <c r="B835" s="8"/>
      <c r="C835" s="7" t="str">
        <f>IF(B835="","",IFERROR(INDEX(Reactivos!$D$2:$D$435,MATCH(B835,Reactivos!$A$2:$A$435,0)),"ID no existe"))</f>
        <v/>
      </c>
      <c r="D835" s="8"/>
      <c r="E835" s="7" t="str">
        <f>IF(B835="","",IFERROR(INDEX(Reactivos!$H$2:$H$435,MATCH(B835,Reactivos!$A$2:$A$435,0)),""))</f>
        <v/>
      </c>
      <c r="F835" s="8"/>
      <c r="G835" s="8"/>
      <c r="H835" s="13"/>
    </row>
    <row r="836" spans="1:8" x14ac:dyDescent="0.3">
      <c r="A836" s="11"/>
      <c r="B836" s="8"/>
      <c r="C836" s="7" t="str">
        <f>IF(B836="","",IFERROR(INDEX(Reactivos!$D$2:$D$435,MATCH(B836,Reactivos!$A$2:$A$435,0)),"ID no existe"))</f>
        <v/>
      </c>
      <c r="D836" s="8"/>
      <c r="E836" s="7" t="str">
        <f>IF(B836="","",IFERROR(INDEX(Reactivos!$H$2:$H$435,MATCH(B836,Reactivos!$A$2:$A$435,0)),""))</f>
        <v/>
      </c>
      <c r="F836" s="8"/>
      <c r="G836" s="8"/>
      <c r="H836" s="13"/>
    </row>
    <row r="837" spans="1:8" x14ac:dyDescent="0.3">
      <c r="A837" s="11"/>
      <c r="B837" s="8"/>
      <c r="C837" s="7" t="str">
        <f>IF(B837="","",IFERROR(INDEX(Reactivos!$D$2:$D$435,MATCH(B837,Reactivos!$A$2:$A$435,0)),"ID no existe"))</f>
        <v/>
      </c>
      <c r="D837" s="8"/>
      <c r="E837" s="7" t="str">
        <f>IF(B837="","",IFERROR(INDEX(Reactivos!$H$2:$H$435,MATCH(B837,Reactivos!$A$2:$A$435,0)),""))</f>
        <v/>
      </c>
      <c r="F837" s="8"/>
      <c r="G837" s="8"/>
      <c r="H837" s="13"/>
    </row>
    <row r="838" spans="1:8" x14ac:dyDescent="0.3">
      <c r="A838" s="11"/>
      <c r="B838" s="8"/>
      <c r="C838" s="7" t="str">
        <f>IF(B838="","",IFERROR(INDEX(Reactivos!$D$2:$D$435,MATCH(B838,Reactivos!$A$2:$A$435,0)),"ID no existe"))</f>
        <v/>
      </c>
      <c r="D838" s="8"/>
      <c r="E838" s="7" t="str">
        <f>IF(B838="","",IFERROR(INDEX(Reactivos!$H$2:$H$435,MATCH(B838,Reactivos!$A$2:$A$435,0)),""))</f>
        <v/>
      </c>
      <c r="F838" s="8"/>
      <c r="G838" s="8"/>
      <c r="H838" s="13"/>
    </row>
    <row r="839" spans="1:8" x14ac:dyDescent="0.3">
      <c r="A839" s="11"/>
      <c r="B839" s="8"/>
      <c r="C839" s="7" t="str">
        <f>IF(B839="","",IFERROR(INDEX(Reactivos!$D$2:$D$435,MATCH(B839,Reactivos!$A$2:$A$435,0)),"ID no existe"))</f>
        <v/>
      </c>
      <c r="D839" s="8"/>
      <c r="E839" s="7" t="str">
        <f>IF(B839="","",IFERROR(INDEX(Reactivos!$H$2:$H$435,MATCH(B839,Reactivos!$A$2:$A$435,0)),""))</f>
        <v/>
      </c>
      <c r="F839" s="8"/>
      <c r="G839" s="8"/>
      <c r="H839" s="13"/>
    </row>
    <row r="840" spans="1:8" x14ac:dyDescent="0.3">
      <c r="A840" s="11"/>
      <c r="B840" s="8"/>
      <c r="C840" s="7" t="str">
        <f>IF(B840="","",IFERROR(INDEX(Reactivos!$D$2:$D$435,MATCH(B840,Reactivos!$A$2:$A$435,0)),"ID no existe"))</f>
        <v/>
      </c>
      <c r="D840" s="8"/>
      <c r="E840" s="7" t="str">
        <f>IF(B840="","",IFERROR(INDEX(Reactivos!$H$2:$H$435,MATCH(B840,Reactivos!$A$2:$A$435,0)),""))</f>
        <v/>
      </c>
      <c r="F840" s="8"/>
      <c r="G840" s="8"/>
      <c r="H840" s="13"/>
    </row>
    <row r="841" spans="1:8" x14ac:dyDescent="0.3">
      <c r="A841" s="11"/>
      <c r="B841" s="8"/>
      <c r="C841" s="7" t="str">
        <f>IF(B841="","",IFERROR(INDEX(Reactivos!$D$2:$D$435,MATCH(B841,Reactivos!$A$2:$A$435,0)),"ID no existe"))</f>
        <v/>
      </c>
      <c r="D841" s="8"/>
      <c r="E841" s="7" t="str">
        <f>IF(B841="","",IFERROR(INDEX(Reactivos!$H$2:$H$435,MATCH(B841,Reactivos!$A$2:$A$435,0)),""))</f>
        <v/>
      </c>
      <c r="F841" s="8"/>
      <c r="G841" s="8"/>
      <c r="H841" s="13"/>
    </row>
    <row r="842" spans="1:8" x14ac:dyDescent="0.3">
      <c r="A842" s="11"/>
      <c r="B842" s="8"/>
      <c r="C842" s="7" t="str">
        <f>IF(B842="","",IFERROR(INDEX(Reactivos!$D$2:$D$435,MATCH(B842,Reactivos!$A$2:$A$435,0)),"ID no existe"))</f>
        <v/>
      </c>
      <c r="D842" s="8"/>
      <c r="E842" s="7" t="str">
        <f>IF(B842="","",IFERROR(INDEX(Reactivos!$H$2:$H$435,MATCH(B842,Reactivos!$A$2:$A$435,0)),""))</f>
        <v/>
      </c>
      <c r="F842" s="8"/>
      <c r="G842" s="8"/>
      <c r="H842" s="13"/>
    </row>
    <row r="843" spans="1:8" x14ac:dyDescent="0.3">
      <c r="A843" s="11"/>
      <c r="B843" s="8"/>
      <c r="C843" s="7" t="str">
        <f>IF(B843="","",IFERROR(INDEX(Reactivos!$D$2:$D$435,MATCH(B843,Reactivos!$A$2:$A$435,0)),"ID no existe"))</f>
        <v/>
      </c>
      <c r="D843" s="8"/>
      <c r="E843" s="7" t="str">
        <f>IF(B843="","",IFERROR(INDEX(Reactivos!$H$2:$H$435,MATCH(B843,Reactivos!$A$2:$A$435,0)),""))</f>
        <v/>
      </c>
      <c r="F843" s="8"/>
      <c r="G843" s="8"/>
      <c r="H843" s="13"/>
    </row>
    <row r="844" spans="1:8" x14ac:dyDescent="0.3">
      <c r="A844" s="11"/>
      <c r="B844" s="8"/>
      <c r="C844" s="7" t="str">
        <f>IF(B844="","",IFERROR(INDEX(Reactivos!$D$2:$D$435,MATCH(B844,Reactivos!$A$2:$A$435,0)),"ID no existe"))</f>
        <v/>
      </c>
      <c r="D844" s="8"/>
      <c r="E844" s="7" t="str">
        <f>IF(B844="","",IFERROR(INDEX(Reactivos!$H$2:$H$435,MATCH(B844,Reactivos!$A$2:$A$435,0)),""))</f>
        <v/>
      </c>
      <c r="F844" s="8"/>
      <c r="G844" s="8"/>
      <c r="H844" s="13"/>
    </row>
    <row r="845" spans="1:8" x14ac:dyDescent="0.3">
      <c r="A845" s="11"/>
      <c r="B845" s="8"/>
      <c r="C845" s="7" t="str">
        <f>IF(B845="","",IFERROR(INDEX(Reactivos!$D$2:$D$435,MATCH(B845,Reactivos!$A$2:$A$435,0)),"ID no existe"))</f>
        <v/>
      </c>
      <c r="D845" s="8"/>
      <c r="E845" s="7" t="str">
        <f>IF(B845="","",IFERROR(INDEX(Reactivos!$H$2:$H$435,MATCH(B845,Reactivos!$A$2:$A$435,0)),""))</f>
        <v/>
      </c>
      <c r="F845" s="8"/>
      <c r="G845" s="8"/>
      <c r="H845" s="13"/>
    </row>
    <row r="846" spans="1:8" x14ac:dyDescent="0.3">
      <c r="A846" s="11"/>
      <c r="B846" s="8"/>
      <c r="C846" s="7" t="str">
        <f>IF(B846="","",IFERROR(INDEX(Reactivos!$D$2:$D$435,MATCH(B846,Reactivos!$A$2:$A$435,0)),"ID no existe"))</f>
        <v/>
      </c>
      <c r="D846" s="8"/>
      <c r="E846" s="7" t="str">
        <f>IF(B846="","",IFERROR(INDEX(Reactivos!$H$2:$H$435,MATCH(B846,Reactivos!$A$2:$A$435,0)),""))</f>
        <v/>
      </c>
      <c r="F846" s="8"/>
      <c r="G846" s="8"/>
      <c r="H846" s="13"/>
    </row>
    <row r="847" spans="1:8" x14ac:dyDescent="0.3">
      <c r="A847" s="11"/>
      <c r="B847" s="8"/>
      <c r="C847" s="7" t="str">
        <f>IF(B847="","",IFERROR(INDEX(Reactivos!$D$2:$D$435,MATCH(B847,Reactivos!$A$2:$A$435,0)),"ID no existe"))</f>
        <v/>
      </c>
      <c r="D847" s="8"/>
      <c r="E847" s="7" t="str">
        <f>IF(B847="","",IFERROR(INDEX(Reactivos!$H$2:$H$435,MATCH(B847,Reactivos!$A$2:$A$435,0)),""))</f>
        <v/>
      </c>
      <c r="F847" s="8"/>
      <c r="G847" s="8"/>
      <c r="H847" s="13"/>
    </row>
    <row r="848" spans="1:8" x14ac:dyDescent="0.3">
      <c r="A848" s="11"/>
      <c r="B848" s="8"/>
      <c r="C848" s="7" t="str">
        <f>IF(B848="","",IFERROR(INDEX(Reactivos!$D$2:$D$435,MATCH(B848,Reactivos!$A$2:$A$435,0)),"ID no existe"))</f>
        <v/>
      </c>
      <c r="D848" s="8"/>
      <c r="E848" s="7" t="str">
        <f>IF(B848="","",IFERROR(INDEX(Reactivos!$H$2:$H$435,MATCH(B848,Reactivos!$A$2:$A$435,0)),""))</f>
        <v/>
      </c>
      <c r="F848" s="8"/>
      <c r="G848" s="8"/>
      <c r="H848" s="13"/>
    </row>
    <row r="849" spans="1:8" x14ac:dyDescent="0.3">
      <c r="A849" s="11"/>
      <c r="B849" s="8"/>
      <c r="C849" s="7" t="str">
        <f>IF(B849="","",IFERROR(INDEX(Reactivos!$D$2:$D$435,MATCH(B849,Reactivos!$A$2:$A$435,0)),"ID no existe"))</f>
        <v/>
      </c>
      <c r="D849" s="8"/>
      <c r="E849" s="7" t="str">
        <f>IF(B849="","",IFERROR(INDEX(Reactivos!$H$2:$H$435,MATCH(B849,Reactivos!$A$2:$A$435,0)),""))</f>
        <v/>
      </c>
      <c r="F849" s="8"/>
      <c r="G849" s="8"/>
      <c r="H849" s="13"/>
    </row>
    <row r="850" spans="1:8" x14ac:dyDescent="0.3">
      <c r="A850" s="11"/>
      <c r="B850" s="8"/>
      <c r="C850" s="7" t="str">
        <f>IF(B850="","",IFERROR(INDEX(Reactivos!$D$2:$D$435,MATCH(B850,Reactivos!$A$2:$A$435,0)),"ID no existe"))</f>
        <v/>
      </c>
      <c r="D850" s="8"/>
      <c r="E850" s="7" t="str">
        <f>IF(B850="","",IFERROR(INDEX(Reactivos!$H$2:$H$435,MATCH(B850,Reactivos!$A$2:$A$435,0)),""))</f>
        <v/>
      </c>
      <c r="F850" s="8"/>
      <c r="G850" s="8"/>
      <c r="H850" s="13"/>
    </row>
    <row r="851" spans="1:8" x14ac:dyDescent="0.3">
      <c r="A851" s="11"/>
      <c r="B851" s="8"/>
      <c r="C851" s="7" t="str">
        <f>IF(B851="","",IFERROR(INDEX(Reactivos!$D$2:$D$435,MATCH(B851,Reactivos!$A$2:$A$435,0)),"ID no existe"))</f>
        <v/>
      </c>
      <c r="D851" s="8"/>
      <c r="E851" s="7" t="str">
        <f>IF(B851="","",IFERROR(INDEX(Reactivos!$H$2:$H$435,MATCH(B851,Reactivos!$A$2:$A$435,0)),""))</f>
        <v/>
      </c>
      <c r="F851" s="8"/>
      <c r="G851" s="8"/>
      <c r="H851" s="13"/>
    </row>
    <row r="852" spans="1:8" x14ac:dyDescent="0.3">
      <c r="A852" s="11"/>
      <c r="B852" s="8"/>
      <c r="C852" s="7" t="str">
        <f>IF(B852="","",IFERROR(INDEX(Reactivos!$D$2:$D$435,MATCH(B852,Reactivos!$A$2:$A$435,0)),"ID no existe"))</f>
        <v/>
      </c>
      <c r="D852" s="8"/>
      <c r="E852" s="7" t="str">
        <f>IF(B852="","",IFERROR(INDEX(Reactivos!$H$2:$H$435,MATCH(B852,Reactivos!$A$2:$A$435,0)),""))</f>
        <v/>
      </c>
      <c r="F852" s="8"/>
      <c r="G852" s="8"/>
      <c r="H852" s="13"/>
    </row>
    <row r="853" spans="1:8" x14ac:dyDescent="0.3">
      <c r="A853" s="11"/>
      <c r="B853" s="8"/>
      <c r="C853" s="7" t="str">
        <f>IF(B853="","",IFERROR(INDEX(Reactivos!$D$2:$D$435,MATCH(B853,Reactivos!$A$2:$A$435,0)),"ID no existe"))</f>
        <v/>
      </c>
      <c r="D853" s="8"/>
      <c r="E853" s="7" t="str">
        <f>IF(B853="","",IFERROR(INDEX(Reactivos!$H$2:$H$435,MATCH(B853,Reactivos!$A$2:$A$435,0)),""))</f>
        <v/>
      </c>
      <c r="F853" s="8"/>
      <c r="G853" s="8"/>
      <c r="H853" s="13"/>
    </row>
    <row r="854" spans="1:8" x14ac:dyDescent="0.3">
      <c r="A854" s="11"/>
      <c r="B854" s="8"/>
      <c r="C854" s="7" t="str">
        <f>IF(B854="","",IFERROR(INDEX(Reactivos!$D$2:$D$435,MATCH(B854,Reactivos!$A$2:$A$435,0)),"ID no existe"))</f>
        <v/>
      </c>
      <c r="D854" s="8"/>
      <c r="E854" s="7" t="str">
        <f>IF(B854="","",IFERROR(INDEX(Reactivos!$H$2:$H$435,MATCH(B854,Reactivos!$A$2:$A$435,0)),""))</f>
        <v/>
      </c>
      <c r="F854" s="8"/>
      <c r="G854" s="8"/>
      <c r="H854" s="13"/>
    </row>
    <row r="855" spans="1:8" x14ac:dyDescent="0.3">
      <c r="A855" s="11"/>
      <c r="B855" s="8"/>
      <c r="C855" s="7" t="str">
        <f>IF(B855="","",IFERROR(INDEX(Reactivos!$D$2:$D$435,MATCH(B855,Reactivos!$A$2:$A$435,0)),"ID no existe"))</f>
        <v/>
      </c>
      <c r="D855" s="8"/>
      <c r="E855" s="7" t="str">
        <f>IF(B855="","",IFERROR(INDEX(Reactivos!$H$2:$H$435,MATCH(B855,Reactivos!$A$2:$A$435,0)),""))</f>
        <v/>
      </c>
      <c r="F855" s="8"/>
      <c r="G855" s="8"/>
      <c r="H855" s="13"/>
    </row>
    <row r="856" spans="1:8" x14ac:dyDescent="0.3">
      <c r="A856" s="11"/>
      <c r="B856" s="8"/>
      <c r="C856" s="7" t="str">
        <f>IF(B856="","",IFERROR(INDEX(Reactivos!$D$2:$D$435,MATCH(B856,Reactivos!$A$2:$A$435,0)),"ID no existe"))</f>
        <v/>
      </c>
      <c r="D856" s="8"/>
      <c r="E856" s="7" t="str">
        <f>IF(B856="","",IFERROR(INDEX(Reactivos!$H$2:$H$435,MATCH(B856,Reactivos!$A$2:$A$435,0)),""))</f>
        <v/>
      </c>
      <c r="F856" s="8"/>
      <c r="G856" s="8"/>
      <c r="H856" s="13"/>
    </row>
    <row r="857" spans="1:8" x14ac:dyDescent="0.3">
      <c r="A857" s="11"/>
      <c r="B857" s="8"/>
      <c r="C857" s="7" t="str">
        <f>IF(B857="","",IFERROR(INDEX(Reactivos!$D$2:$D$435,MATCH(B857,Reactivos!$A$2:$A$435,0)),"ID no existe"))</f>
        <v/>
      </c>
      <c r="D857" s="8"/>
      <c r="E857" s="7" t="str">
        <f>IF(B857="","",IFERROR(INDEX(Reactivos!$H$2:$H$435,MATCH(B857,Reactivos!$A$2:$A$435,0)),""))</f>
        <v/>
      </c>
      <c r="F857" s="8"/>
      <c r="G857" s="8"/>
      <c r="H857" s="13"/>
    </row>
    <row r="858" spans="1:8" x14ac:dyDescent="0.3">
      <c r="A858" s="11"/>
      <c r="B858" s="8"/>
      <c r="C858" s="7" t="str">
        <f>IF(B858="","",IFERROR(INDEX(Reactivos!$D$2:$D$435,MATCH(B858,Reactivos!$A$2:$A$435,0)),"ID no existe"))</f>
        <v/>
      </c>
      <c r="D858" s="8"/>
      <c r="E858" s="7" t="str">
        <f>IF(B858="","",IFERROR(INDEX(Reactivos!$H$2:$H$435,MATCH(B858,Reactivos!$A$2:$A$435,0)),""))</f>
        <v/>
      </c>
      <c r="F858" s="8"/>
      <c r="G858" s="8"/>
      <c r="H858" s="13"/>
    </row>
    <row r="859" spans="1:8" x14ac:dyDescent="0.3">
      <c r="A859" s="11"/>
      <c r="B859" s="8"/>
      <c r="C859" s="7" t="str">
        <f>IF(B859="","",IFERROR(INDEX(Reactivos!$D$2:$D$435,MATCH(B859,Reactivos!$A$2:$A$435,0)),"ID no existe"))</f>
        <v/>
      </c>
      <c r="D859" s="8"/>
      <c r="E859" s="7" t="str">
        <f>IF(B859="","",IFERROR(INDEX(Reactivos!$H$2:$H$435,MATCH(B859,Reactivos!$A$2:$A$435,0)),""))</f>
        <v/>
      </c>
      <c r="F859" s="8"/>
      <c r="G859" s="8"/>
      <c r="H859" s="13"/>
    </row>
    <row r="860" spans="1:8" x14ac:dyDescent="0.3">
      <c r="A860" s="11"/>
      <c r="B860" s="8"/>
      <c r="C860" s="7" t="str">
        <f>IF(B860="","",IFERROR(INDEX(Reactivos!$D$2:$D$435,MATCH(B860,Reactivos!$A$2:$A$435,0)),"ID no existe"))</f>
        <v/>
      </c>
      <c r="D860" s="8"/>
      <c r="E860" s="7" t="str">
        <f>IF(B860="","",IFERROR(INDEX(Reactivos!$H$2:$H$435,MATCH(B860,Reactivos!$A$2:$A$435,0)),""))</f>
        <v/>
      </c>
      <c r="F860" s="8"/>
      <c r="G860" s="8"/>
      <c r="H860" s="13"/>
    </row>
    <row r="861" spans="1:8" x14ac:dyDescent="0.3">
      <c r="A861" s="11"/>
      <c r="B861" s="8"/>
      <c r="C861" s="7" t="str">
        <f>IF(B861="","",IFERROR(INDEX(Reactivos!$D$2:$D$435,MATCH(B861,Reactivos!$A$2:$A$435,0)),"ID no existe"))</f>
        <v/>
      </c>
      <c r="D861" s="8"/>
      <c r="E861" s="7" t="str">
        <f>IF(B861="","",IFERROR(INDEX(Reactivos!$H$2:$H$435,MATCH(B861,Reactivos!$A$2:$A$435,0)),""))</f>
        <v/>
      </c>
      <c r="F861" s="8"/>
      <c r="G861" s="8"/>
      <c r="H861" s="13"/>
    </row>
    <row r="862" spans="1:8" x14ac:dyDescent="0.3">
      <c r="A862" s="11"/>
      <c r="B862" s="8"/>
      <c r="C862" s="7" t="str">
        <f>IF(B862="","",IFERROR(INDEX(Reactivos!$D$2:$D$435,MATCH(B862,Reactivos!$A$2:$A$435,0)),"ID no existe"))</f>
        <v/>
      </c>
      <c r="D862" s="8"/>
      <c r="E862" s="7" t="str">
        <f>IF(B862="","",IFERROR(INDEX(Reactivos!$H$2:$H$435,MATCH(B862,Reactivos!$A$2:$A$435,0)),""))</f>
        <v/>
      </c>
      <c r="F862" s="8"/>
      <c r="G862" s="8"/>
      <c r="H862" s="13"/>
    </row>
    <row r="863" spans="1:8" x14ac:dyDescent="0.3">
      <c r="A863" s="11"/>
      <c r="B863" s="8"/>
      <c r="C863" s="7" t="str">
        <f>IF(B863="","",IFERROR(INDEX(Reactivos!$D$2:$D$435,MATCH(B863,Reactivos!$A$2:$A$435,0)),"ID no existe"))</f>
        <v/>
      </c>
      <c r="D863" s="8"/>
      <c r="E863" s="7" t="str">
        <f>IF(B863="","",IFERROR(INDEX(Reactivos!$H$2:$H$435,MATCH(B863,Reactivos!$A$2:$A$435,0)),""))</f>
        <v/>
      </c>
      <c r="F863" s="8"/>
      <c r="G863" s="8"/>
      <c r="H863" s="13"/>
    </row>
    <row r="864" spans="1:8" x14ac:dyDescent="0.3">
      <c r="A864" s="11"/>
      <c r="B864" s="8"/>
      <c r="C864" s="7" t="str">
        <f>IF(B864="","",IFERROR(INDEX(Reactivos!$D$2:$D$435,MATCH(B864,Reactivos!$A$2:$A$435,0)),"ID no existe"))</f>
        <v/>
      </c>
      <c r="D864" s="8"/>
      <c r="E864" s="7" t="str">
        <f>IF(B864="","",IFERROR(INDEX(Reactivos!$H$2:$H$435,MATCH(B864,Reactivos!$A$2:$A$435,0)),""))</f>
        <v/>
      </c>
      <c r="F864" s="8"/>
      <c r="G864" s="8"/>
      <c r="H864" s="13"/>
    </row>
    <row r="865" spans="1:8" x14ac:dyDescent="0.3">
      <c r="A865" s="11"/>
      <c r="B865" s="8"/>
      <c r="C865" s="7" t="str">
        <f>IF(B865="","",IFERROR(INDEX(Reactivos!$D$2:$D$435,MATCH(B865,Reactivos!$A$2:$A$435,0)),"ID no existe"))</f>
        <v/>
      </c>
      <c r="D865" s="8"/>
      <c r="E865" s="7" t="str">
        <f>IF(B865="","",IFERROR(INDEX(Reactivos!$H$2:$H$435,MATCH(B865,Reactivos!$A$2:$A$435,0)),""))</f>
        <v/>
      </c>
      <c r="F865" s="8"/>
      <c r="G865" s="8"/>
      <c r="H865" s="13"/>
    </row>
    <row r="866" spans="1:8" x14ac:dyDescent="0.3">
      <c r="A866" s="11"/>
      <c r="B866" s="8"/>
      <c r="C866" s="7" t="str">
        <f>IF(B866="","",IFERROR(INDEX(Reactivos!$D$2:$D$435,MATCH(B866,Reactivos!$A$2:$A$435,0)),"ID no existe"))</f>
        <v/>
      </c>
      <c r="D866" s="8"/>
      <c r="E866" s="7" t="str">
        <f>IF(B866="","",IFERROR(INDEX(Reactivos!$H$2:$H$435,MATCH(B866,Reactivos!$A$2:$A$435,0)),""))</f>
        <v/>
      </c>
      <c r="F866" s="8"/>
      <c r="G866" s="8"/>
      <c r="H866" s="13"/>
    </row>
    <row r="867" spans="1:8" x14ac:dyDescent="0.3">
      <c r="A867" s="11"/>
      <c r="B867" s="8"/>
      <c r="C867" s="7" t="str">
        <f>IF(B867="","",IFERROR(INDEX(Reactivos!$D$2:$D$435,MATCH(B867,Reactivos!$A$2:$A$435,0)),"ID no existe"))</f>
        <v/>
      </c>
      <c r="D867" s="8"/>
      <c r="E867" s="7" t="str">
        <f>IF(B867="","",IFERROR(INDEX(Reactivos!$H$2:$H$435,MATCH(B867,Reactivos!$A$2:$A$435,0)),""))</f>
        <v/>
      </c>
      <c r="F867" s="8"/>
      <c r="G867" s="8"/>
      <c r="H867" s="13"/>
    </row>
    <row r="868" spans="1:8" x14ac:dyDescent="0.3">
      <c r="A868" s="11"/>
      <c r="B868" s="8"/>
      <c r="C868" s="7" t="str">
        <f>IF(B868="","",IFERROR(INDEX(Reactivos!$D$2:$D$435,MATCH(B868,Reactivos!$A$2:$A$435,0)),"ID no existe"))</f>
        <v/>
      </c>
      <c r="D868" s="8"/>
      <c r="E868" s="7" t="str">
        <f>IF(B868="","",IFERROR(INDEX(Reactivos!$H$2:$H$435,MATCH(B868,Reactivos!$A$2:$A$435,0)),""))</f>
        <v/>
      </c>
      <c r="F868" s="8"/>
      <c r="G868" s="8"/>
      <c r="H868" s="13"/>
    </row>
    <row r="869" spans="1:8" x14ac:dyDescent="0.3">
      <c r="A869" s="11"/>
      <c r="B869" s="8"/>
      <c r="C869" s="7" t="str">
        <f>IF(B869="","",IFERROR(INDEX(Reactivos!$D$2:$D$435,MATCH(B869,Reactivos!$A$2:$A$435,0)),"ID no existe"))</f>
        <v/>
      </c>
      <c r="D869" s="8"/>
      <c r="E869" s="7" t="str">
        <f>IF(B869="","",IFERROR(INDEX(Reactivos!$H$2:$H$435,MATCH(B869,Reactivos!$A$2:$A$435,0)),""))</f>
        <v/>
      </c>
      <c r="F869" s="8"/>
      <c r="G869" s="8"/>
      <c r="H869" s="13"/>
    </row>
    <row r="870" spans="1:8" x14ac:dyDescent="0.3">
      <c r="A870" s="11"/>
      <c r="B870" s="8"/>
      <c r="C870" s="7" t="str">
        <f>IF(B870="","",IFERROR(INDEX(Reactivos!$D$2:$D$435,MATCH(B870,Reactivos!$A$2:$A$435,0)),"ID no existe"))</f>
        <v/>
      </c>
      <c r="D870" s="8"/>
      <c r="E870" s="7" t="str">
        <f>IF(B870="","",IFERROR(INDEX(Reactivos!$H$2:$H$435,MATCH(B870,Reactivos!$A$2:$A$435,0)),""))</f>
        <v/>
      </c>
      <c r="F870" s="8"/>
      <c r="G870" s="8"/>
      <c r="H870" s="13"/>
    </row>
    <row r="871" spans="1:8" x14ac:dyDescent="0.3">
      <c r="A871" s="11"/>
      <c r="B871" s="8"/>
      <c r="C871" s="7" t="str">
        <f>IF(B871="","",IFERROR(INDEX(Reactivos!$D$2:$D$435,MATCH(B871,Reactivos!$A$2:$A$435,0)),"ID no existe"))</f>
        <v/>
      </c>
      <c r="D871" s="8"/>
      <c r="E871" s="7" t="str">
        <f>IF(B871="","",IFERROR(INDEX(Reactivos!$H$2:$H$435,MATCH(B871,Reactivos!$A$2:$A$435,0)),""))</f>
        <v/>
      </c>
      <c r="F871" s="8"/>
      <c r="G871" s="8"/>
      <c r="H871" s="13"/>
    </row>
    <row r="872" spans="1:8" x14ac:dyDescent="0.3">
      <c r="A872" s="11"/>
      <c r="B872" s="8"/>
      <c r="C872" s="7" t="str">
        <f>IF(B872="","",IFERROR(INDEX(Reactivos!$D$2:$D$435,MATCH(B872,Reactivos!$A$2:$A$435,0)),"ID no existe"))</f>
        <v/>
      </c>
      <c r="D872" s="8"/>
      <c r="E872" s="7" t="str">
        <f>IF(B872="","",IFERROR(INDEX(Reactivos!$H$2:$H$435,MATCH(B872,Reactivos!$A$2:$A$435,0)),""))</f>
        <v/>
      </c>
      <c r="F872" s="8"/>
      <c r="G872" s="8"/>
      <c r="H872" s="13"/>
    </row>
    <row r="873" spans="1:8" x14ac:dyDescent="0.3">
      <c r="A873" s="11"/>
      <c r="B873" s="8"/>
      <c r="C873" s="7" t="str">
        <f>IF(B873="","",IFERROR(INDEX(Reactivos!$D$2:$D$435,MATCH(B873,Reactivos!$A$2:$A$435,0)),"ID no existe"))</f>
        <v/>
      </c>
      <c r="D873" s="8"/>
      <c r="E873" s="7" t="str">
        <f>IF(B873="","",IFERROR(INDEX(Reactivos!$H$2:$H$435,MATCH(B873,Reactivos!$A$2:$A$435,0)),""))</f>
        <v/>
      </c>
      <c r="F873" s="8"/>
      <c r="G873" s="8"/>
      <c r="H873" s="13"/>
    </row>
    <row r="874" spans="1:8" x14ac:dyDescent="0.3">
      <c r="A874" s="11"/>
      <c r="B874" s="8"/>
      <c r="C874" s="7" t="str">
        <f>IF(B874="","",IFERROR(INDEX(Reactivos!$D$2:$D$435,MATCH(B874,Reactivos!$A$2:$A$435,0)),"ID no existe"))</f>
        <v/>
      </c>
      <c r="D874" s="8"/>
      <c r="E874" s="7" t="str">
        <f>IF(B874="","",IFERROR(INDEX(Reactivos!$H$2:$H$435,MATCH(B874,Reactivos!$A$2:$A$435,0)),""))</f>
        <v/>
      </c>
      <c r="F874" s="8"/>
      <c r="G874" s="8"/>
      <c r="H874" s="13"/>
    </row>
    <row r="875" spans="1:8" x14ac:dyDescent="0.3">
      <c r="A875" s="11"/>
      <c r="B875" s="8"/>
      <c r="C875" s="7" t="str">
        <f>IF(B875="","",IFERROR(INDEX(Reactivos!$D$2:$D$435,MATCH(B875,Reactivos!$A$2:$A$435,0)),"ID no existe"))</f>
        <v/>
      </c>
      <c r="D875" s="8"/>
      <c r="E875" s="7" t="str">
        <f>IF(B875="","",IFERROR(INDEX(Reactivos!$H$2:$H$435,MATCH(B875,Reactivos!$A$2:$A$435,0)),""))</f>
        <v/>
      </c>
      <c r="F875" s="8"/>
      <c r="G875" s="8"/>
      <c r="H875" s="13"/>
    </row>
    <row r="876" spans="1:8" x14ac:dyDescent="0.3">
      <c r="A876" s="11"/>
      <c r="B876" s="8"/>
      <c r="C876" s="7" t="str">
        <f>IF(B876="","",IFERROR(INDEX(Reactivos!$D$2:$D$435,MATCH(B876,Reactivos!$A$2:$A$435,0)),"ID no existe"))</f>
        <v/>
      </c>
      <c r="D876" s="8"/>
      <c r="E876" s="7" t="str">
        <f>IF(B876="","",IFERROR(INDEX(Reactivos!$H$2:$H$435,MATCH(B876,Reactivos!$A$2:$A$435,0)),""))</f>
        <v/>
      </c>
      <c r="F876" s="8"/>
      <c r="G876" s="8"/>
      <c r="H876" s="13"/>
    </row>
    <row r="877" spans="1:8" x14ac:dyDescent="0.3">
      <c r="A877" s="11"/>
      <c r="B877" s="8"/>
      <c r="C877" s="7" t="str">
        <f>IF(B877="","",IFERROR(INDEX(Reactivos!$D$2:$D$435,MATCH(B877,Reactivos!$A$2:$A$435,0)),"ID no existe"))</f>
        <v/>
      </c>
      <c r="D877" s="8"/>
      <c r="E877" s="7" t="str">
        <f>IF(B877="","",IFERROR(INDEX(Reactivos!$H$2:$H$435,MATCH(B877,Reactivos!$A$2:$A$435,0)),""))</f>
        <v/>
      </c>
      <c r="F877" s="8"/>
      <c r="G877" s="8"/>
      <c r="H877" s="13"/>
    </row>
    <row r="878" spans="1:8" x14ac:dyDescent="0.3">
      <c r="A878" s="11"/>
      <c r="B878" s="8"/>
      <c r="C878" s="7" t="str">
        <f>IF(B878="","",IFERROR(INDEX(Reactivos!$D$2:$D$435,MATCH(B878,Reactivos!$A$2:$A$435,0)),"ID no existe"))</f>
        <v/>
      </c>
      <c r="D878" s="8"/>
      <c r="E878" s="7" t="str">
        <f>IF(B878="","",IFERROR(INDEX(Reactivos!$H$2:$H$435,MATCH(B878,Reactivos!$A$2:$A$435,0)),""))</f>
        <v/>
      </c>
      <c r="F878" s="8"/>
      <c r="G878" s="8"/>
      <c r="H878" s="13"/>
    </row>
    <row r="879" spans="1:8" x14ac:dyDescent="0.3">
      <c r="A879" s="11"/>
      <c r="B879" s="8"/>
      <c r="C879" s="7" t="str">
        <f>IF(B879="","",IFERROR(INDEX(Reactivos!$D$2:$D$435,MATCH(B879,Reactivos!$A$2:$A$435,0)),"ID no existe"))</f>
        <v/>
      </c>
      <c r="D879" s="8"/>
      <c r="E879" s="7" t="str">
        <f>IF(B879="","",IFERROR(INDEX(Reactivos!$H$2:$H$435,MATCH(B879,Reactivos!$A$2:$A$435,0)),""))</f>
        <v/>
      </c>
      <c r="F879" s="8"/>
      <c r="G879" s="8"/>
      <c r="H879" s="13"/>
    </row>
    <row r="880" spans="1:8" x14ac:dyDescent="0.3">
      <c r="A880" s="11"/>
      <c r="B880" s="8"/>
      <c r="C880" s="7" t="str">
        <f>IF(B880="","",IFERROR(INDEX(Reactivos!$D$2:$D$435,MATCH(B880,Reactivos!$A$2:$A$435,0)),"ID no existe"))</f>
        <v/>
      </c>
      <c r="D880" s="8"/>
      <c r="E880" s="7" t="str">
        <f>IF(B880="","",IFERROR(INDEX(Reactivos!$H$2:$H$435,MATCH(B880,Reactivos!$A$2:$A$435,0)),""))</f>
        <v/>
      </c>
      <c r="F880" s="8"/>
      <c r="G880" s="8"/>
      <c r="H880" s="13"/>
    </row>
    <row r="881" spans="1:8" x14ac:dyDescent="0.3">
      <c r="A881" s="11"/>
      <c r="B881" s="8"/>
      <c r="C881" s="7" t="str">
        <f>IF(B881="","",IFERROR(INDEX(Reactivos!$D$2:$D$435,MATCH(B881,Reactivos!$A$2:$A$435,0)),"ID no existe"))</f>
        <v/>
      </c>
      <c r="D881" s="8"/>
      <c r="E881" s="7" t="str">
        <f>IF(B881="","",IFERROR(INDEX(Reactivos!$H$2:$H$435,MATCH(B881,Reactivos!$A$2:$A$435,0)),""))</f>
        <v/>
      </c>
      <c r="F881" s="8"/>
      <c r="G881" s="8"/>
      <c r="H881" s="13"/>
    </row>
    <row r="882" spans="1:8" x14ac:dyDescent="0.3">
      <c r="A882" s="11"/>
      <c r="B882" s="8"/>
      <c r="C882" s="7" t="str">
        <f>IF(B882="","",IFERROR(INDEX(Reactivos!$D$2:$D$435,MATCH(B882,Reactivos!$A$2:$A$435,0)),"ID no existe"))</f>
        <v/>
      </c>
      <c r="D882" s="8"/>
      <c r="E882" s="7" t="str">
        <f>IF(B882="","",IFERROR(INDEX(Reactivos!$H$2:$H$435,MATCH(B882,Reactivos!$A$2:$A$435,0)),""))</f>
        <v/>
      </c>
      <c r="F882" s="8"/>
      <c r="G882" s="8"/>
      <c r="H882" s="13"/>
    </row>
    <row r="883" spans="1:8" x14ac:dyDescent="0.3">
      <c r="A883" s="11"/>
      <c r="B883" s="8"/>
      <c r="C883" s="7" t="str">
        <f>IF(B883="","",IFERROR(INDEX(Reactivos!$D$2:$D$435,MATCH(B883,Reactivos!$A$2:$A$435,0)),"ID no existe"))</f>
        <v/>
      </c>
      <c r="D883" s="8"/>
      <c r="E883" s="7" t="str">
        <f>IF(B883="","",IFERROR(INDEX(Reactivos!$H$2:$H$435,MATCH(B883,Reactivos!$A$2:$A$435,0)),""))</f>
        <v/>
      </c>
      <c r="F883" s="8"/>
      <c r="G883" s="8"/>
      <c r="H883" s="13"/>
    </row>
    <row r="884" spans="1:8" x14ac:dyDescent="0.3">
      <c r="A884" s="11"/>
      <c r="B884" s="8"/>
      <c r="C884" s="7" t="str">
        <f>IF(B884="","",IFERROR(INDEX(Reactivos!$D$2:$D$435,MATCH(B884,Reactivos!$A$2:$A$435,0)),"ID no existe"))</f>
        <v/>
      </c>
      <c r="D884" s="8"/>
      <c r="E884" s="7" t="str">
        <f>IF(B884="","",IFERROR(INDEX(Reactivos!$H$2:$H$435,MATCH(B884,Reactivos!$A$2:$A$435,0)),""))</f>
        <v/>
      </c>
      <c r="F884" s="8"/>
      <c r="G884" s="8"/>
      <c r="H884" s="13"/>
    </row>
    <row r="885" spans="1:8" x14ac:dyDescent="0.3">
      <c r="A885" s="11"/>
      <c r="B885" s="8"/>
      <c r="C885" s="7" t="str">
        <f>IF(B885="","",IFERROR(INDEX(Reactivos!$D$2:$D$435,MATCH(B885,Reactivos!$A$2:$A$435,0)),"ID no existe"))</f>
        <v/>
      </c>
      <c r="D885" s="8"/>
      <c r="E885" s="7" t="str">
        <f>IF(B885="","",IFERROR(INDEX(Reactivos!$H$2:$H$435,MATCH(B885,Reactivos!$A$2:$A$435,0)),""))</f>
        <v/>
      </c>
      <c r="F885" s="8"/>
      <c r="G885" s="8"/>
      <c r="H885" s="13"/>
    </row>
    <row r="886" spans="1:8" x14ac:dyDescent="0.3">
      <c r="A886" s="11"/>
      <c r="B886" s="8"/>
      <c r="C886" s="7" t="str">
        <f>IF(B886="","",IFERROR(INDEX(Reactivos!$D$2:$D$435,MATCH(B886,Reactivos!$A$2:$A$435,0)),"ID no existe"))</f>
        <v/>
      </c>
      <c r="D886" s="8"/>
      <c r="E886" s="7" t="str">
        <f>IF(B886="","",IFERROR(INDEX(Reactivos!$H$2:$H$435,MATCH(B886,Reactivos!$A$2:$A$435,0)),""))</f>
        <v/>
      </c>
      <c r="F886" s="8"/>
      <c r="G886" s="8"/>
      <c r="H886" s="13"/>
    </row>
    <row r="887" spans="1:8" x14ac:dyDescent="0.3">
      <c r="A887" s="11"/>
      <c r="B887" s="8"/>
      <c r="C887" s="7" t="str">
        <f>IF(B887="","",IFERROR(INDEX(Reactivos!$D$2:$D$435,MATCH(B887,Reactivos!$A$2:$A$435,0)),"ID no existe"))</f>
        <v/>
      </c>
      <c r="D887" s="8"/>
      <c r="E887" s="7" t="str">
        <f>IF(B887="","",IFERROR(INDEX(Reactivos!$H$2:$H$435,MATCH(B887,Reactivos!$A$2:$A$435,0)),""))</f>
        <v/>
      </c>
      <c r="F887" s="8"/>
      <c r="G887" s="8"/>
      <c r="H887" s="13"/>
    </row>
    <row r="888" spans="1:8" x14ac:dyDescent="0.3">
      <c r="A888" s="11"/>
      <c r="B888" s="8"/>
      <c r="C888" s="7" t="str">
        <f>IF(B888="","",IFERROR(INDEX(Reactivos!$D$2:$D$435,MATCH(B888,Reactivos!$A$2:$A$435,0)),"ID no existe"))</f>
        <v/>
      </c>
      <c r="D888" s="8"/>
      <c r="E888" s="7" t="str">
        <f>IF(B888="","",IFERROR(INDEX(Reactivos!$H$2:$H$435,MATCH(B888,Reactivos!$A$2:$A$435,0)),""))</f>
        <v/>
      </c>
      <c r="F888" s="8"/>
      <c r="G888" s="8"/>
      <c r="H888" s="13"/>
    </row>
    <row r="889" spans="1:8" x14ac:dyDescent="0.3">
      <c r="A889" s="11"/>
      <c r="B889" s="8"/>
      <c r="C889" s="7" t="str">
        <f>IF(B889="","",IFERROR(INDEX(Reactivos!$D$2:$D$435,MATCH(B889,Reactivos!$A$2:$A$435,0)),"ID no existe"))</f>
        <v/>
      </c>
      <c r="D889" s="8"/>
      <c r="E889" s="7" t="str">
        <f>IF(B889="","",IFERROR(INDEX(Reactivos!$H$2:$H$435,MATCH(B889,Reactivos!$A$2:$A$435,0)),""))</f>
        <v/>
      </c>
      <c r="F889" s="8"/>
      <c r="G889" s="8"/>
      <c r="H889" s="13"/>
    </row>
    <row r="890" spans="1:8" x14ac:dyDescent="0.3">
      <c r="A890" s="11"/>
      <c r="B890" s="8"/>
      <c r="C890" s="7" t="str">
        <f>IF(B890="","",IFERROR(INDEX(Reactivos!$D$2:$D$435,MATCH(B890,Reactivos!$A$2:$A$435,0)),"ID no existe"))</f>
        <v/>
      </c>
      <c r="D890" s="8"/>
      <c r="E890" s="7" t="str">
        <f>IF(B890="","",IFERROR(INDEX(Reactivos!$H$2:$H$435,MATCH(B890,Reactivos!$A$2:$A$435,0)),""))</f>
        <v/>
      </c>
      <c r="F890" s="8"/>
      <c r="G890" s="8"/>
      <c r="H890" s="13"/>
    </row>
    <row r="891" spans="1:8" x14ac:dyDescent="0.3">
      <c r="A891" s="11"/>
      <c r="B891" s="8"/>
      <c r="C891" s="7" t="str">
        <f>IF(B891="","",IFERROR(INDEX(Reactivos!$D$2:$D$435,MATCH(B891,Reactivos!$A$2:$A$435,0)),"ID no existe"))</f>
        <v/>
      </c>
      <c r="D891" s="8"/>
      <c r="E891" s="7" t="str">
        <f>IF(B891="","",IFERROR(INDEX(Reactivos!$H$2:$H$435,MATCH(B891,Reactivos!$A$2:$A$435,0)),""))</f>
        <v/>
      </c>
      <c r="F891" s="8"/>
      <c r="G891" s="8"/>
      <c r="H891" s="13"/>
    </row>
    <row r="892" spans="1:8" x14ac:dyDescent="0.3">
      <c r="A892" s="11"/>
      <c r="B892" s="8"/>
      <c r="C892" s="7" t="str">
        <f>IF(B892="","",IFERROR(INDEX(Reactivos!$D$2:$D$435,MATCH(B892,Reactivos!$A$2:$A$435,0)),"ID no existe"))</f>
        <v/>
      </c>
      <c r="D892" s="8"/>
      <c r="E892" s="7" t="str">
        <f>IF(B892="","",IFERROR(INDEX(Reactivos!$H$2:$H$435,MATCH(B892,Reactivos!$A$2:$A$435,0)),""))</f>
        <v/>
      </c>
      <c r="F892" s="8"/>
      <c r="G892" s="8"/>
      <c r="H892" s="13"/>
    </row>
    <row r="893" spans="1:8" x14ac:dyDescent="0.3">
      <c r="A893" s="11"/>
      <c r="B893" s="8"/>
      <c r="C893" s="7" t="str">
        <f>IF(B893="","",IFERROR(INDEX(Reactivos!$D$2:$D$435,MATCH(B893,Reactivos!$A$2:$A$435,0)),"ID no existe"))</f>
        <v/>
      </c>
      <c r="D893" s="8"/>
      <c r="E893" s="7" t="str">
        <f>IF(B893="","",IFERROR(INDEX(Reactivos!$H$2:$H$435,MATCH(B893,Reactivos!$A$2:$A$435,0)),""))</f>
        <v/>
      </c>
      <c r="F893" s="8"/>
      <c r="G893" s="8"/>
      <c r="H893" s="13"/>
    </row>
    <row r="894" spans="1:8" x14ac:dyDescent="0.3">
      <c r="A894" s="11"/>
      <c r="B894" s="8"/>
      <c r="C894" s="7" t="str">
        <f>IF(B894="","",IFERROR(INDEX(Reactivos!$D$2:$D$435,MATCH(B894,Reactivos!$A$2:$A$435,0)),"ID no existe"))</f>
        <v/>
      </c>
      <c r="D894" s="8"/>
      <c r="E894" s="7" t="str">
        <f>IF(B894="","",IFERROR(INDEX(Reactivos!$H$2:$H$435,MATCH(B894,Reactivos!$A$2:$A$435,0)),""))</f>
        <v/>
      </c>
      <c r="F894" s="8"/>
      <c r="G894" s="8"/>
      <c r="H894" s="13"/>
    </row>
    <row r="895" spans="1:8" x14ac:dyDescent="0.3">
      <c r="A895" s="11"/>
      <c r="B895" s="8"/>
      <c r="C895" s="7" t="str">
        <f>IF(B895="","",IFERROR(INDEX(Reactivos!$D$2:$D$435,MATCH(B895,Reactivos!$A$2:$A$435,0)),"ID no existe"))</f>
        <v/>
      </c>
      <c r="D895" s="8"/>
      <c r="E895" s="7" t="str">
        <f>IF(B895="","",IFERROR(INDEX(Reactivos!$H$2:$H$435,MATCH(B895,Reactivos!$A$2:$A$435,0)),""))</f>
        <v/>
      </c>
      <c r="F895" s="8"/>
      <c r="G895" s="8"/>
      <c r="H895" s="13"/>
    </row>
    <row r="896" spans="1:8" x14ac:dyDescent="0.3">
      <c r="A896" s="11"/>
      <c r="B896" s="8"/>
      <c r="C896" s="7" t="str">
        <f>IF(B896="","",IFERROR(INDEX(Reactivos!$D$2:$D$435,MATCH(B896,Reactivos!$A$2:$A$435,0)),"ID no existe"))</f>
        <v/>
      </c>
      <c r="D896" s="8"/>
      <c r="E896" s="7" t="str">
        <f>IF(B896="","",IFERROR(INDEX(Reactivos!$H$2:$H$435,MATCH(B896,Reactivos!$A$2:$A$435,0)),""))</f>
        <v/>
      </c>
      <c r="F896" s="8"/>
      <c r="G896" s="8"/>
      <c r="H896" s="13"/>
    </row>
    <row r="897" spans="1:8" x14ac:dyDescent="0.3">
      <c r="A897" s="11"/>
      <c r="B897" s="8"/>
      <c r="C897" s="7" t="str">
        <f>IF(B897="","",IFERROR(INDEX(Reactivos!$D$2:$D$435,MATCH(B897,Reactivos!$A$2:$A$435,0)),"ID no existe"))</f>
        <v/>
      </c>
      <c r="D897" s="8"/>
      <c r="E897" s="7" t="str">
        <f>IF(B897="","",IFERROR(INDEX(Reactivos!$H$2:$H$435,MATCH(B897,Reactivos!$A$2:$A$435,0)),""))</f>
        <v/>
      </c>
      <c r="F897" s="8"/>
      <c r="G897" s="8"/>
      <c r="H897" s="13"/>
    </row>
    <row r="898" spans="1:8" x14ac:dyDescent="0.3">
      <c r="A898" s="11"/>
      <c r="B898" s="8"/>
      <c r="C898" s="7" t="str">
        <f>IF(B898="","",IFERROR(INDEX(Reactivos!$D$2:$D$435,MATCH(B898,Reactivos!$A$2:$A$435,0)),"ID no existe"))</f>
        <v/>
      </c>
      <c r="D898" s="8"/>
      <c r="E898" s="7" t="str">
        <f>IF(B898="","",IFERROR(INDEX(Reactivos!$H$2:$H$435,MATCH(B898,Reactivos!$A$2:$A$435,0)),""))</f>
        <v/>
      </c>
      <c r="F898" s="8"/>
      <c r="G898" s="8"/>
      <c r="H898" s="13"/>
    </row>
    <row r="899" spans="1:8" x14ac:dyDescent="0.3">
      <c r="A899" s="11"/>
      <c r="B899" s="8"/>
      <c r="C899" s="7" t="str">
        <f>IF(B899="","",IFERROR(INDEX(Reactivos!$D$2:$D$435,MATCH(B899,Reactivos!$A$2:$A$435,0)),"ID no existe"))</f>
        <v/>
      </c>
      <c r="D899" s="8"/>
      <c r="E899" s="7" t="str">
        <f>IF(B899="","",IFERROR(INDEX(Reactivos!$H$2:$H$435,MATCH(B899,Reactivos!$A$2:$A$435,0)),""))</f>
        <v/>
      </c>
      <c r="F899" s="8"/>
      <c r="G899" s="8"/>
      <c r="H899" s="13"/>
    </row>
    <row r="900" spans="1:8" x14ac:dyDescent="0.3">
      <c r="A900" s="11"/>
      <c r="B900" s="8"/>
      <c r="C900" s="7" t="str">
        <f>IF(B900="","",IFERROR(INDEX(Reactivos!$D$2:$D$435,MATCH(B900,Reactivos!$A$2:$A$435,0)),"ID no existe"))</f>
        <v/>
      </c>
      <c r="D900" s="8"/>
      <c r="E900" s="7" t="str">
        <f>IF(B900="","",IFERROR(INDEX(Reactivos!$H$2:$H$435,MATCH(B900,Reactivos!$A$2:$A$435,0)),""))</f>
        <v/>
      </c>
      <c r="F900" s="8"/>
      <c r="G900" s="8"/>
      <c r="H900" s="13"/>
    </row>
    <row r="901" spans="1:8" x14ac:dyDescent="0.3">
      <c r="A901" s="11"/>
      <c r="B901" s="8"/>
      <c r="C901" s="7" t="str">
        <f>IF(B901="","",IFERROR(INDEX(Reactivos!$D$2:$D$435,MATCH(B901,Reactivos!$A$2:$A$435,0)),"ID no existe"))</f>
        <v/>
      </c>
      <c r="D901" s="8"/>
      <c r="E901" s="7" t="str">
        <f>IF(B901="","",IFERROR(INDEX(Reactivos!$H$2:$H$435,MATCH(B901,Reactivos!$A$2:$A$435,0)),""))</f>
        <v/>
      </c>
      <c r="F901" s="8"/>
      <c r="G901" s="8"/>
      <c r="H901" s="13"/>
    </row>
    <row r="902" spans="1:8" x14ac:dyDescent="0.3">
      <c r="A902" s="11"/>
      <c r="B902" s="8"/>
      <c r="C902" s="7" t="str">
        <f>IF(B902="","",IFERROR(INDEX(Reactivos!$D$2:$D$435,MATCH(B902,Reactivos!$A$2:$A$435,0)),"ID no existe"))</f>
        <v/>
      </c>
      <c r="D902" s="8"/>
      <c r="E902" s="7" t="str">
        <f>IF(B902="","",IFERROR(INDEX(Reactivos!$H$2:$H$435,MATCH(B902,Reactivos!$A$2:$A$435,0)),""))</f>
        <v/>
      </c>
      <c r="F902" s="8"/>
      <c r="G902" s="8"/>
      <c r="H902" s="13"/>
    </row>
    <row r="903" spans="1:8" x14ac:dyDescent="0.3">
      <c r="A903" s="11"/>
      <c r="B903" s="8"/>
      <c r="C903" s="7" t="str">
        <f>IF(B903="","",IFERROR(INDEX(Reactivos!$D$2:$D$435,MATCH(B903,Reactivos!$A$2:$A$435,0)),"ID no existe"))</f>
        <v/>
      </c>
      <c r="D903" s="8"/>
      <c r="E903" s="7" t="str">
        <f>IF(B903="","",IFERROR(INDEX(Reactivos!$H$2:$H$435,MATCH(B903,Reactivos!$A$2:$A$435,0)),""))</f>
        <v/>
      </c>
      <c r="F903" s="8"/>
      <c r="G903" s="8"/>
      <c r="H903" s="13"/>
    </row>
    <row r="904" spans="1:8" x14ac:dyDescent="0.3">
      <c r="A904" s="11"/>
      <c r="B904" s="8"/>
      <c r="C904" s="7" t="str">
        <f>IF(B904="","",IFERROR(INDEX(Reactivos!$D$2:$D$435,MATCH(B904,Reactivos!$A$2:$A$435,0)),"ID no existe"))</f>
        <v/>
      </c>
      <c r="D904" s="8"/>
      <c r="E904" s="7" t="str">
        <f>IF(B904="","",IFERROR(INDEX(Reactivos!$H$2:$H$435,MATCH(B904,Reactivos!$A$2:$A$435,0)),""))</f>
        <v/>
      </c>
      <c r="F904" s="8"/>
      <c r="G904" s="8"/>
      <c r="H904" s="13"/>
    </row>
    <row r="905" spans="1:8" x14ac:dyDescent="0.3">
      <c r="A905" s="11"/>
      <c r="B905" s="8"/>
      <c r="C905" s="7" t="str">
        <f>IF(B905="","",IFERROR(INDEX(Reactivos!$D$2:$D$435,MATCH(B905,Reactivos!$A$2:$A$435,0)),"ID no existe"))</f>
        <v/>
      </c>
      <c r="D905" s="8"/>
      <c r="E905" s="7" t="str">
        <f>IF(B905="","",IFERROR(INDEX(Reactivos!$H$2:$H$435,MATCH(B905,Reactivos!$A$2:$A$435,0)),""))</f>
        <v/>
      </c>
      <c r="F905" s="8"/>
      <c r="G905" s="8"/>
      <c r="H905" s="13"/>
    </row>
    <row r="906" spans="1:8" x14ac:dyDescent="0.3">
      <c r="A906" s="11"/>
      <c r="B906" s="8"/>
      <c r="C906" s="7" t="str">
        <f>IF(B906="","",IFERROR(INDEX(Reactivos!$D$2:$D$435,MATCH(B906,Reactivos!$A$2:$A$435,0)),"ID no existe"))</f>
        <v/>
      </c>
      <c r="D906" s="8"/>
      <c r="E906" s="7" t="str">
        <f>IF(B906="","",IFERROR(INDEX(Reactivos!$H$2:$H$435,MATCH(B906,Reactivos!$A$2:$A$435,0)),""))</f>
        <v/>
      </c>
      <c r="F906" s="8"/>
      <c r="G906" s="8"/>
      <c r="H906" s="13"/>
    </row>
    <row r="907" spans="1:8" x14ac:dyDescent="0.3">
      <c r="A907" s="11"/>
      <c r="B907" s="8"/>
      <c r="C907" s="7" t="str">
        <f>IF(B907="","",IFERROR(INDEX(Reactivos!$D$2:$D$435,MATCH(B907,Reactivos!$A$2:$A$435,0)),"ID no existe"))</f>
        <v/>
      </c>
      <c r="D907" s="8"/>
      <c r="E907" s="7" t="str">
        <f>IF(B907="","",IFERROR(INDEX(Reactivos!$H$2:$H$435,MATCH(B907,Reactivos!$A$2:$A$435,0)),""))</f>
        <v/>
      </c>
      <c r="F907" s="8"/>
      <c r="G907" s="8"/>
      <c r="H907" s="13"/>
    </row>
    <row r="908" spans="1:8" x14ac:dyDescent="0.3">
      <c r="A908" s="11"/>
      <c r="B908" s="8"/>
      <c r="C908" s="7" t="str">
        <f>IF(B908="","",IFERROR(INDEX(Reactivos!$D$2:$D$435,MATCH(B908,Reactivos!$A$2:$A$435,0)),"ID no existe"))</f>
        <v/>
      </c>
      <c r="D908" s="8"/>
      <c r="E908" s="7" t="str">
        <f>IF(B908="","",IFERROR(INDEX(Reactivos!$H$2:$H$435,MATCH(B908,Reactivos!$A$2:$A$435,0)),""))</f>
        <v/>
      </c>
      <c r="F908" s="8"/>
      <c r="G908" s="8"/>
      <c r="H908" s="13"/>
    </row>
    <row r="909" spans="1:8" x14ac:dyDescent="0.3">
      <c r="A909" s="11"/>
      <c r="B909" s="8"/>
      <c r="C909" s="7" t="str">
        <f>IF(B909="","",IFERROR(INDEX(Reactivos!$D$2:$D$435,MATCH(B909,Reactivos!$A$2:$A$435,0)),"ID no existe"))</f>
        <v/>
      </c>
      <c r="D909" s="8"/>
      <c r="E909" s="7" t="str">
        <f>IF(B909="","",IFERROR(INDEX(Reactivos!$H$2:$H$435,MATCH(B909,Reactivos!$A$2:$A$435,0)),""))</f>
        <v/>
      </c>
      <c r="F909" s="8"/>
      <c r="G909" s="8"/>
      <c r="H909" s="13"/>
    </row>
    <row r="910" spans="1:8" x14ac:dyDescent="0.3">
      <c r="A910" s="11"/>
      <c r="B910" s="8"/>
      <c r="C910" s="7" t="str">
        <f>IF(B910="","",IFERROR(INDEX(Reactivos!$D$2:$D$435,MATCH(B910,Reactivos!$A$2:$A$435,0)),"ID no existe"))</f>
        <v/>
      </c>
      <c r="D910" s="8"/>
      <c r="E910" s="7" t="str">
        <f>IF(B910="","",IFERROR(INDEX(Reactivos!$H$2:$H$435,MATCH(B910,Reactivos!$A$2:$A$435,0)),""))</f>
        <v/>
      </c>
      <c r="F910" s="8"/>
      <c r="G910" s="8"/>
      <c r="H910" s="13"/>
    </row>
    <row r="911" spans="1:8" x14ac:dyDescent="0.3">
      <c r="A911" s="11"/>
      <c r="B911" s="8"/>
      <c r="C911" s="7" t="str">
        <f>IF(B911="","",IFERROR(INDEX(Reactivos!$D$2:$D$435,MATCH(B911,Reactivos!$A$2:$A$435,0)),"ID no existe"))</f>
        <v/>
      </c>
      <c r="D911" s="8"/>
      <c r="E911" s="7" t="str">
        <f>IF(B911="","",IFERROR(INDEX(Reactivos!$H$2:$H$435,MATCH(B911,Reactivos!$A$2:$A$435,0)),""))</f>
        <v/>
      </c>
      <c r="F911" s="8"/>
      <c r="G911" s="8"/>
      <c r="H911" s="13"/>
    </row>
    <row r="912" spans="1:8" x14ac:dyDescent="0.3">
      <c r="A912" s="11"/>
      <c r="B912" s="8"/>
      <c r="C912" s="7" t="str">
        <f>IF(B912="","",IFERROR(INDEX(Reactivos!$D$2:$D$435,MATCH(B912,Reactivos!$A$2:$A$435,0)),"ID no existe"))</f>
        <v/>
      </c>
      <c r="D912" s="8"/>
      <c r="E912" s="7" t="str">
        <f>IF(B912="","",IFERROR(INDEX(Reactivos!$H$2:$H$435,MATCH(B912,Reactivos!$A$2:$A$435,0)),""))</f>
        <v/>
      </c>
      <c r="F912" s="8"/>
      <c r="G912" s="8"/>
      <c r="H912" s="13"/>
    </row>
    <row r="913" spans="1:8" x14ac:dyDescent="0.3">
      <c r="A913" s="11"/>
      <c r="B913" s="8"/>
      <c r="C913" s="7" t="str">
        <f>IF(B913="","",IFERROR(INDEX(Reactivos!$D$2:$D$435,MATCH(B913,Reactivos!$A$2:$A$435,0)),"ID no existe"))</f>
        <v/>
      </c>
      <c r="D913" s="8"/>
      <c r="E913" s="7" t="str">
        <f>IF(B913="","",IFERROR(INDEX(Reactivos!$H$2:$H$435,MATCH(B913,Reactivos!$A$2:$A$435,0)),""))</f>
        <v/>
      </c>
      <c r="F913" s="8"/>
      <c r="G913" s="8"/>
      <c r="H913" s="13"/>
    </row>
    <row r="914" spans="1:8" x14ac:dyDescent="0.3">
      <c r="A914" s="11"/>
      <c r="B914" s="8"/>
      <c r="C914" s="7" t="str">
        <f>IF(B914="","",IFERROR(INDEX(Reactivos!$D$2:$D$435,MATCH(B914,Reactivos!$A$2:$A$435,0)),"ID no existe"))</f>
        <v/>
      </c>
      <c r="D914" s="8"/>
      <c r="E914" s="7" t="str">
        <f>IF(B914="","",IFERROR(INDEX(Reactivos!$H$2:$H$435,MATCH(B914,Reactivos!$A$2:$A$435,0)),""))</f>
        <v/>
      </c>
      <c r="F914" s="8"/>
      <c r="G914" s="8"/>
      <c r="H914" s="13"/>
    </row>
    <row r="915" spans="1:8" x14ac:dyDescent="0.3">
      <c r="A915" s="11"/>
      <c r="B915" s="8"/>
      <c r="C915" s="7" t="str">
        <f>IF(B915="","",IFERROR(INDEX(Reactivos!$D$2:$D$435,MATCH(B915,Reactivos!$A$2:$A$435,0)),"ID no existe"))</f>
        <v/>
      </c>
      <c r="D915" s="8"/>
      <c r="E915" s="7" t="str">
        <f>IF(B915="","",IFERROR(INDEX(Reactivos!$H$2:$H$435,MATCH(B915,Reactivos!$A$2:$A$435,0)),""))</f>
        <v/>
      </c>
      <c r="F915" s="8"/>
      <c r="G915" s="8"/>
      <c r="H915" s="13"/>
    </row>
    <row r="916" spans="1:8" x14ac:dyDescent="0.3">
      <c r="A916" s="11"/>
      <c r="B916" s="8"/>
      <c r="C916" s="7" t="str">
        <f>IF(B916="","",IFERROR(INDEX(Reactivos!$D$2:$D$435,MATCH(B916,Reactivos!$A$2:$A$435,0)),"ID no existe"))</f>
        <v/>
      </c>
      <c r="D916" s="8"/>
      <c r="E916" s="7" t="str">
        <f>IF(B916="","",IFERROR(INDEX(Reactivos!$H$2:$H$435,MATCH(B916,Reactivos!$A$2:$A$435,0)),""))</f>
        <v/>
      </c>
      <c r="F916" s="8"/>
      <c r="G916" s="8"/>
      <c r="H916" s="13"/>
    </row>
    <row r="917" spans="1:8" x14ac:dyDescent="0.3">
      <c r="A917" s="11"/>
      <c r="B917" s="8"/>
      <c r="C917" s="7" t="str">
        <f>IF(B917="","",IFERROR(INDEX(Reactivos!$D$2:$D$435,MATCH(B917,Reactivos!$A$2:$A$435,0)),"ID no existe"))</f>
        <v/>
      </c>
      <c r="D917" s="8"/>
      <c r="E917" s="7" t="str">
        <f>IF(B917="","",IFERROR(INDEX(Reactivos!$H$2:$H$435,MATCH(B917,Reactivos!$A$2:$A$435,0)),""))</f>
        <v/>
      </c>
      <c r="F917" s="8"/>
      <c r="G917" s="8"/>
      <c r="H917" s="13"/>
    </row>
    <row r="918" spans="1:8" x14ac:dyDescent="0.3">
      <c r="A918" s="11"/>
      <c r="B918" s="8"/>
      <c r="C918" s="7" t="str">
        <f>IF(B918="","",IFERROR(INDEX(Reactivos!$D$2:$D$435,MATCH(B918,Reactivos!$A$2:$A$435,0)),"ID no existe"))</f>
        <v/>
      </c>
      <c r="D918" s="8"/>
      <c r="E918" s="7" t="str">
        <f>IF(B918="","",IFERROR(INDEX(Reactivos!$H$2:$H$435,MATCH(B918,Reactivos!$A$2:$A$435,0)),""))</f>
        <v/>
      </c>
      <c r="F918" s="8"/>
      <c r="G918" s="8"/>
      <c r="H918" s="13"/>
    </row>
    <row r="919" spans="1:8" x14ac:dyDescent="0.3">
      <c r="A919" s="11"/>
      <c r="B919" s="8"/>
      <c r="C919" s="7" t="str">
        <f>IF(B919="","",IFERROR(INDEX(Reactivos!$D$2:$D$435,MATCH(B919,Reactivos!$A$2:$A$435,0)),"ID no existe"))</f>
        <v/>
      </c>
      <c r="D919" s="8"/>
      <c r="E919" s="7" t="str">
        <f>IF(B919="","",IFERROR(INDEX(Reactivos!$H$2:$H$435,MATCH(B919,Reactivos!$A$2:$A$435,0)),""))</f>
        <v/>
      </c>
      <c r="F919" s="8"/>
      <c r="G919" s="8"/>
      <c r="H919" s="13"/>
    </row>
    <row r="920" spans="1:8" x14ac:dyDescent="0.3">
      <c r="A920" s="11"/>
      <c r="B920" s="8"/>
      <c r="C920" s="7" t="str">
        <f>IF(B920="","",IFERROR(INDEX(Reactivos!$D$2:$D$435,MATCH(B920,Reactivos!$A$2:$A$435,0)),"ID no existe"))</f>
        <v/>
      </c>
      <c r="D920" s="8"/>
      <c r="E920" s="7" t="str">
        <f>IF(B920="","",IFERROR(INDEX(Reactivos!$H$2:$H$435,MATCH(B920,Reactivos!$A$2:$A$435,0)),""))</f>
        <v/>
      </c>
      <c r="F920" s="8"/>
      <c r="G920" s="8"/>
      <c r="H920" s="13"/>
    </row>
    <row r="921" spans="1:8" x14ac:dyDescent="0.3">
      <c r="A921" s="11"/>
      <c r="B921" s="8"/>
      <c r="C921" s="7" t="str">
        <f>IF(B921="","",IFERROR(INDEX(Reactivos!$D$2:$D$435,MATCH(B921,Reactivos!$A$2:$A$435,0)),"ID no existe"))</f>
        <v/>
      </c>
      <c r="D921" s="8"/>
      <c r="E921" s="7" t="str">
        <f>IF(B921="","",IFERROR(INDEX(Reactivos!$H$2:$H$435,MATCH(B921,Reactivos!$A$2:$A$435,0)),""))</f>
        <v/>
      </c>
      <c r="F921" s="8"/>
      <c r="G921" s="8"/>
      <c r="H921" s="13"/>
    </row>
    <row r="922" spans="1:8" x14ac:dyDescent="0.3">
      <c r="A922" s="11"/>
      <c r="B922" s="8"/>
      <c r="C922" s="7" t="str">
        <f>IF(B922="","",IFERROR(INDEX(Reactivos!$D$2:$D$435,MATCH(B922,Reactivos!$A$2:$A$435,0)),"ID no existe"))</f>
        <v/>
      </c>
      <c r="D922" s="8"/>
      <c r="E922" s="7" t="str">
        <f>IF(B922="","",IFERROR(INDEX(Reactivos!$H$2:$H$435,MATCH(B922,Reactivos!$A$2:$A$435,0)),""))</f>
        <v/>
      </c>
      <c r="F922" s="8"/>
      <c r="G922" s="8"/>
      <c r="H922" s="13"/>
    </row>
    <row r="923" spans="1:8" x14ac:dyDescent="0.3">
      <c r="A923" s="11"/>
      <c r="B923" s="8"/>
      <c r="C923" s="7" t="str">
        <f>IF(B923="","",IFERROR(INDEX(Reactivos!$D$2:$D$435,MATCH(B923,Reactivos!$A$2:$A$435,0)),"ID no existe"))</f>
        <v/>
      </c>
      <c r="D923" s="8"/>
      <c r="E923" s="7" t="str">
        <f>IF(B923="","",IFERROR(INDEX(Reactivos!$H$2:$H$435,MATCH(B923,Reactivos!$A$2:$A$435,0)),""))</f>
        <v/>
      </c>
      <c r="F923" s="8"/>
      <c r="G923" s="8"/>
      <c r="H923" s="13"/>
    </row>
    <row r="924" spans="1:8" x14ac:dyDescent="0.3">
      <c r="A924" s="11"/>
      <c r="B924" s="8"/>
      <c r="C924" s="7" t="str">
        <f>IF(B924="","",IFERROR(INDEX(Reactivos!$D$2:$D$435,MATCH(B924,Reactivos!$A$2:$A$435,0)),"ID no existe"))</f>
        <v/>
      </c>
      <c r="D924" s="8"/>
      <c r="E924" s="7" t="str">
        <f>IF(B924="","",IFERROR(INDEX(Reactivos!$H$2:$H$435,MATCH(B924,Reactivos!$A$2:$A$435,0)),""))</f>
        <v/>
      </c>
      <c r="F924" s="8"/>
      <c r="G924" s="8"/>
      <c r="H924" s="13"/>
    </row>
    <row r="925" spans="1:8" x14ac:dyDescent="0.3">
      <c r="A925" s="11"/>
      <c r="B925" s="8"/>
      <c r="C925" s="7" t="str">
        <f>IF(B925="","",IFERROR(INDEX(Reactivos!$D$2:$D$435,MATCH(B925,Reactivos!$A$2:$A$435,0)),"ID no existe"))</f>
        <v/>
      </c>
      <c r="D925" s="8"/>
      <c r="E925" s="7" t="str">
        <f>IF(B925="","",IFERROR(INDEX(Reactivos!$H$2:$H$435,MATCH(B925,Reactivos!$A$2:$A$435,0)),""))</f>
        <v/>
      </c>
      <c r="F925" s="8"/>
      <c r="G925" s="8"/>
      <c r="H925" s="13"/>
    </row>
    <row r="926" spans="1:8" x14ac:dyDescent="0.3">
      <c r="A926" s="11"/>
      <c r="B926" s="8"/>
      <c r="C926" s="7" t="str">
        <f>IF(B926="","",IFERROR(INDEX(Reactivos!$D$2:$D$435,MATCH(B926,Reactivos!$A$2:$A$435,0)),"ID no existe"))</f>
        <v/>
      </c>
      <c r="D926" s="8"/>
      <c r="E926" s="7" t="str">
        <f>IF(B926="","",IFERROR(INDEX(Reactivos!$H$2:$H$435,MATCH(B926,Reactivos!$A$2:$A$435,0)),""))</f>
        <v/>
      </c>
      <c r="F926" s="8"/>
      <c r="G926" s="8"/>
      <c r="H926" s="13"/>
    </row>
    <row r="927" spans="1:8" x14ac:dyDescent="0.3">
      <c r="A927" s="11"/>
      <c r="B927" s="8"/>
      <c r="C927" s="7" t="str">
        <f>IF(B927="","",IFERROR(INDEX(Reactivos!$D$2:$D$435,MATCH(B927,Reactivos!$A$2:$A$435,0)),"ID no existe"))</f>
        <v/>
      </c>
      <c r="D927" s="8"/>
      <c r="E927" s="7" t="str">
        <f>IF(B927="","",IFERROR(INDEX(Reactivos!$H$2:$H$435,MATCH(B927,Reactivos!$A$2:$A$435,0)),""))</f>
        <v/>
      </c>
      <c r="F927" s="8"/>
      <c r="G927" s="8"/>
      <c r="H927" s="13"/>
    </row>
    <row r="928" spans="1:8" x14ac:dyDescent="0.3">
      <c r="A928" s="11"/>
      <c r="B928" s="8"/>
      <c r="C928" s="7" t="str">
        <f>IF(B928="","",IFERROR(INDEX(Reactivos!$D$2:$D$435,MATCH(B928,Reactivos!$A$2:$A$435,0)),"ID no existe"))</f>
        <v/>
      </c>
      <c r="D928" s="8"/>
      <c r="E928" s="7" t="str">
        <f>IF(B928="","",IFERROR(INDEX(Reactivos!$H$2:$H$435,MATCH(B928,Reactivos!$A$2:$A$435,0)),""))</f>
        <v/>
      </c>
      <c r="F928" s="8"/>
      <c r="G928" s="8"/>
      <c r="H928" s="13"/>
    </row>
    <row r="929" spans="1:8" x14ac:dyDescent="0.3">
      <c r="A929" s="11"/>
      <c r="B929" s="8"/>
      <c r="C929" s="7" t="str">
        <f>IF(B929="","",IFERROR(INDEX(Reactivos!$D$2:$D$435,MATCH(B929,Reactivos!$A$2:$A$435,0)),"ID no existe"))</f>
        <v/>
      </c>
      <c r="D929" s="8"/>
      <c r="E929" s="7" t="str">
        <f>IF(B929="","",IFERROR(INDEX(Reactivos!$H$2:$H$435,MATCH(B929,Reactivos!$A$2:$A$435,0)),""))</f>
        <v/>
      </c>
      <c r="F929" s="8"/>
      <c r="G929" s="8"/>
      <c r="H929" s="13"/>
    </row>
    <row r="930" spans="1:8" x14ac:dyDescent="0.3">
      <c r="A930" s="11"/>
      <c r="B930" s="8"/>
      <c r="C930" s="7" t="str">
        <f>IF(B930="","",IFERROR(INDEX(Reactivos!$D$2:$D$435,MATCH(B930,Reactivos!$A$2:$A$435,0)),"ID no existe"))</f>
        <v/>
      </c>
      <c r="D930" s="8"/>
      <c r="E930" s="7" t="str">
        <f>IF(B930="","",IFERROR(INDEX(Reactivos!$H$2:$H$435,MATCH(B930,Reactivos!$A$2:$A$435,0)),""))</f>
        <v/>
      </c>
      <c r="F930" s="8"/>
      <c r="G930" s="8"/>
      <c r="H930" s="13"/>
    </row>
    <row r="931" spans="1:8" x14ac:dyDescent="0.3">
      <c r="A931" s="11"/>
      <c r="B931" s="8"/>
      <c r="C931" s="7" t="str">
        <f>IF(B931="","",IFERROR(INDEX(Reactivos!$D$2:$D$435,MATCH(B931,Reactivos!$A$2:$A$435,0)),"ID no existe"))</f>
        <v/>
      </c>
      <c r="D931" s="8"/>
      <c r="E931" s="7" t="str">
        <f>IF(B931="","",IFERROR(INDEX(Reactivos!$H$2:$H$435,MATCH(B931,Reactivos!$A$2:$A$435,0)),""))</f>
        <v/>
      </c>
      <c r="F931" s="8"/>
      <c r="G931" s="8"/>
      <c r="H931" s="13"/>
    </row>
    <row r="932" spans="1:8" x14ac:dyDescent="0.3">
      <c r="A932" s="11"/>
      <c r="B932" s="8"/>
      <c r="C932" s="7" t="str">
        <f>IF(B932="","",IFERROR(INDEX(Reactivos!$D$2:$D$435,MATCH(B932,Reactivos!$A$2:$A$435,0)),"ID no existe"))</f>
        <v/>
      </c>
      <c r="D932" s="8"/>
      <c r="E932" s="7" t="str">
        <f>IF(B932="","",IFERROR(INDEX(Reactivos!$H$2:$H$435,MATCH(B932,Reactivos!$A$2:$A$435,0)),""))</f>
        <v/>
      </c>
      <c r="F932" s="8"/>
      <c r="G932" s="8"/>
      <c r="H932" s="13"/>
    </row>
    <row r="933" spans="1:8" x14ac:dyDescent="0.3">
      <c r="A933" s="11"/>
      <c r="B933" s="8"/>
      <c r="C933" s="7" t="str">
        <f>IF(B933="","",IFERROR(INDEX(Reactivos!$D$2:$D$435,MATCH(B933,Reactivos!$A$2:$A$435,0)),"ID no existe"))</f>
        <v/>
      </c>
      <c r="D933" s="8"/>
      <c r="E933" s="7" t="str">
        <f>IF(B933="","",IFERROR(INDEX(Reactivos!$H$2:$H$435,MATCH(B933,Reactivos!$A$2:$A$435,0)),""))</f>
        <v/>
      </c>
      <c r="F933" s="8"/>
      <c r="G933" s="8"/>
      <c r="H933" s="13"/>
    </row>
    <row r="934" spans="1:8" x14ac:dyDescent="0.3">
      <c r="A934" s="11"/>
      <c r="B934" s="8"/>
      <c r="C934" s="7" t="str">
        <f>IF(B934="","",IFERROR(INDEX(Reactivos!$D$2:$D$435,MATCH(B934,Reactivos!$A$2:$A$435,0)),"ID no existe"))</f>
        <v/>
      </c>
      <c r="D934" s="8"/>
      <c r="E934" s="7" t="str">
        <f>IF(B934="","",IFERROR(INDEX(Reactivos!$H$2:$H$435,MATCH(B934,Reactivos!$A$2:$A$435,0)),""))</f>
        <v/>
      </c>
      <c r="F934" s="8"/>
      <c r="G934" s="8"/>
      <c r="H934" s="13"/>
    </row>
    <row r="935" spans="1:8" x14ac:dyDescent="0.3">
      <c r="A935" s="11"/>
      <c r="B935" s="8"/>
      <c r="C935" s="7" t="str">
        <f>IF(B935="","",IFERROR(INDEX(Reactivos!$D$2:$D$435,MATCH(B935,Reactivos!$A$2:$A$435,0)),"ID no existe"))</f>
        <v/>
      </c>
      <c r="D935" s="8"/>
      <c r="E935" s="7" t="str">
        <f>IF(B935="","",IFERROR(INDEX(Reactivos!$H$2:$H$435,MATCH(B935,Reactivos!$A$2:$A$435,0)),""))</f>
        <v/>
      </c>
      <c r="F935" s="8"/>
      <c r="G935" s="8"/>
      <c r="H935" s="13"/>
    </row>
    <row r="936" spans="1:8" x14ac:dyDescent="0.3">
      <c r="A936" s="11"/>
      <c r="B936" s="8"/>
      <c r="C936" s="7" t="str">
        <f>IF(B936="","",IFERROR(INDEX(Reactivos!$D$2:$D$435,MATCH(B936,Reactivos!$A$2:$A$435,0)),"ID no existe"))</f>
        <v/>
      </c>
      <c r="D936" s="8"/>
      <c r="E936" s="7" t="str">
        <f>IF(B936="","",IFERROR(INDEX(Reactivos!$H$2:$H$435,MATCH(B936,Reactivos!$A$2:$A$435,0)),""))</f>
        <v/>
      </c>
      <c r="F936" s="8"/>
      <c r="G936" s="8"/>
      <c r="H936" s="13"/>
    </row>
    <row r="937" spans="1:8" x14ac:dyDescent="0.3">
      <c r="A937" s="11"/>
      <c r="B937" s="8"/>
      <c r="C937" s="7" t="str">
        <f>IF(B937="","",IFERROR(INDEX(Reactivos!$D$2:$D$435,MATCH(B937,Reactivos!$A$2:$A$435,0)),"ID no existe"))</f>
        <v/>
      </c>
      <c r="D937" s="8"/>
      <c r="E937" s="7" t="str">
        <f>IF(B937="","",IFERROR(INDEX(Reactivos!$H$2:$H$435,MATCH(B937,Reactivos!$A$2:$A$435,0)),""))</f>
        <v/>
      </c>
      <c r="F937" s="8"/>
      <c r="G937" s="8"/>
      <c r="H937" s="13"/>
    </row>
    <row r="938" spans="1:8" x14ac:dyDescent="0.3">
      <c r="A938" s="11"/>
      <c r="B938" s="8"/>
      <c r="C938" s="7" t="str">
        <f>IF(B938="","",IFERROR(INDEX(Reactivos!$D$2:$D$435,MATCH(B938,Reactivos!$A$2:$A$435,0)),"ID no existe"))</f>
        <v/>
      </c>
      <c r="D938" s="8"/>
      <c r="E938" s="7" t="str">
        <f>IF(B938="","",IFERROR(INDEX(Reactivos!$H$2:$H$435,MATCH(B938,Reactivos!$A$2:$A$435,0)),""))</f>
        <v/>
      </c>
      <c r="F938" s="8"/>
      <c r="G938" s="8"/>
      <c r="H938" s="13"/>
    </row>
    <row r="939" spans="1:8" x14ac:dyDescent="0.3">
      <c r="A939" s="11"/>
      <c r="B939" s="8"/>
      <c r="C939" s="7" t="str">
        <f>IF(B939="","",IFERROR(INDEX(Reactivos!$D$2:$D$435,MATCH(B939,Reactivos!$A$2:$A$435,0)),"ID no existe"))</f>
        <v/>
      </c>
      <c r="D939" s="8"/>
      <c r="E939" s="7" t="str">
        <f>IF(B939="","",IFERROR(INDEX(Reactivos!$H$2:$H$435,MATCH(B939,Reactivos!$A$2:$A$435,0)),""))</f>
        <v/>
      </c>
      <c r="F939" s="8"/>
      <c r="G939" s="8"/>
      <c r="H939" s="13"/>
    </row>
    <row r="940" spans="1:8" x14ac:dyDescent="0.3">
      <c r="A940" s="11"/>
      <c r="B940" s="8"/>
      <c r="C940" s="7" t="str">
        <f>IF(B940="","",IFERROR(INDEX(Reactivos!$D$2:$D$435,MATCH(B940,Reactivos!$A$2:$A$435,0)),"ID no existe"))</f>
        <v/>
      </c>
      <c r="D940" s="8"/>
      <c r="E940" s="7" t="str">
        <f>IF(B940="","",IFERROR(INDEX(Reactivos!$H$2:$H$435,MATCH(B940,Reactivos!$A$2:$A$435,0)),""))</f>
        <v/>
      </c>
      <c r="F940" s="8"/>
      <c r="G940" s="8"/>
      <c r="H940" s="13"/>
    </row>
    <row r="941" spans="1:8" x14ac:dyDescent="0.3">
      <c r="A941" s="11"/>
      <c r="B941" s="8"/>
      <c r="C941" s="7" t="str">
        <f>IF(B941="","",IFERROR(INDEX(Reactivos!$D$2:$D$435,MATCH(B941,Reactivos!$A$2:$A$435,0)),"ID no existe"))</f>
        <v/>
      </c>
      <c r="D941" s="8"/>
      <c r="E941" s="7" t="str">
        <f>IF(B941="","",IFERROR(INDEX(Reactivos!$H$2:$H$435,MATCH(B941,Reactivos!$A$2:$A$435,0)),""))</f>
        <v/>
      </c>
      <c r="F941" s="8"/>
      <c r="G941" s="8"/>
      <c r="H941" s="13"/>
    </row>
    <row r="942" spans="1:8" x14ac:dyDescent="0.3">
      <c r="A942" s="11"/>
      <c r="B942" s="8"/>
      <c r="C942" s="7" t="str">
        <f>IF(B942="","",IFERROR(INDEX(Reactivos!$D$2:$D$435,MATCH(B942,Reactivos!$A$2:$A$435,0)),"ID no existe"))</f>
        <v/>
      </c>
      <c r="D942" s="8"/>
      <c r="E942" s="7" t="str">
        <f>IF(B942="","",IFERROR(INDEX(Reactivos!$H$2:$H$435,MATCH(B942,Reactivos!$A$2:$A$435,0)),""))</f>
        <v/>
      </c>
      <c r="F942" s="8"/>
      <c r="G942" s="8"/>
      <c r="H942" s="13"/>
    </row>
    <row r="943" spans="1:8" x14ac:dyDescent="0.3">
      <c r="A943" s="11"/>
      <c r="B943" s="8"/>
      <c r="C943" s="7" t="str">
        <f>IF(B943="","",IFERROR(INDEX(Reactivos!$D$2:$D$435,MATCH(B943,Reactivos!$A$2:$A$435,0)),"ID no existe"))</f>
        <v/>
      </c>
      <c r="D943" s="8"/>
      <c r="E943" s="7" t="str">
        <f>IF(B943="","",IFERROR(INDEX(Reactivos!$H$2:$H$435,MATCH(B943,Reactivos!$A$2:$A$435,0)),""))</f>
        <v/>
      </c>
      <c r="F943" s="8"/>
      <c r="G943" s="8"/>
      <c r="H943" s="13"/>
    </row>
    <row r="944" spans="1:8" x14ac:dyDescent="0.3">
      <c r="A944" s="11"/>
      <c r="B944" s="8"/>
      <c r="C944" s="7" t="str">
        <f>IF(B944="","",IFERROR(INDEX(Reactivos!$D$2:$D$435,MATCH(B944,Reactivos!$A$2:$A$435,0)),"ID no existe"))</f>
        <v/>
      </c>
      <c r="D944" s="8"/>
      <c r="E944" s="7" t="str">
        <f>IF(B944="","",IFERROR(INDEX(Reactivos!$H$2:$H$435,MATCH(B944,Reactivos!$A$2:$A$435,0)),""))</f>
        <v/>
      </c>
      <c r="F944" s="8"/>
      <c r="G944" s="8"/>
      <c r="H944" s="13"/>
    </row>
    <row r="945" spans="1:8" x14ac:dyDescent="0.3">
      <c r="A945" s="11"/>
      <c r="B945" s="8"/>
      <c r="C945" s="7" t="str">
        <f>IF(B945="","",IFERROR(INDEX(Reactivos!$D$2:$D$435,MATCH(B945,Reactivos!$A$2:$A$435,0)),"ID no existe"))</f>
        <v/>
      </c>
      <c r="D945" s="8"/>
      <c r="E945" s="7" t="str">
        <f>IF(B945="","",IFERROR(INDEX(Reactivos!$H$2:$H$435,MATCH(B945,Reactivos!$A$2:$A$435,0)),""))</f>
        <v/>
      </c>
      <c r="F945" s="8"/>
      <c r="G945" s="8"/>
      <c r="H945" s="13"/>
    </row>
    <row r="946" spans="1:8" x14ac:dyDescent="0.3">
      <c r="A946" s="11"/>
      <c r="B946" s="8"/>
      <c r="C946" s="7" t="str">
        <f>IF(B946="","",IFERROR(INDEX(Reactivos!$D$2:$D$435,MATCH(B946,Reactivos!$A$2:$A$435,0)),"ID no existe"))</f>
        <v/>
      </c>
      <c r="D946" s="8"/>
      <c r="E946" s="7" t="str">
        <f>IF(B946="","",IFERROR(INDEX(Reactivos!$H$2:$H$435,MATCH(B946,Reactivos!$A$2:$A$435,0)),""))</f>
        <v/>
      </c>
      <c r="F946" s="8"/>
      <c r="G946" s="8"/>
      <c r="H946" s="13"/>
    </row>
    <row r="947" spans="1:8" x14ac:dyDescent="0.3">
      <c r="A947" s="11"/>
      <c r="B947" s="8"/>
      <c r="C947" s="7" t="str">
        <f>IF(B947="","",IFERROR(INDEX(Reactivos!$D$2:$D$435,MATCH(B947,Reactivos!$A$2:$A$435,0)),"ID no existe"))</f>
        <v/>
      </c>
      <c r="D947" s="8"/>
      <c r="E947" s="7" t="str">
        <f>IF(B947="","",IFERROR(INDEX(Reactivos!$H$2:$H$435,MATCH(B947,Reactivos!$A$2:$A$435,0)),""))</f>
        <v/>
      </c>
      <c r="F947" s="8"/>
      <c r="G947" s="8"/>
      <c r="H947" s="13"/>
    </row>
    <row r="948" spans="1:8" x14ac:dyDescent="0.3">
      <c r="A948" s="11"/>
      <c r="B948" s="8"/>
      <c r="C948" s="7" t="str">
        <f>IF(B948="","",IFERROR(INDEX(Reactivos!$D$2:$D$435,MATCH(B948,Reactivos!$A$2:$A$435,0)),"ID no existe"))</f>
        <v/>
      </c>
      <c r="D948" s="8"/>
      <c r="E948" s="7" t="str">
        <f>IF(B948="","",IFERROR(INDEX(Reactivos!$H$2:$H$435,MATCH(B948,Reactivos!$A$2:$A$435,0)),""))</f>
        <v/>
      </c>
      <c r="F948" s="8"/>
      <c r="G948" s="8"/>
      <c r="H948" s="13"/>
    </row>
    <row r="949" spans="1:8" x14ac:dyDescent="0.3">
      <c r="A949" s="11"/>
      <c r="B949" s="8"/>
      <c r="C949" s="7" t="str">
        <f>IF(B949="","",IFERROR(INDEX(Reactivos!$D$2:$D$435,MATCH(B949,Reactivos!$A$2:$A$435,0)),"ID no existe"))</f>
        <v/>
      </c>
      <c r="D949" s="8"/>
      <c r="E949" s="7" t="str">
        <f>IF(B949="","",IFERROR(INDEX(Reactivos!$H$2:$H$435,MATCH(B949,Reactivos!$A$2:$A$435,0)),""))</f>
        <v/>
      </c>
      <c r="F949" s="8"/>
      <c r="G949" s="8"/>
      <c r="H949" s="13"/>
    </row>
    <row r="950" spans="1:8" x14ac:dyDescent="0.3">
      <c r="A950" s="11"/>
      <c r="B950" s="8"/>
      <c r="C950" s="7" t="str">
        <f>IF(B950="","",IFERROR(INDEX(Reactivos!$D$2:$D$435,MATCH(B950,Reactivos!$A$2:$A$435,0)),"ID no existe"))</f>
        <v/>
      </c>
      <c r="D950" s="8"/>
      <c r="E950" s="7" t="str">
        <f>IF(B950="","",IFERROR(INDEX(Reactivos!$H$2:$H$435,MATCH(B950,Reactivos!$A$2:$A$435,0)),""))</f>
        <v/>
      </c>
      <c r="F950" s="8"/>
      <c r="G950" s="8"/>
      <c r="H950" s="13"/>
    </row>
    <row r="951" spans="1:8" x14ac:dyDescent="0.3">
      <c r="A951" s="11"/>
      <c r="B951" s="8"/>
      <c r="C951" s="7" t="str">
        <f>IF(B951="","",IFERROR(INDEX(Reactivos!$D$2:$D$435,MATCH(B951,Reactivos!$A$2:$A$435,0)),"ID no existe"))</f>
        <v/>
      </c>
      <c r="D951" s="8"/>
      <c r="E951" s="7" t="str">
        <f>IF(B951="","",IFERROR(INDEX(Reactivos!$H$2:$H$435,MATCH(B951,Reactivos!$A$2:$A$435,0)),""))</f>
        <v/>
      </c>
      <c r="F951" s="8"/>
      <c r="G951" s="8"/>
      <c r="H951" s="13"/>
    </row>
    <row r="952" spans="1:8" x14ac:dyDescent="0.3">
      <c r="A952" s="11"/>
      <c r="B952" s="8"/>
      <c r="C952" s="7" t="str">
        <f>IF(B952="","",IFERROR(INDEX(Reactivos!$D$2:$D$435,MATCH(B952,Reactivos!$A$2:$A$435,0)),"ID no existe"))</f>
        <v/>
      </c>
      <c r="D952" s="8"/>
      <c r="E952" s="7" t="str">
        <f>IF(B952="","",IFERROR(INDEX(Reactivos!$H$2:$H$435,MATCH(B952,Reactivos!$A$2:$A$435,0)),""))</f>
        <v/>
      </c>
      <c r="F952" s="8"/>
      <c r="G952" s="8"/>
      <c r="H952" s="13"/>
    </row>
    <row r="953" spans="1:8" x14ac:dyDescent="0.3">
      <c r="A953" s="11"/>
      <c r="B953" s="8"/>
      <c r="C953" s="7" t="str">
        <f>IF(B953="","",IFERROR(INDEX(Reactivos!$D$2:$D$435,MATCH(B953,Reactivos!$A$2:$A$435,0)),"ID no existe"))</f>
        <v/>
      </c>
      <c r="D953" s="8"/>
      <c r="E953" s="7" t="str">
        <f>IF(B953="","",IFERROR(INDEX(Reactivos!$H$2:$H$435,MATCH(B953,Reactivos!$A$2:$A$435,0)),""))</f>
        <v/>
      </c>
      <c r="F953" s="8"/>
      <c r="G953" s="8"/>
      <c r="H953" s="13"/>
    </row>
    <row r="954" spans="1:8" x14ac:dyDescent="0.3">
      <c r="A954" s="11"/>
      <c r="B954" s="8"/>
      <c r="C954" s="7" t="str">
        <f>IF(B954="","",IFERROR(INDEX(Reactivos!$D$2:$D$435,MATCH(B954,Reactivos!$A$2:$A$435,0)),"ID no existe"))</f>
        <v/>
      </c>
      <c r="D954" s="8"/>
      <c r="E954" s="7" t="str">
        <f>IF(B954="","",IFERROR(INDEX(Reactivos!$H$2:$H$435,MATCH(B954,Reactivos!$A$2:$A$435,0)),""))</f>
        <v/>
      </c>
      <c r="F954" s="8"/>
      <c r="G954" s="8"/>
      <c r="H954" s="13"/>
    </row>
    <row r="955" spans="1:8" x14ac:dyDescent="0.3">
      <c r="A955" s="11"/>
      <c r="B955" s="8"/>
      <c r="C955" s="7" t="str">
        <f>IF(B955="","",IFERROR(INDEX(Reactivos!$D$2:$D$435,MATCH(B955,Reactivos!$A$2:$A$435,0)),"ID no existe"))</f>
        <v/>
      </c>
      <c r="D955" s="8"/>
      <c r="E955" s="7" t="str">
        <f>IF(B955="","",IFERROR(INDEX(Reactivos!$H$2:$H$435,MATCH(B955,Reactivos!$A$2:$A$435,0)),""))</f>
        <v/>
      </c>
      <c r="F955" s="8"/>
      <c r="G955" s="8"/>
      <c r="H955" s="13"/>
    </row>
    <row r="956" spans="1:8" x14ac:dyDescent="0.3">
      <c r="A956" s="11"/>
      <c r="B956" s="8"/>
      <c r="C956" s="7" t="str">
        <f>IF(B956="","",IFERROR(INDEX(Reactivos!$D$2:$D$435,MATCH(B956,Reactivos!$A$2:$A$435,0)),"ID no existe"))</f>
        <v/>
      </c>
      <c r="D956" s="8"/>
      <c r="E956" s="7" t="str">
        <f>IF(B956="","",IFERROR(INDEX(Reactivos!$H$2:$H$435,MATCH(B956,Reactivos!$A$2:$A$435,0)),""))</f>
        <v/>
      </c>
      <c r="F956" s="8"/>
      <c r="G956" s="8"/>
      <c r="H956" s="13"/>
    </row>
    <row r="957" spans="1:8" x14ac:dyDescent="0.3">
      <c r="A957" s="11"/>
      <c r="B957" s="8"/>
      <c r="C957" s="7" t="str">
        <f>IF(B957="","",IFERROR(INDEX(Reactivos!$D$2:$D$435,MATCH(B957,Reactivos!$A$2:$A$435,0)),"ID no existe"))</f>
        <v/>
      </c>
      <c r="D957" s="8"/>
      <c r="E957" s="7" t="str">
        <f>IF(B957="","",IFERROR(INDEX(Reactivos!$H$2:$H$435,MATCH(B957,Reactivos!$A$2:$A$435,0)),""))</f>
        <v/>
      </c>
      <c r="F957" s="8"/>
      <c r="G957" s="8"/>
      <c r="H957" s="13"/>
    </row>
    <row r="958" spans="1:8" x14ac:dyDescent="0.3">
      <c r="A958" s="11"/>
      <c r="B958" s="8"/>
      <c r="C958" s="7" t="str">
        <f>IF(B958="","",IFERROR(INDEX(Reactivos!$D$2:$D$435,MATCH(B958,Reactivos!$A$2:$A$435,0)),"ID no existe"))</f>
        <v/>
      </c>
      <c r="D958" s="8"/>
      <c r="E958" s="7" t="str">
        <f>IF(B958="","",IFERROR(INDEX(Reactivos!$H$2:$H$435,MATCH(B958,Reactivos!$A$2:$A$435,0)),""))</f>
        <v/>
      </c>
      <c r="F958" s="8"/>
      <c r="G958" s="8"/>
      <c r="H958" s="13"/>
    </row>
    <row r="959" spans="1:8" x14ac:dyDescent="0.3">
      <c r="A959" s="11"/>
      <c r="B959" s="8"/>
      <c r="C959" s="7" t="str">
        <f>IF(B959="","",IFERROR(INDEX(Reactivos!$D$2:$D$435,MATCH(B959,Reactivos!$A$2:$A$435,0)),"ID no existe"))</f>
        <v/>
      </c>
      <c r="D959" s="8"/>
      <c r="E959" s="7" t="str">
        <f>IF(B959="","",IFERROR(INDEX(Reactivos!$H$2:$H$435,MATCH(B959,Reactivos!$A$2:$A$435,0)),""))</f>
        <v/>
      </c>
      <c r="F959" s="8"/>
      <c r="G959" s="8"/>
      <c r="H959" s="13"/>
    </row>
    <row r="960" spans="1:8" x14ac:dyDescent="0.3">
      <c r="A960" s="11"/>
      <c r="B960" s="8"/>
      <c r="C960" s="7" t="str">
        <f>IF(B960="","",IFERROR(INDEX(Reactivos!$D$2:$D$435,MATCH(B960,Reactivos!$A$2:$A$435,0)),"ID no existe"))</f>
        <v/>
      </c>
      <c r="D960" s="8"/>
      <c r="E960" s="7" t="str">
        <f>IF(B960="","",IFERROR(INDEX(Reactivos!$H$2:$H$435,MATCH(B960,Reactivos!$A$2:$A$435,0)),""))</f>
        <v/>
      </c>
      <c r="F960" s="8"/>
      <c r="G960" s="8"/>
      <c r="H960" s="13"/>
    </row>
    <row r="961" spans="1:8" x14ac:dyDescent="0.3">
      <c r="A961" s="11"/>
      <c r="B961" s="8"/>
      <c r="C961" s="7" t="str">
        <f>IF(B961="","",IFERROR(INDEX(Reactivos!$D$2:$D$435,MATCH(B961,Reactivos!$A$2:$A$435,0)),"ID no existe"))</f>
        <v/>
      </c>
      <c r="D961" s="8"/>
      <c r="E961" s="7" t="str">
        <f>IF(B961="","",IFERROR(INDEX(Reactivos!$H$2:$H$435,MATCH(B961,Reactivos!$A$2:$A$435,0)),""))</f>
        <v/>
      </c>
      <c r="F961" s="8"/>
      <c r="G961" s="8"/>
      <c r="H961" s="13"/>
    </row>
    <row r="962" spans="1:8" x14ac:dyDescent="0.3">
      <c r="A962" s="11"/>
      <c r="B962" s="8"/>
      <c r="C962" s="7" t="str">
        <f>IF(B962="","",IFERROR(INDEX(Reactivos!$D$2:$D$435,MATCH(B962,Reactivos!$A$2:$A$435,0)),"ID no existe"))</f>
        <v/>
      </c>
      <c r="D962" s="8"/>
      <c r="E962" s="7" t="str">
        <f>IF(B962="","",IFERROR(INDEX(Reactivos!$H$2:$H$435,MATCH(B962,Reactivos!$A$2:$A$435,0)),""))</f>
        <v/>
      </c>
      <c r="F962" s="8"/>
      <c r="G962" s="8"/>
      <c r="H962" s="13"/>
    </row>
    <row r="963" spans="1:8" x14ac:dyDescent="0.3">
      <c r="A963" s="11"/>
      <c r="B963" s="8"/>
      <c r="C963" s="7" t="str">
        <f>IF(B963="","",IFERROR(INDEX(Reactivos!$D$2:$D$435,MATCH(B963,Reactivos!$A$2:$A$435,0)),"ID no existe"))</f>
        <v/>
      </c>
      <c r="D963" s="8"/>
      <c r="E963" s="7" t="str">
        <f>IF(B963="","",IFERROR(INDEX(Reactivos!$H$2:$H$435,MATCH(B963,Reactivos!$A$2:$A$435,0)),""))</f>
        <v/>
      </c>
      <c r="F963" s="8"/>
      <c r="G963" s="8"/>
      <c r="H963" s="13"/>
    </row>
    <row r="964" spans="1:8" x14ac:dyDescent="0.3">
      <c r="A964" s="11"/>
      <c r="B964" s="8"/>
      <c r="C964" s="7" t="str">
        <f>IF(B964="","",IFERROR(INDEX(Reactivos!$D$2:$D$435,MATCH(B964,Reactivos!$A$2:$A$435,0)),"ID no existe"))</f>
        <v/>
      </c>
      <c r="D964" s="8"/>
      <c r="E964" s="7" t="str">
        <f>IF(B964="","",IFERROR(INDEX(Reactivos!$H$2:$H$435,MATCH(B964,Reactivos!$A$2:$A$435,0)),""))</f>
        <v/>
      </c>
      <c r="F964" s="8"/>
      <c r="G964" s="8"/>
      <c r="H964" s="13"/>
    </row>
    <row r="965" spans="1:8" x14ac:dyDescent="0.3">
      <c r="A965" s="11"/>
      <c r="B965" s="8"/>
      <c r="C965" s="7" t="str">
        <f>IF(B965="","",IFERROR(INDEX(Reactivos!$D$2:$D$435,MATCH(B965,Reactivos!$A$2:$A$435,0)),"ID no existe"))</f>
        <v/>
      </c>
      <c r="D965" s="8"/>
      <c r="E965" s="7" t="str">
        <f>IF(B965="","",IFERROR(INDEX(Reactivos!$H$2:$H$435,MATCH(B965,Reactivos!$A$2:$A$435,0)),""))</f>
        <v/>
      </c>
      <c r="F965" s="8"/>
      <c r="G965" s="8"/>
      <c r="H965" s="13"/>
    </row>
    <row r="966" spans="1:8" x14ac:dyDescent="0.3">
      <c r="A966" s="11"/>
      <c r="B966" s="8"/>
      <c r="C966" s="7" t="str">
        <f>IF(B966="","",IFERROR(INDEX(Reactivos!$D$2:$D$435,MATCH(B966,Reactivos!$A$2:$A$435,0)),"ID no existe"))</f>
        <v/>
      </c>
      <c r="D966" s="8"/>
      <c r="E966" s="7" t="str">
        <f>IF(B966="","",IFERROR(INDEX(Reactivos!$H$2:$H$435,MATCH(B966,Reactivos!$A$2:$A$435,0)),""))</f>
        <v/>
      </c>
      <c r="F966" s="8"/>
      <c r="G966" s="8"/>
      <c r="H966" s="13"/>
    </row>
    <row r="967" spans="1:8" x14ac:dyDescent="0.3">
      <c r="A967" s="11"/>
      <c r="B967" s="8"/>
      <c r="C967" s="7" t="str">
        <f>IF(B967="","",IFERROR(INDEX(Reactivos!$D$2:$D$435,MATCH(B967,Reactivos!$A$2:$A$435,0)),"ID no existe"))</f>
        <v/>
      </c>
      <c r="D967" s="8"/>
      <c r="E967" s="7" t="str">
        <f>IF(B967="","",IFERROR(INDEX(Reactivos!$H$2:$H$435,MATCH(B967,Reactivos!$A$2:$A$435,0)),""))</f>
        <v/>
      </c>
      <c r="F967" s="8"/>
      <c r="G967" s="8"/>
      <c r="H967" s="13"/>
    </row>
    <row r="968" spans="1:8" x14ac:dyDescent="0.3">
      <c r="A968" s="11"/>
      <c r="B968" s="8"/>
      <c r="C968" s="7" t="str">
        <f>IF(B968="","",IFERROR(INDEX(Reactivos!$D$2:$D$435,MATCH(B968,Reactivos!$A$2:$A$435,0)),"ID no existe"))</f>
        <v/>
      </c>
      <c r="D968" s="8"/>
      <c r="E968" s="7" t="str">
        <f>IF(B968="","",IFERROR(INDEX(Reactivos!$H$2:$H$435,MATCH(B968,Reactivos!$A$2:$A$435,0)),""))</f>
        <v/>
      </c>
      <c r="F968" s="8"/>
      <c r="G968" s="8"/>
      <c r="H968" s="13"/>
    </row>
    <row r="969" spans="1:8" x14ac:dyDescent="0.3">
      <c r="A969" s="11"/>
      <c r="B969" s="8"/>
      <c r="C969" s="7" t="str">
        <f>IF(B969="","",IFERROR(INDEX(Reactivos!$D$2:$D$435,MATCH(B969,Reactivos!$A$2:$A$435,0)),"ID no existe"))</f>
        <v/>
      </c>
      <c r="D969" s="8"/>
      <c r="E969" s="7" t="str">
        <f>IF(B969="","",IFERROR(INDEX(Reactivos!$H$2:$H$435,MATCH(B969,Reactivos!$A$2:$A$435,0)),""))</f>
        <v/>
      </c>
      <c r="F969" s="8"/>
      <c r="G969" s="8"/>
      <c r="H969" s="13"/>
    </row>
    <row r="970" spans="1:8" x14ac:dyDescent="0.3">
      <c r="A970" s="11"/>
      <c r="B970" s="8"/>
      <c r="C970" s="7" t="str">
        <f>IF(B970="","",IFERROR(INDEX(Reactivos!$D$2:$D$435,MATCH(B970,Reactivos!$A$2:$A$435,0)),"ID no existe"))</f>
        <v/>
      </c>
      <c r="D970" s="8"/>
      <c r="E970" s="7" t="str">
        <f>IF(B970="","",IFERROR(INDEX(Reactivos!$H$2:$H$435,MATCH(B970,Reactivos!$A$2:$A$435,0)),""))</f>
        <v/>
      </c>
      <c r="F970" s="8"/>
      <c r="G970" s="8"/>
      <c r="H970" s="13"/>
    </row>
    <row r="971" spans="1:8" x14ac:dyDescent="0.3">
      <c r="A971" s="11"/>
      <c r="B971" s="8"/>
      <c r="C971" s="7" t="str">
        <f>IF(B971="","",IFERROR(INDEX(Reactivos!$D$2:$D$435,MATCH(B971,Reactivos!$A$2:$A$435,0)),"ID no existe"))</f>
        <v/>
      </c>
      <c r="D971" s="8"/>
      <c r="E971" s="7" t="str">
        <f>IF(B971="","",IFERROR(INDEX(Reactivos!$H$2:$H$435,MATCH(B971,Reactivos!$A$2:$A$435,0)),""))</f>
        <v/>
      </c>
      <c r="F971" s="8"/>
      <c r="G971" s="8"/>
      <c r="H971" s="13"/>
    </row>
    <row r="972" spans="1:8" x14ac:dyDescent="0.3">
      <c r="A972" s="11"/>
      <c r="B972" s="8"/>
      <c r="C972" s="7" t="str">
        <f>IF(B972="","",IFERROR(INDEX(Reactivos!$D$2:$D$435,MATCH(B972,Reactivos!$A$2:$A$435,0)),"ID no existe"))</f>
        <v/>
      </c>
      <c r="D972" s="8"/>
      <c r="E972" s="7" t="str">
        <f>IF(B972="","",IFERROR(INDEX(Reactivos!$H$2:$H$435,MATCH(B972,Reactivos!$A$2:$A$435,0)),""))</f>
        <v/>
      </c>
      <c r="F972" s="8"/>
      <c r="G972" s="8"/>
      <c r="H972" s="13"/>
    </row>
    <row r="973" spans="1:8" x14ac:dyDescent="0.3">
      <c r="A973" s="11"/>
      <c r="B973" s="8"/>
      <c r="C973" s="7" t="str">
        <f>IF(B973="","",IFERROR(INDEX(Reactivos!$D$2:$D$435,MATCH(B973,Reactivos!$A$2:$A$435,0)),"ID no existe"))</f>
        <v/>
      </c>
      <c r="D973" s="8"/>
      <c r="E973" s="7" t="str">
        <f>IF(B973="","",IFERROR(INDEX(Reactivos!$H$2:$H$435,MATCH(B973,Reactivos!$A$2:$A$435,0)),""))</f>
        <v/>
      </c>
      <c r="F973" s="8"/>
      <c r="G973" s="8"/>
      <c r="H973" s="13"/>
    </row>
    <row r="974" spans="1:8" x14ac:dyDescent="0.3">
      <c r="A974" s="11"/>
      <c r="B974" s="8"/>
      <c r="C974" s="7" t="str">
        <f>IF(B974="","",IFERROR(INDEX(Reactivos!$D$2:$D$435,MATCH(B974,Reactivos!$A$2:$A$435,0)),"ID no existe"))</f>
        <v/>
      </c>
      <c r="D974" s="8"/>
      <c r="E974" s="7" t="str">
        <f>IF(B974="","",IFERROR(INDEX(Reactivos!$H$2:$H$435,MATCH(B974,Reactivos!$A$2:$A$435,0)),""))</f>
        <v/>
      </c>
      <c r="F974" s="8"/>
      <c r="G974" s="8"/>
      <c r="H974" s="13"/>
    </row>
    <row r="975" spans="1:8" x14ac:dyDescent="0.3">
      <c r="A975" s="11"/>
      <c r="B975" s="8"/>
      <c r="C975" s="7" t="str">
        <f>IF(B975="","",IFERROR(INDEX(Reactivos!$D$2:$D$435,MATCH(B975,Reactivos!$A$2:$A$435,0)),"ID no existe"))</f>
        <v/>
      </c>
      <c r="D975" s="8"/>
      <c r="E975" s="7" t="str">
        <f>IF(B975="","",IFERROR(INDEX(Reactivos!$H$2:$H$435,MATCH(B975,Reactivos!$A$2:$A$435,0)),""))</f>
        <v/>
      </c>
      <c r="F975" s="8"/>
      <c r="G975" s="8"/>
      <c r="H975" s="13"/>
    </row>
    <row r="976" spans="1:8" x14ac:dyDescent="0.3">
      <c r="A976" s="11"/>
      <c r="B976" s="8"/>
      <c r="C976" s="7" t="str">
        <f>IF(B976="","",IFERROR(INDEX(Reactivos!$D$2:$D$435,MATCH(B976,Reactivos!$A$2:$A$435,0)),"ID no existe"))</f>
        <v/>
      </c>
      <c r="D976" s="8"/>
      <c r="E976" s="7" t="str">
        <f>IF(B976="","",IFERROR(INDEX(Reactivos!$H$2:$H$435,MATCH(B976,Reactivos!$A$2:$A$435,0)),""))</f>
        <v/>
      </c>
      <c r="F976" s="8"/>
      <c r="G976" s="8"/>
      <c r="H976" s="13"/>
    </row>
    <row r="977" spans="1:8" x14ac:dyDescent="0.3">
      <c r="A977" s="11"/>
      <c r="B977" s="8"/>
      <c r="C977" s="7" t="str">
        <f>IF(B977="","",IFERROR(INDEX(Reactivos!$D$2:$D$435,MATCH(B977,Reactivos!$A$2:$A$435,0)),"ID no existe"))</f>
        <v/>
      </c>
      <c r="D977" s="8"/>
      <c r="E977" s="7" t="str">
        <f>IF(B977="","",IFERROR(INDEX(Reactivos!$H$2:$H$435,MATCH(B977,Reactivos!$A$2:$A$435,0)),""))</f>
        <v/>
      </c>
      <c r="F977" s="8"/>
      <c r="G977" s="8"/>
      <c r="H977" s="13"/>
    </row>
    <row r="978" spans="1:8" x14ac:dyDescent="0.3">
      <c r="A978" s="11"/>
      <c r="B978" s="8"/>
      <c r="C978" s="7" t="str">
        <f>IF(B978="","",IFERROR(INDEX(Reactivos!$D$2:$D$435,MATCH(B978,Reactivos!$A$2:$A$435,0)),"ID no existe"))</f>
        <v/>
      </c>
      <c r="D978" s="8"/>
      <c r="E978" s="7" t="str">
        <f>IF(B978="","",IFERROR(INDEX(Reactivos!$H$2:$H$435,MATCH(B978,Reactivos!$A$2:$A$435,0)),""))</f>
        <v/>
      </c>
      <c r="F978" s="8"/>
      <c r="G978" s="8"/>
      <c r="H978" s="13"/>
    </row>
    <row r="979" spans="1:8" x14ac:dyDescent="0.3">
      <c r="A979" s="11"/>
      <c r="B979" s="8"/>
      <c r="C979" s="7" t="str">
        <f>IF(B979="","",IFERROR(INDEX(Reactivos!$D$2:$D$435,MATCH(B979,Reactivos!$A$2:$A$435,0)),"ID no existe"))</f>
        <v/>
      </c>
      <c r="D979" s="8"/>
      <c r="E979" s="7" t="str">
        <f>IF(B979="","",IFERROR(INDEX(Reactivos!$H$2:$H$435,MATCH(B979,Reactivos!$A$2:$A$435,0)),""))</f>
        <v/>
      </c>
      <c r="F979" s="8"/>
      <c r="G979" s="8"/>
      <c r="H979" s="13"/>
    </row>
    <row r="980" spans="1:8" x14ac:dyDescent="0.3">
      <c r="A980" s="11"/>
      <c r="B980" s="8"/>
      <c r="C980" s="7" t="str">
        <f>IF(B980="","",IFERROR(INDEX(Reactivos!$D$2:$D$435,MATCH(B980,Reactivos!$A$2:$A$435,0)),"ID no existe"))</f>
        <v/>
      </c>
      <c r="D980" s="8"/>
      <c r="E980" s="7" t="str">
        <f>IF(B980="","",IFERROR(INDEX(Reactivos!$H$2:$H$435,MATCH(B980,Reactivos!$A$2:$A$435,0)),""))</f>
        <v/>
      </c>
      <c r="F980" s="8"/>
      <c r="G980" s="8"/>
      <c r="H980" s="13"/>
    </row>
    <row r="981" spans="1:8" x14ac:dyDescent="0.3">
      <c r="A981" s="11"/>
      <c r="B981" s="8"/>
      <c r="C981" s="7" t="str">
        <f>IF(B981="","",IFERROR(INDEX(Reactivos!$D$2:$D$435,MATCH(B981,Reactivos!$A$2:$A$435,0)),"ID no existe"))</f>
        <v/>
      </c>
      <c r="D981" s="8"/>
      <c r="E981" s="7" t="str">
        <f>IF(B981="","",IFERROR(INDEX(Reactivos!$H$2:$H$435,MATCH(B981,Reactivos!$A$2:$A$435,0)),""))</f>
        <v/>
      </c>
      <c r="F981" s="8"/>
      <c r="G981" s="8"/>
      <c r="H981" s="13"/>
    </row>
    <row r="982" spans="1:8" x14ac:dyDescent="0.3">
      <c r="A982" s="11"/>
      <c r="B982" s="8"/>
      <c r="C982" s="7" t="str">
        <f>IF(B982="","",IFERROR(INDEX(Reactivos!$D$2:$D$435,MATCH(B982,Reactivos!$A$2:$A$435,0)),"ID no existe"))</f>
        <v/>
      </c>
      <c r="D982" s="8"/>
      <c r="E982" s="7" t="str">
        <f>IF(B982="","",IFERROR(INDEX(Reactivos!$H$2:$H$435,MATCH(B982,Reactivos!$A$2:$A$435,0)),""))</f>
        <v/>
      </c>
      <c r="F982" s="8"/>
      <c r="G982" s="8"/>
      <c r="H982" s="13"/>
    </row>
    <row r="983" spans="1:8" x14ac:dyDescent="0.3">
      <c r="A983" s="11"/>
      <c r="B983" s="8"/>
      <c r="C983" s="7" t="str">
        <f>IF(B983="","",IFERROR(INDEX(Reactivos!$D$2:$D$435,MATCH(B983,Reactivos!$A$2:$A$435,0)),"ID no existe"))</f>
        <v/>
      </c>
      <c r="D983" s="8"/>
      <c r="E983" s="7" t="str">
        <f>IF(B983="","",IFERROR(INDEX(Reactivos!$H$2:$H$435,MATCH(B983,Reactivos!$A$2:$A$435,0)),""))</f>
        <v/>
      </c>
      <c r="F983" s="8"/>
      <c r="G983" s="8"/>
      <c r="H983" s="13"/>
    </row>
    <row r="984" spans="1:8" x14ac:dyDescent="0.3">
      <c r="A984" s="11"/>
      <c r="B984" s="8"/>
      <c r="C984" s="7" t="str">
        <f>IF(B984="","",IFERROR(INDEX(Reactivos!$D$2:$D$435,MATCH(B984,Reactivos!$A$2:$A$435,0)),"ID no existe"))</f>
        <v/>
      </c>
      <c r="D984" s="8"/>
      <c r="E984" s="7" t="str">
        <f>IF(B984="","",IFERROR(INDEX(Reactivos!$H$2:$H$435,MATCH(B984,Reactivos!$A$2:$A$435,0)),""))</f>
        <v/>
      </c>
      <c r="F984" s="8"/>
      <c r="G984" s="8"/>
      <c r="H984" s="13"/>
    </row>
    <row r="985" spans="1:8" x14ac:dyDescent="0.3">
      <c r="A985" s="11"/>
      <c r="B985" s="8"/>
      <c r="C985" s="7" t="str">
        <f>IF(B985="","",IFERROR(INDEX(Reactivos!$D$2:$D$435,MATCH(B985,Reactivos!$A$2:$A$435,0)),"ID no existe"))</f>
        <v/>
      </c>
      <c r="D985" s="8"/>
      <c r="E985" s="7" t="str">
        <f>IF(B985="","",IFERROR(INDEX(Reactivos!$H$2:$H$435,MATCH(B985,Reactivos!$A$2:$A$435,0)),""))</f>
        <v/>
      </c>
      <c r="F985" s="8"/>
      <c r="G985" s="8"/>
      <c r="H985" s="13"/>
    </row>
    <row r="986" spans="1:8" x14ac:dyDescent="0.3">
      <c r="A986" s="11"/>
      <c r="B986" s="8"/>
      <c r="C986" s="7" t="str">
        <f>IF(B986="","",IFERROR(INDEX(Reactivos!$D$2:$D$435,MATCH(B986,Reactivos!$A$2:$A$435,0)),"ID no existe"))</f>
        <v/>
      </c>
      <c r="D986" s="8"/>
      <c r="E986" s="7" t="str">
        <f>IF(B986="","",IFERROR(INDEX(Reactivos!$H$2:$H$435,MATCH(B986,Reactivos!$A$2:$A$435,0)),""))</f>
        <v/>
      </c>
      <c r="F986" s="8"/>
      <c r="G986" s="8"/>
      <c r="H986" s="13"/>
    </row>
    <row r="987" spans="1:8" x14ac:dyDescent="0.3">
      <c r="A987" s="11"/>
      <c r="B987" s="8"/>
      <c r="C987" s="7" t="str">
        <f>IF(B987="","",IFERROR(INDEX(Reactivos!$D$2:$D$435,MATCH(B987,Reactivos!$A$2:$A$435,0)),"ID no existe"))</f>
        <v/>
      </c>
      <c r="D987" s="8"/>
      <c r="E987" s="7" t="str">
        <f>IF(B987="","",IFERROR(INDEX(Reactivos!$H$2:$H$435,MATCH(B987,Reactivos!$A$2:$A$435,0)),""))</f>
        <v/>
      </c>
      <c r="F987" s="8"/>
      <c r="G987" s="8"/>
      <c r="H987" s="13"/>
    </row>
    <row r="988" spans="1:8" x14ac:dyDescent="0.3">
      <c r="A988" s="11"/>
      <c r="B988" s="8"/>
      <c r="C988" s="7" t="str">
        <f>IF(B988="","",IFERROR(INDEX(Reactivos!$D$2:$D$435,MATCH(B988,Reactivos!$A$2:$A$435,0)),"ID no existe"))</f>
        <v/>
      </c>
      <c r="D988" s="8"/>
      <c r="E988" s="7" t="str">
        <f>IF(B988="","",IFERROR(INDEX(Reactivos!$H$2:$H$435,MATCH(B988,Reactivos!$A$2:$A$435,0)),""))</f>
        <v/>
      </c>
      <c r="F988" s="8"/>
      <c r="G988" s="8"/>
      <c r="H988" s="13"/>
    </row>
    <row r="989" spans="1:8" x14ac:dyDescent="0.3">
      <c r="A989" s="11"/>
      <c r="B989" s="8"/>
      <c r="C989" s="7" t="str">
        <f>IF(B989="","",IFERROR(INDEX(Reactivos!$D$2:$D$435,MATCH(B989,Reactivos!$A$2:$A$435,0)),"ID no existe"))</f>
        <v/>
      </c>
      <c r="D989" s="8"/>
      <c r="E989" s="7" t="str">
        <f>IF(B989="","",IFERROR(INDEX(Reactivos!$H$2:$H$435,MATCH(B989,Reactivos!$A$2:$A$435,0)),""))</f>
        <v/>
      </c>
      <c r="F989" s="8"/>
      <c r="G989" s="8"/>
      <c r="H989" s="13"/>
    </row>
    <row r="990" spans="1:8" x14ac:dyDescent="0.3">
      <c r="A990" s="11"/>
      <c r="B990" s="8"/>
      <c r="C990" s="7" t="str">
        <f>IF(B990="","",IFERROR(INDEX(Reactivos!$D$2:$D$435,MATCH(B990,Reactivos!$A$2:$A$435,0)),"ID no existe"))</f>
        <v/>
      </c>
      <c r="D990" s="8"/>
      <c r="E990" s="7" t="str">
        <f>IF(B990="","",IFERROR(INDEX(Reactivos!$H$2:$H$435,MATCH(B990,Reactivos!$A$2:$A$435,0)),""))</f>
        <v/>
      </c>
      <c r="F990" s="8"/>
      <c r="G990" s="8"/>
      <c r="H990" s="13"/>
    </row>
    <row r="991" spans="1:8" x14ac:dyDescent="0.3">
      <c r="A991" s="11"/>
      <c r="B991" s="8"/>
      <c r="C991" s="7" t="str">
        <f>IF(B991="","",IFERROR(INDEX(Reactivos!$D$2:$D$435,MATCH(B991,Reactivos!$A$2:$A$435,0)),"ID no existe"))</f>
        <v/>
      </c>
      <c r="D991" s="8"/>
      <c r="E991" s="7" t="str">
        <f>IF(B991="","",IFERROR(INDEX(Reactivos!$H$2:$H$435,MATCH(B991,Reactivos!$A$2:$A$435,0)),""))</f>
        <v/>
      </c>
      <c r="F991" s="8"/>
      <c r="G991" s="8"/>
      <c r="H991" s="13"/>
    </row>
    <row r="992" spans="1:8" x14ac:dyDescent="0.3">
      <c r="A992" s="11"/>
      <c r="B992" s="8"/>
      <c r="C992" s="7" t="str">
        <f>IF(B992="","",IFERROR(INDEX(Reactivos!$D$2:$D$435,MATCH(B992,Reactivos!$A$2:$A$435,0)),"ID no existe"))</f>
        <v/>
      </c>
      <c r="D992" s="8"/>
      <c r="E992" s="7" t="str">
        <f>IF(B992="","",IFERROR(INDEX(Reactivos!$H$2:$H$435,MATCH(B992,Reactivos!$A$2:$A$435,0)),""))</f>
        <v/>
      </c>
      <c r="F992" s="8"/>
      <c r="G992" s="8"/>
      <c r="H992" s="13"/>
    </row>
    <row r="993" spans="1:8" x14ac:dyDescent="0.3">
      <c r="A993" s="11"/>
      <c r="B993" s="8"/>
      <c r="C993" s="7" t="str">
        <f>IF(B993="","",IFERROR(INDEX(Reactivos!$D$2:$D$435,MATCH(B993,Reactivos!$A$2:$A$435,0)),"ID no existe"))</f>
        <v/>
      </c>
      <c r="D993" s="8"/>
      <c r="E993" s="7" t="str">
        <f>IF(B993="","",IFERROR(INDEX(Reactivos!$H$2:$H$435,MATCH(B993,Reactivos!$A$2:$A$435,0)),""))</f>
        <v/>
      </c>
      <c r="F993" s="8"/>
      <c r="G993" s="8"/>
      <c r="H993" s="13"/>
    </row>
    <row r="994" spans="1:8" x14ac:dyDescent="0.3">
      <c r="A994" s="11"/>
      <c r="B994" s="8"/>
      <c r="C994" s="7" t="str">
        <f>IF(B994="","",IFERROR(INDEX(Reactivos!$D$2:$D$435,MATCH(B994,Reactivos!$A$2:$A$435,0)),"ID no existe"))</f>
        <v/>
      </c>
      <c r="D994" s="8"/>
      <c r="E994" s="7" t="str">
        <f>IF(B994="","",IFERROR(INDEX(Reactivos!$H$2:$H$435,MATCH(B994,Reactivos!$A$2:$A$435,0)),""))</f>
        <v/>
      </c>
      <c r="F994" s="8"/>
      <c r="G994" s="8"/>
      <c r="H994" s="13"/>
    </row>
    <row r="995" spans="1:8" x14ac:dyDescent="0.3">
      <c r="A995" s="11"/>
      <c r="B995" s="8"/>
      <c r="C995" s="7" t="str">
        <f>IF(B995="","",IFERROR(INDEX(Reactivos!$D$2:$D$435,MATCH(B995,Reactivos!$A$2:$A$435,0)),"ID no existe"))</f>
        <v/>
      </c>
      <c r="D995" s="8"/>
      <c r="E995" s="7" t="str">
        <f>IF(B995="","",IFERROR(INDEX(Reactivos!$H$2:$H$435,MATCH(B995,Reactivos!$A$2:$A$435,0)),""))</f>
        <v/>
      </c>
      <c r="F995" s="8"/>
      <c r="G995" s="8"/>
      <c r="H995" s="13"/>
    </row>
    <row r="996" spans="1:8" x14ac:dyDescent="0.3">
      <c r="A996" s="11"/>
      <c r="B996" s="8"/>
      <c r="C996" s="7" t="str">
        <f>IF(B996="","",IFERROR(INDEX(Reactivos!$D$2:$D$435,MATCH(B996,Reactivos!$A$2:$A$435,0)),"ID no existe"))</f>
        <v/>
      </c>
      <c r="D996" s="8"/>
      <c r="E996" s="7" t="str">
        <f>IF(B996="","",IFERROR(INDEX(Reactivos!$H$2:$H$435,MATCH(B996,Reactivos!$A$2:$A$435,0)),""))</f>
        <v/>
      </c>
      <c r="F996" s="8"/>
      <c r="G996" s="8"/>
      <c r="H996" s="13"/>
    </row>
    <row r="997" spans="1:8" x14ac:dyDescent="0.3">
      <c r="A997" s="11"/>
      <c r="B997" s="8"/>
      <c r="C997" s="7" t="str">
        <f>IF(B997="","",IFERROR(INDEX(Reactivos!$D$2:$D$435,MATCH(B997,Reactivos!$A$2:$A$435,0)),"ID no existe"))</f>
        <v/>
      </c>
      <c r="D997" s="8"/>
      <c r="E997" s="7" t="str">
        <f>IF(B997="","",IFERROR(INDEX(Reactivos!$H$2:$H$435,MATCH(B997,Reactivos!$A$2:$A$435,0)),""))</f>
        <v/>
      </c>
      <c r="F997" s="8"/>
      <c r="G997" s="8"/>
      <c r="H997" s="13"/>
    </row>
    <row r="998" spans="1:8" x14ac:dyDescent="0.3">
      <c r="A998" s="11"/>
      <c r="B998" s="8"/>
      <c r="C998" s="7" t="str">
        <f>IF(B998="","",IFERROR(INDEX(Reactivos!$D$2:$D$435,MATCH(B998,Reactivos!$A$2:$A$435,0)),"ID no existe"))</f>
        <v/>
      </c>
      <c r="D998" s="8"/>
      <c r="E998" s="7" t="str">
        <f>IF(B998="","",IFERROR(INDEX(Reactivos!$H$2:$H$435,MATCH(B998,Reactivos!$A$2:$A$435,0)),""))</f>
        <v/>
      </c>
      <c r="F998" s="8"/>
      <c r="G998" s="8"/>
      <c r="H998" s="13"/>
    </row>
    <row r="999" spans="1:8" x14ac:dyDescent="0.3">
      <c r="A999" s="11"/>
      <c r="B999" s="8"/>
      <c r="C999" s="7" t="str">
        <f>IF(B999="","",IFERROR(INDEX(Reactivos!$D$2:$D$435,MATCH(B999,Reactivos!$A$2:$A$435,0)),"ID no existe"))</f>
        <v/>
      </c>
      <c r="D999" s="8"/>
      <c r="E999" s="7" t="str">
        <f>IF(B999="","",IFERROR(INDEX(Reactivos!$H$2:$H$435,MATCH(B999,Reactivos!$A$2:$A$435,0)),""))</f>
        <v/>
      </c>
      <c r="F999" s="8"/>
      <c r="G999" s="8"/>
      <c r="H999" s="13"/>
    </row>
    <row r="1000" spans="1:8" x14ac:dyDescent="0.3">
      <c r="A1000" s="11"/>
      <c r="B1000" s="8"/>
      <c r="C1000" s="7" t="str">
        <f>IF(B1000="","",IFERROR(INDEX(Reactivos!$D$2:$D$435,MATCH(B1000,Reactivos!$A$2:$A$435,0)),"ID no existe"))</f>
        <v/>
      </c>
      <c r="D1000" s="8"/>
      <c r="E1000" s="7" t="str">
        <f>IF(B1000="","",IFERROR(INDEX(Reactivos!$H$2:$H$435,MATCH(B1000,Reactivos!$A$2:$A$435,0)),""))</f>
        <v/>
      </c>
      <c r="F1000" s="8"/>
      <c r="G1000" s="8"/>
      <c r="H1000" s="13"/>
    </row>
    <row r="1001" spans="1:8" x14ac:dyDescent="0.3">
      <c r="A1001" s="11"/>
      <c r="B1001" s="8"/>
      <c r="C1001" s="7" t="str">
        <f>IF(B1001="","",IFERROR(INDEX(Reactivos!$D$2:$D$435,MATCH(B1001,Reactivos!$A$2:$A$435,0)),"ID no existe"))</f>
        <v/>
      </c>
      <c r="D1001" s="8"/>
      <c r="E1001" s="7" t="str">
        <f>IF(B1001="","",IFERROR(INDEX(Reactivos!$H$2:$H$435,MATCH(B1001,Reactivos!$A$2:$A$435,0)),""))</f>
        <v/>
      </c>
      <c r="F1001" s="8"/>
      <c r="G1001" s="8"/>
      <c r="H1001" s="13"/>
    </row>
    <row r="1002" spans="1:8" x14ac:dyDescent="0.3">
      <c r="A1002" s="11"/>
      <c r="B1002" s="8"/>
      <c r="C1002" s="7" t="str">
        <f>IF(B1002="","",IFERROR(INDEX(Reactivos!$D$2:$D$435,MATCH(B1002,Reactivos!$A$2:$A$435,0)),"ID no existe"))</f>
        <v/>
      </c>
      <c r="D1002" s="8"/>
      <c r="E1002" s="7" t="str">
        <f>IF(B1002="","",IFERROR(INDEX(Reactivos!$H$2:$H$435,MATCH(B1002,Reactivos!$A$2:$A$435,0)),""))</f>
        <v/>
      </c>
      <c r="F1002" s="8"/>
      <c r="G1002" s="8"/>
      <c r="H1002" s="13"/>
    </row>
    <row r="1003" spans="1:8" x14ac:dyDescent="0.3">
      <c r="A1003" s="11"/>
      <c r="B1003" s="8"/>
      <c r="C1003" s="7" t="str">
        <f>IF(B1003="","",IFERROR(INDEX(Reactivos!$D$2:$D$435,MATCH(B1003,Reactivos!$A$2:$A$435,0)),"ID no existe"))</f>
        <v/>
      </c>
      <c r="D1003" s="8"/>
      <c r="E1003" s="7" t="str">
        <f>IF(B1003="","",IFERROR(INDEX(Reactivos!$H$2:$H$435,MATCH(B1003,Reactivos!$A$2:$A$435,0)),""))</f>
        <v/>
      </c>
      <c r="F1003" s="8"/>
      <c r="G1003" s="8"/>
      <c r="H1003" s="13"/>
    </row>
    <row r="1004" spans="1:8" x14ac:dyDescent="0.3">
      <c r="A1004" s="11"/>
      <c r="B1004" s="8"/>
      <c r="C1004" s="7" t="str">
        <f>IF(B1004="","",IFERROR(INDEX(Reactivos!$D$2:$D$435,MATCH(B1004,Reactivos!$A$2:$A$435,0)),"ID no existe"))</f>
        <v/>
      </c>
      <c r="D1004" s="8"/>
      <c r="E1004" s="7" t="str">
        <f>IF(B1004="","",IFERROR(INDEX(Reactivos!$H$2:$H$435,MATCH(B1004,Reactivos!$A$2:$A$435,0)),""))</f>
        <v/>
      </c>
      <c r="F1004" s="8"/>
      <c r="G1004" s="8"/>
      <c r="H1004" s="13"/>
    </row>
    <row r="1005" spans="1:8" x14ac:dyDescent="0.3">
      <c r="A1005" s="11"/>
      <c r="B1005" s="8"/>
      <c r="C1005" s="7" t="str">
        <f>IF(B1005="","",IFERROR(INDEX(Reactivos!$D$2:$D$435,MATCH(B1005,Reactivos!$A$2:$A$435,0)),"ID no existe"))</f>
        <v/>
      </c>
      <c r="D1005" s="8"/>
      <c r="E1005" s="7" t="str">
        <f>IF(B1005="","",IFERROR(INDEX(Reactivos!$H$2:$H$435,MATCH(B1005,Reactivos!$A$2:$A$435,0)),""))</f>
        <v/>
      </c>
      <c r="F1005" s="8"/>
      <c r="G1005" s="8"/>
      <c r="H1005" s="13"/>
    </row>
    <row r="1006" spans="1:8" x14ac:dyDescent="0.3">
      <c r="A1006" s="11"/>
      <c r="B1006" s="8"/>
      <c r="C1006" s="7" t="str">
        <f>IF(B1006="","",IFERROR(INDEX(Reactivos!$D$2:$D$435,MATCH(B1006,Reactivos!$A$2:$A$435,0)),"ID no existe"))</f>
        <v/>
      </c>
      <c r="D1006" s="8"/>
      <c r="E1006" s="7" t="str">
        <f>IF(B1006="","",IFERROR(INDEX(Reactivos!$H$2:$H$435,MATCH(B1006,Reactivos!$A$2:$A$435,0)),""))</f>
        <v/>
      </c>
      <c r="F1006" s="8"/>
      <c r="G1006" s="8"/>
      <c r="H1006" s="13"/>
    </row>
    <row r="1007" spans="1:8" x14ac:dyDescent="0.3">
      <c r="A1007" s="11"/>
      <c r="B1007" s="8"/>
      <c r="C1007" s="7" t="str">
        <f>IF(B1007="","",IFERROR(INDEX(Reactivos!$D$2:$D$435,MATCH(B1007,Reactivos!$A$2:$A$435,0)),"ID no existe"))</f>
        <v/>
      </c>
      <c r="D1007" s="8"/>
      <c r="E1007" s="7" t="str">
        <f>IF(B1007="","",IFERROR(INDEX(Reactivos!$H$2:$H$435,MATCH(B1007,Reactivos!$A$2:$A$435,0)),""))</f>
        <v/>
      </c>
      <c r="F1007" s="8"/>
      <c r="G1007" s="8"/>
      <c r="H1007" s="13"/>
    </row>
    <row r="1008" spans="1:8" x14ac:dyDescent="0.3">
      <c r="A1008" s="11"/>
      <c r="B1008" s="8"/>
      <c r="C1008" s="7" t="str">
        <f>IF(B1008="","",IFERROR(INDEX(Reactivos!$D$2:$D$435,MATCH(B1008,Reactivos!$A$2:$A$435,0)),"ID no existe"))</f>
        <v/>
      </c>
      <c r="D1008" s="8"/>
      <c r="E1008" s="7" t="str">
        <f>IF(B1008="","",IFERROR(INDEX(Reactivos!$H$2:$H$435,MATCH(B1008,Reactivos!$A$2:$A$435,0)),""))</f>
        <v/>
      </c>
      <c r="F1008" s="8"/>
      <c r="G1008" s="8"/>
      <c r="H1008" s="13"/>
    </row>
    <row r="1009" spans="1:8" x14ac:dyDescent="0.3">
      <c r="A1009" s="11"/>
      <c r="B1009" s="8"/>
      <c r="C1009" s="7" t="str">
        <f>IF(B1009="","",IFERROR(INDEX(Reactivos!$D$2:$D$435,MATCH(B1009,Reactivos!$A$2:$A$435,0)),"ID no existe"))</f>
        <v/>
      </c>
      <c r="D1009" s="8"/>
      <c r="E1009" s="7" t="str">
        <f>IF(B1009="","",IFERROR(INDEX(Reactivos!$H$2:$H$435,MATCH(B1009,Reactivos!$A$2:$A$435,0)),""))</f>
        <v/>
      </c>
      <c r="F1009" s="8"/>
      <c r="G1009" s="8"/>
      <c r="H1009" s="13"/>
    </row>
    <row r="1010" spans="1:8" x14ac:dyDescent="0.3">
      <c r="A1010" s="11"/>
      <c r="B1010" s="8"/>
      <c r="C1010" s="7" t="str">
        <f>IF(B1010="","",IFERROR(INDEX(Reactivos!$D$2:$D$435,MATCH(B1010,Reactivos!$A$2:$A$435,0)),"ID no existe"))</f>
        <v/>
      </c>
      <c r="D1010" s="8"/>
      <c r="E1010" s="7" t="str">
        <f>IF(B1010="","",IFERROR(INDEX(Reactivos!$H$2:$H$435,MATCH(B1010,Reactivos!$A$2:$A$435,0)),""))</f>
        <v/>
      </c>
      <c r="F1010" s="8"/>
      <c r="G1010" s="8"/>
      <c r="H1010" s="13"/>
    </row>
    <row r="1011" spans="1:8" x14ac:dyDescent="0.3">
      <c r="A1011" s="11"/>
      <c r="B1011" s="8"/>
      <c r="C1011" s="7" t="str">
        <f>IF(B1011="","",IFERROR(INDEX(Reactivos!$D$2:$D$435,MATCH(B1011,Reactivos!$A$2:$A$435,0)),"ID no existe"))</f>
        <v/>
      </c>
      <c r="D1011" s="8"/>
      <c r="E1011" s="7" t="str">
        <f>IF(B1011="","",IFERROR(INDEX(Reactivos!$H$2:$H$435,MATCH(B1011,Reactivos!$A$2:$A$435,0)),""))</f>
        <v/>
      </c>
      <c r="F1011" s="8"/>
      <c r="G1011" s="8"/>
      <c r="H1011" s="13"/>
    </row>
    <row r="1012" spans="1:8" x14ac:dyDescent="0.3">
      <c r="A1012" s="11"/>
      <c r="B1012" s="8"/>
      <c r="C1012" s="7" t="str">
        <f>IF(B1012="","",IFERROR(INDEX(Reactivos!$D$2:$D$435,MATCH(B1012,Reactivos!$A$2:$A$435,0)),"ID no existe"))</f>
        <v/>
      </c>
      <c r="D1012" s="8"/>
      <c r="E1012" s="7" t="str">
        <f>IF(B1012="","",IFERROR(INDEX(Reactivos!$H$2:$H$435,MATCH(B1012,Reactivos!$A$2:$A$435,0)),""))</f>
        <v/>
      </c>
      <c r="F1012" s="8"/>
      <c r="G1012" s="8"/>
      <c r="H1012" s="13"/>
    </row>
    <row r="1013" spans="1:8" x14ac:dyDescent="0.3">
      <c r="A1013" s="11"/>
      <c r="B1013" s="8"/>
      <c r="C1013" s="7" t="str">
        <f>IF(B1013="","",IFERROR(INDEX(Reactivos!$D$2:$D$435,MATCH(B1013,Reactivos!$A$2:$A$435,0)),"ID no existe"))</f>
        <v/>
      </c>
      <c r="D1013" s="8"/>
      <c r="E1013" s="7" t="str">
        <f>IF(B1013="","",IFERROR(INDEX(Reactivos!$H$2:$H$435,MATCH(B1013,Reactivos!$A$2:$A$435,0)),""))</f>
        <v/>
      </c>
      <c r="F1013" s="8"/>
      <c r="G1013" s="8"/>
      <c r="H1013" s="13"/>
    </row>
    <row r="1014" spans="1:8" x14ac:dyDescent="0.3">
      <c r="A1014" s="11"/>
      <c r="B1014" s="8"/>
      <c r="C1014" s="7" t="str">
        <f>IF(B1014="","",IFERROR(INDEX(Reactivos!$D$2:$D$435,MATCH(B1014,Reactivos!$A$2:$A$435,0)),"ID no existe"))</f>
        <v/>
      </c>
      <c r="D1014" s="8"/>
      <c r="E1014" s="7" t="str">
        <f>IF(B1014="","",IFERROR(INDEX(Reactivos!$H$2:$H$435,MATCH(B1014,Reactivos!$A$2:$A$435,0)),""))</f>
        <v/>
      </c>
      <c r="F1014" s="8"/>
      <c r="G1014" s="8"/>
      <c r="H1014" s="13"/>
    </row>
    <row r="1015" spans="1:8" x14ac:dyDescent="0.3">
      <c r="A1015" s="11"/>
      <c r="B1015" s="8"/>
      <c r="C1015" s="7" t="str">
        <f>IF(B1015="","",IFERROR(INDEX(Reactivos!$D$2:$D$435,MATCH(B1015,Reactivos!$A$2:$A$435,0)),"ID no existe"))</f>
        <v/>
      </c>
      <c r="D1015" s="8"/>
      <c r="E1015" s="7" t="str">
        <f>IF(B1015="","",IFERROR(INDEX(Reactivos!$H$2:$H$435,MATCH(B1015,Reactivos!$A$2:$A$435,0)),""))</f>
        <v/>
      </c>
      <c r="F1015" s="8"/>
      <c r="G1015" s="8"/>
      <c r="H1015" s="13"/>
    </row>
    <row r="1016" spans="1:8" x14ac:dyDescent="0.3">
      <c r="A1016" s="11"/>
      <c r="B1016" s="8"/>
      <c r="C1016" s="7" t="str">
        <f>IF(B1016="","",IFERROR(INDEX(Reactivos!$D$2:$D$435,MATCH(B1016,Reactivos!$A$2:$A$435,0)),"ID no existe"))</f>
        <v/>
      </c>
      <c r="D1016" s="8"/>
      <c r="E1016" s="7" t="str">
        <f>IF(B1016="","",IFERROR(INDEX(Reactivos!$H$2:$H$435,MATCH(B1016,Reactivos!$A$2:$A$435,0)),""))</f>
        <v/>
      </c>
      <c r="F1016" s="8"/>
      <c r="G1016" s="8"/>
      <c r="H1016" s="13"/>
    </row>
    <row r="1017" spans="1:8" x14ac:dyDescent="0.3">
      <c r="A1017" s="11"/>
      <c r="B1017" s="8"/>
      <c r="C1017" s="7" t="str">
        <f>IF(B1017="","",IFERROR(INDEX(Reactivos!$D$2:$D$435,MATCH(B1017,Reactivos!$A$2:$A$435,0)),"ID no existe"))</f>
        <v/>
      </c>
      <c r="D1017" s="8"/>
      <c r="E1017" s="7" t="str">
        <f>IF(B1017="","",IFERROR(INDEX(Reactivos!$H$2:$H$435,MATCH(B1017,Reactivos!$A$2:$A$435,0)),""))</f>
        <v/>
      </c>
      <c r="F1017" s="8"/>
      <c r="G1017" s="8"/>
      <c r="H1017" s="13"/>
    </row>
    <row r="1018" spans="1:8" x14ac:dyDescent="0.3">
      <c r="A1018" s="11"/>
      <c r="B1018" s="8"/>
      <c r="C1018" s="7" t="str">
        <f>IF(B1018="","",IFERROR(INDEX(Reactivos!$D$2:$D$435,MATCH(B1018,Reactivos!$A$2:$A$435,0)),"ID no existe"))</f>
        <v/>
      </c>
      <c r="D1018" s="8"/>
      <c r="E1018" s="7" t="str">
        <f>IF(B1018="","",IFERROR(INDEX(Reactivos!$H$2:$H$435,MATCH(B1018,Reactivos!$A$2:$A$435,0)),""))</f>
        <v/>
      </c>
      <c r="F1018" s="8"/>
      <c r="G1018" s="8"/>
      <c r="H1018" s="13"/>
    </row>
    <row r="1019" spans="1:8" x14ac:dyDescent="0.3">
      <c r="A1019" s="11"/>
      <c r="B1019" s="8"/>
      <c r="C1019" s="7" t="str">
        <f>IF(B1019="","",IFERROR(INDEX(Reactivos!$D$2:$D$435,MATCH(B1019,Reactivos!$A$2:$A$435,0)),"ID no existe"))</f>
        <v/>
      </c>
      <c r="D1019" s="8"/>
      <c r="E1019" s="7" t="str">
        <f>IF(B1019="","",IFERROR(INDEX(Reactivos!$H$2:$H$435,MATCH(B1019,Reactivos!$A$2:$A$435,0)),""))</f>
        <v/>
      </c>
      <c r="F1019" s="8"/>
      <c r="G1019" s="8"/>
      <c r="H1019" s="13"/>
    </row>
    <row r="1020" spans="1:8" x14ac:dyDescent="0.3">
      <c r="A1020" s="11"/>
      <c r="B1020" s="8"/>
      <c r="C1020" s="7" t="str">
        <f>IF(B1020="","",IFERROR(INDEX(Reactivos!$D$2:$D$435,MATCH(B1020,Reactivos!$A$2:$A$435,0)),"ID no existe"))</f>
        <v/>
      </c>
      <c r="D1020" s="8"/>
      <c r="E1020" s="7" t="str">
        <f>IF(B1020="","",IFERROR(INDEX(Reactivos!$H$2:$H$435,MATCH(B1020,Reactivos!$A$2:$A$435,0)),""))</f>
        <v/>
      </c>
      <c r="F1020" s="8"/>
      <c r="G1020" s="8"/>
      <c r="H1020" s="13"/>
    </row>
    <row r="1021" spans="1:8" x14ac:dyDescent="0.3">
      <c r="A1021" s="11"/>
      <c r="B1021" s="8"/>
      <c r="C1021" s="7" t="str">
        <f>IF(B1021="","",IFERROR(INDEX(Reactivos!$D$2:$D$435,MATCH(B1021,Reactivos!$A$2:$A$435,0)),"ID no existe"))</f>
        <v/>
      </c>
      <c r="D1021" s="8"/>
      <c r="E1021" s="7" t="str">
        <f>IF(B1021="","",IFERROR(INDEX(Reactivos!$H$2:$H$435,MATCH(B1021,Reactivos!$A$2:$A$435,0)),""))</f>
        <v/>
      </c>
      <c r="F1021" s="8"/>
      <c r="G1021" s="8"/>
      <c r="H1021" s="13"/>
    </row>
    <row r="1022" spans="1:8" x14ac:dyDescent="0.3">
      <c r="A1022" s="11"/>
      <c r="B1022" s="8"/>
      <c r="C1022" s="7" t="str">
        <f>IF(B1022="","",IFERROR(INDEX(Reactivos!$D$2:$D$435,MATCH(B1022,Reactivos!$A$2:$A$435,0)),"ID no existe"))</f>
        <v/>
      </c>
      <c r="D1022" s="8"/>
      <c r="E1022" s="7" t="str">
        <f>IF(B1022="","",IFERROR(INDEX(Reactivos!$H$2:$H$435,MATCH(B1022,Reactivos!$A$2:$A$435,0)),""))</f>
        <v/>
      </c>
      <c r="F1022" s="8"/>
      <c r="G1022" s="8"/>
      <c r="H1022" s="13"/>
    </row>
    <row r="1023" spans="1:8" x14ac:dyDescent="0.3">
      <c r="A1023" s="11"/>
      <c r="B1023" s="8"/>
      <c r="C1023" s="7" t="str">
        <f>IF(B1023="","",IFERROR(INDEX(Reactivos!$D$2:$D$435,MATCH(B1023,Reactivos!$A$2:$A$435,0)),"ID no existe"))</f>
        <v/>
      </c>
      <c r="D1023" s="8"/>
      <c r="E1023" s="7" t="str">
        <f>IF(B1023="","",IFERROR(INDEX(Reactivos!$H$2:$H$435,MATCH(B1023,Reactivos!$A$2:$A$435,0)),""))</f>
        <v/>
      </c>
      <c r="F1023" s="8"/>
      <c r="G1023" s="8"/>
      <c r="H1023" s="13"/>
    </row>
    <row r="1024" spans="1:8" x14ac:dyDescent="0.3">
      <c r="A1024" s="11"/>
      <c r="B1024" s="8"/>
      <c r="C1024" s="7" t="str">
        <f>IF(B1024="","",IFERROR(INDEX(Reactivos!$D$2:$D$435,MATCH(B1024,Reactivos!$A$2:$A$435,0)),"ID no existe"))</f>
        <v/>
      </c>
      <c r="D1024" s="8"/>
      <c r="E1024" s="7" t="str">
        <f>IF(B1024="","",IFERROR(INDEX(Reactivos!$H$2:$H$435,MATCH(B1024,Reactivos!$A$2:$A$435,0)),""))</f>
        <v/>
      </c>
      <c r="F1024" s="8"/>
      <c r="G1024" s="8"/>
      <c r="H1024" s="13"/>
    </row>
    <row r="1025" spans="1:8" x14ac:dyDescent="0.3">
      <c r="A1025" s="11"/>
      <c r="B1025" s="8"/>
      <c r="C1025" s="7" t="str">
        <f>IF(B1025="","",IFERROR(INDEX(Reactivos!$D$2:$D$435,MATCH(B1025,Reactivos!$A$2:$A$435,0)),"ID no existe"))</f>
        <v/>
      </c>
      <c r="D1025" s="8"/>
      <c r="E1025" s="7" t="str">
        <f>IF(B1025="","",IFERROR(INDEX(Reactivos!$H$2:$H$435,MATCH(B1025,Reactivos!$A$2:$A$435,0)),""))</f>
        <v/>
      </c>
      <c r="F1025" s="8"/>
      <c r="G1025" s="8"/>
      <c r="H1025" s="13"/>
    </row>
    <row r="1026" spans="1:8" x14ac:dyDescent="0.3">
      <c r="A1026" s="11"/>
      <c r="B1026" s="8"/>
      <c r="C1026" s="7" t="str">
        <f>IF(B1026="","",IFERROR(INDEX(Reactivos!$D$2:$D$435,MATCH(B1026,Reactivos!$A$2:$A$435,0)),"ID no existe"))</f>
        <v/>
      </c>
      <c r="D1026" s="8"/>
      <c r="E1026" s="7" t="str">
        <f>IF(B1026="","",IFERROR(INDEX(Reactivos!$H$2:$H$435,MATCH(B1026,Reactivos!$A$2:$A$435,0)),""))</f>
        <v/>
      </c>
      <c r="F1026" s="8"/>
      <c r="G1026" s="8"/>
      <c r="H1026" s="13"/>
    </row>
    <row r="1027" spans="1:8" x14ac:dyDescent="0.3">
      <c r="A1027" s="11"/>
      <c r="B1027" s="8"/>
      <c r="C1027" s="7" t="str">
        <f>IF(B1027="","",IFERROR(INDEX(Reactivos!$D$2:$D$435,MATCH(B1027,Reactivos!$A$2:$A$435,0)),"ID no existe"))</f>
        <v/>
      </c>
      <c r="D1027" s="8"/>
      <c r="E1027" s="7" t="str">
        <f>IF(B1027="","",IFERROR(INDEX(Reactivos!$H$2:$H$435,MATCH(B1027,Reactivos!$A$2:$A$435,0)),""))</f>
        <v/>
      </c>
      <c r="F1027" s="8"/>
      <c r="G1027" s="8"/>
      <c r="H1027" s="13"/>
    </row>
    <row r="1028" spans="1:8" x14ac:dyDescent="0.3">
      <c r="A1028" s="11"/>
      <c r="B1028" s="8"/>
      <c r="C1028" s="7" t="str">
        <f>IF(B1028="","",IFERROR(INDEX(Reactivos!$D$2:$D$435,MATCH(B1028,Reactivos!$A$2:$A$435,0)),"ID no existe"))</f>
        <v/>
      </c>
      <c r="D1028" s="8"/>
      <c r="E1028" s="7" t="str">
        <f>IF(B1028="","",IFERROR(INDEX(Reactivos!$H$2:$H$435,MATCH(B1028,Reactivos!$A$2:$A$435,0)),""))</f>
        <v/>
      </c>
      <c r="F1028" s="8"/>
      <c r="G1028" s="8"/>
      <c r="H1028" s="13"/>
    </row>
    <row r="1029" spans="1:8" x14ac:dyDescent="0.3">
      <c r="A1029" s="11"/>
      <c r="B1029" s="8"/>
      <c r="C1029" s="7" t="str">
        <f>IF(B1029="","",IFERROR(INDEX(Reactivos!$D$2:$D$435,MATCH(B1029,Reactivos!$A$2:$A$435,0)),"ID no existe"))</f>
        <v/>
      </c>
      <c r="D1029" s="8"/>
      <c r="E1029" s="7" t="str">
        <f>IF(B1029="","",IFERROR(INDEX(Reactivos!$H$2:$H$435,MATCH(B1029,Reactivos!$A$2:$A$435,0)),""))</f>
        <v/>
      </c>
      <c r="F1029" s="8"/>
      <c r="G1029" s="8"/>
      <c r="H1029" s="13"/>
    </row>
    <row r="1030" spans="1:8" x14ac:dyDescent="0.3">
      <c r="A1030" s="11"/>
      <c r="B1030" s="8"/>
      <c r="C1030" s="7" t="str">
        <f>IF(B1030="","",IFERROR(INDEX(Reactivos!$D$2:$D$435,MATCH(B1030,Reactivos!$A$2:$A$435,0)),"ID no existe"))</f>
        <v/>
      </c>
      <c r="D1030" s="8"/>
      <c r="E1030" s="7" t="str">
        <f>IF(B1030="","",IFERROR(INDEX(Reactivos!$H$2:$H$435,MATCH(B1030,Reactivos!$A$2:$A$435,0)),""))</f>
        <v/>
      </c>
      <c r="F1030" s="8"/>
      <c r="G1030" s="8"/>
      <c r="H1030" s="13"/>
    </row>
    <row r="1031" spans="1:8" x14ac:dyDescent="0.3">
      <c r="A1031" s="11"/>
      <c r="B1031" s="8"/>
      <c r="C1031" s="7" t="str">
        <f>IF(B1031="","",IFERROR(INDEX(Reactivos!$D$2:$D$435,MATCH(B1031,Reactivos!$A$2:$A$435,0)),"ID no existe"))</f>
        <v/>
      </c>
      <c r="D1031" s="8"/>
      <c r="E1031" s="7" t="str">
        <f>IF(B1031="","",IFERROR(INDEX(Reactivos!$H$2:$H$435,MATCH(B1031,Reactivos!$A$2:$A$435,0)),""))</f>
        <v/>
      </c>
      <c r="F1031" s="8"/>
      <c r="G1031" s="8"/>
      <c r="H1031" s="13"/>
    </row>
    <row r="1032" spans="1:8" x14ac:dyDescent="0.3">
      <c r="A1032" s="11"/>
      <c r="B1032" s="8"/>
      <c r="C1032" s="7" t="str">
        <f>IF(B1032="","",IFERROR(INDEX(Reactivos!$D$2:$D$435,MATCH(B1032,Reactivos!$A$2:$A$435,0)),"ID no existe"))</f>
        <v/>
      </c>
      <c r="D1032" s="8"/>
      <c r="E1032" s="7" t="str">
        <f>IF(B1032="","",IFERROR(INDEX(Reactivos!$H$2:$H$435,MATCH(B1032,Reactivos!$A$2:$A$435,0)),""))</f>
        <v/>
      </c>
      <c r="F1032" s="8"/>
      <c r="G1032" s="8"/>
      <c r="H1032" s="13"/>
    </row>
    <row r="1033" spans="1:8" x14ac:dyDescent="0.3">
      <c r="A1033" s="11"/>
      <c r="B1033" s="8"/>
      <c r="C1033" s="7" t="str">
        <f>IF(B1033="","",IFERROR(INDEX(Reactivos!$D$2:$D$435,MATCH(B1033,Reactivos!$A$2:$A$435,0)),"ID no existe"))</f>
        <v/>
      </c>
      <c r="D1033" s="8"/>
      <c r="E1033" s="7" t="str">
        <f>IF(B1033="","",IFERROR(INDEX(Reactivos!$H$2:$H$435,MATCH(B1033,Reactivos!$A$2:$A$435,0)),""))</f>
        <v/>
      </c>
      <c r="F1033" s="8"/>
      <c r="G1033" s="8"/>
      <c r="H1033" s="13"/>
    </row>
    <row r="1034" spans="1:8" x14ac:dyDescent="0.3">
      <c r="A1034" s="11"/>
      <c r="B1034" s="8"/>
      <c r="C1034" s="7" t="str">
        <f>IF(B1034="","",IFERROR(INDEX(Reactivos!$D$2:$D$435,MATCH(B1034,Reactivos!$A$2:$A$435,0)),"ID no existe"))</f>
        <v/>
      </c>
      <c r="D1034" s="8"/>
      <c r="E1034" s="7" t="str">
        <f>IF(B1034="","",IFERROR(INDEX(Reactivos!$H$2:$H$435,MATCH(B1034,Reactivos!$A$2:$A$435,0)),""))</f>
        <v/>
      </c>
      <c r="F1034" s="8"/>
      <c r="G1034" s="8"/>
      <c r="H1034" s="13"/>
    </row>
    <row r="1035" spans="1:8" x14ac:dyDescent="0.3">
      <c r="A1035" s="11"/>
      <c r="B1035" s="8"/>
      <c r="C1035" s="7" t="str">
        <f>IF(B1035="","",IFERROR(INDEX(Reactivos!$D$2:$D$435,MATCH(B1035,Reactivos!$A$2:$A$435,0)),"ID no existe"))</f>
        <v/>
      </c>
      <c r="D1035" s="8"/>
      <c r="E1035" s="7" t="str">
        <f>IF(B1035="","",IFERROR(INDEX(Reactivos!$H$2:$H$435,MATCH(B1035,Reactivos!$A$2:$A$435,0)),""))</f>
        <v/>
      </c>
      <c r="F1035" s="8"/>
      <c r="G1035" s="8"/>
      <c r="H1035" s="13"/>
    </row>
    <row r="1036" spans="1:8" x14ac:dyDescent="0.3">
      <c r="A1036" s="11"/>
      <c r="B1036" s="8"/>
      <c r="C1036" s="7" t="str">
        <f>IF(B1036="","",IFERROR(INDEX(Reactivos!$D$2:$D$435,MATCH(B1036,Reactivos!$A$2:$A$435,0)),"ID no existe"))</f>
        <v/>
      </c>
      <c r="D1036" s="8"/>
      <c r="E1036" s="7" t="str">
        <f>IF(B1036="","",IFERROR(INDEX(Reactivos!$H$2:$H$435,MATCH(B1036,Reactivos!$A$2:$A$435,0)),""))</f>
        <v/>
      </c>
      <c r="F1036" s="8"/>
      <c r="G1036" s="8"/>
      <c r="H1036" s="13"/>
    </row>
    <row r="1037" spans="1:8" x14ac:dyDescent="0.3">
      <c r="A1037" s="11"/>
      <c r="B1037" s="8"/>
      <c r="C1037" s="7" t="str">
        <f>IF(B1037="","",IFERROR(INDEX(Reactivos!$D$2:$D$435,MATCH(B1037,Reactivos!$A$2:$A$435,0)),"ID no existe"))</f>
        <v/>
      </c>
      <c r="D1037" s="8"/>
      <c r="E1037" s="7" t="str">
        <f>IF(B1037="","",IFERROR(INDEX(Reactivos!$H$2:$H$435,MATCH(B1037,Reactivos!$A$2:$A$435,0)),""))</f>
        <v/>
      </c>
      <c r="F1037" s="8"/>
      <c r="G1037" s="8"/>
      <c r="H1037" s="13"/>
    </row>
    <row r="1038" spans="1:8" x14ac:dyDescent="0.3">
      <c r="A1038" s="11"/>
      <c r="B1038" s="8"/>
      <c r="C1038" s="7" t="str">
        <f>IF(B1038="","",IFERROR(INDEX(Reactivos!$D$2:$D$435,MATCH(B1038,Reactivos!$A$2:$A$435,0)),"ID no existe"))</f>
        <v/>
      </c>
      <c r="D1038" s="8"/>
      <c r="E1038" s="7" t="str">
        <f>IF(B1038="","",IFERROR(INDEX(Reactivos!$H$2:$H$435,MATCH(B1038,Reactivos!$A$2:$A$435,0)),""))</f>
        <v/>
      </c>
      <c r="F1038" s="8"/>
      <c r="G1038" s="8"/>
      <c r="H1038" s="13"/>
    </row>
    <row r="1039" spans="1:8" x14ac:dyDescent="0.3">
      <c r="A1039" s="11"/>
      <c r="B1039" s="8"/>
      <c r="C1039" s="7" t="str">
        <f>IF(B1039="","",IFERROR(INDEX(Reactivos!$D$2:$D$435,MATCH(B1039,Reactivos!$A$2:$A$435,0)),"ID no existe"))</f>
        <v/>
      </c>
      <c r="D1039" s="8"/>
      <c r="E1039" s="7" t="str">
        <f>IF(B1039="","",IFERROR(INDEX(Reactivos!$H$2:$H$435,MATCH(B1039,Reactivos!$A$2:$A$435,0)),""))</f>
        <v/>
      </c>
      <c r="F1039" s="8"/>
      <c r="G1039" s="8"/>
      <c r="H1039" s="13"/>
    </row>
    <row r="1040" spans="1:8" x14ac:dyDescent="0.3">
      <c r="A1040" s="11"/>
      <c r="B1040" s="8"/>
      <c r="C1040" s="7" t="str">
        <f>IF(B1040="","",IFERROR(INDEX(Reactivos!$D$2:$D$435,MATCH(B1040,Reactivos!$A$2:$A$435,0)),"ID no existe"))</f>
        <v/>
      </c>
      <c r="D1040" s="8"/>
      <c r="E1040" s="7" t="str">
        <f>IF(B1040="","",IFERROR(INDEX(Reactivos!$H$2:$H$435,MATCH(B1040,Reactivos!$A$2:$A$435,0)),""))</f>
        <v/>
      </c>
      <c r="F1040" s="8"/>
      <c r="G1040" s="8"/>
      <c r="H1040" s="13"/>
    </row>
    <row r="1041" spans="1:8" x14ac:dyDescent="0.3">
      <c r="A1041" s="11"/>
      <c r="B1041" s="8"/>
      <c r="C1041" s="7" t="str">
        <f>IF(B1041="","",IFERROR(INDEX(Reactivos!$D$2:$D$435,MATCH(B1041,Reactivos!$A$2:$A$435,0)),"ID no existe"))</f>
        <v/>
      </c>
      <c r="D1041" s="8"/>
      <c r="E1041" s="7" t="str">
        <f>IF(B1041="","",IFERROR(INDEX(Reactivos!$H$2:$H$435,MATCH(B1041,Reactivos!$A$2:$A$435,0)),""))</f>
        <v/>
      </c>
      <c r="F1041" s="8"/>
      <c r="G1041" s="8"/>
      <c r="H1041" s="13"/>
    </row>
    <row r="1042" spans="1:8" x14ac:dyDescent="0.3">
      <c r="A1042" s="11"/>
      <c r="B1042" s="8"/>
      <c r="C1042" s="7" t="str">
        <f>IF(B1042="","",IFERROR(INDEX(Reactivos!$D$2:$D$435,MATCH(B1042,Reactivos!$A$2:$A$435,0)),"ID no existe"))</f>
        <v/>
      </c>
      <c r="D1042" s="8"/>
      <c r="E1042" s="7" t="str">
        <f>IF(B1042="","",IFERROR(INDEX(Reactivos!$H$2:$H$435,MATCH(B1042,Reactivos!$A$2:$A$435,0)),""))</f>
        <v/>
      </c>
      <c r="F1042" s="8"/>
      <c r="G1042" s="8"/>
      <c r="H1042" s="13"/>
    </row>
    <row r="1043" spans="1:8" x14ac:dyDescent="0.3">
      <c r="A1043" s="11"/>
      <c r="B1043" s="8"/>
      <c r="C1043" s="7" t="str">
        <f>IF(B1043="","",IFERROR(INDEX(Reactivos!$D$2:$D$435,MATCH(B1043,Reactivos!$A$2:$A$435,0)),"ID no existe"))</f>
        <v/>
      </c>
      <c r="D1043" s="8"/>
      <c r="E1043" s="7" t="str">
        <f>IF(B1043="","",IFERROR(INDEX(Reactivos!$H$2:$H$435,MATCH(B1043,Reactivos!$A$2:$A$435,0)),""))</f>
        <v/>
      </c>
      <c r="F1043" s="8"/>
      <c r="G1043" s="8"/>
      <c r="H1043" s="13"/>
    </row>
    <row r="1044" spans="1:8" x14ac:dyDescent="0.3">
      <c r="A1044" s="11"/>
      <c r="B1044" s="8"/>
      <c r="C1044" s="7" t="str">
        <f>IF(B1044="","",IFERROR(INDEX(Reactivos!$D$2:$D$435,MATCH(B1044,Reactivos!$A$2:$A$435,0)),"ID no existe"))</f>
        <v/>
      </c>
      <c r="D1044" s="8"/>
      <c r="E1044" s="7" t="str">
        <f>IF(B1044="","",IFERROR(INDEX(Reactivos!$H$2:$H$435,MATCH(B1044,Reactivos!$A$2:$A$435,0)),""))</f>
        <v/>
      </c>
      <c r="F1044" s="8"/>
      <c r="G1044" s="8"/>
      <c r="H1044" s="13"/>
    </row>
    <row r="1045" spans="1:8" x14ac:dyDescent="0.3">
      <c r="A1045" s="11"/>
      <c r="B1045" s="8"/>
      <c r="C1045" s="7" t="str">
        <f>IF(B1045="","",IFERROR(INDEX(Reactivos!$D$2:$D$435,MATCH(B1045,Reactivos!$A$2:$A$435,0)),"ID no existe"))</f>
        <v/>
      </c>
      <c r="D1045" s="8"/>
      <c r="E1045" s="7" t="str">
        <f>IF(B1045="","",IFERROR(INDEX(Reactivos!$H$2:$H$435,MATCH(B1045,Reactivos!$A$2:$A$435,0)),""))</f>
        <v/>
      </c>
      <c r="F1045" s="8"/>
      <c r="G1045" s="8"/>
      <c r="H1045" s="13"/>
    </row>
    <row r="1046" spans="1:8" x14ac:dyDescent="0.3">
      <c r="A1046" s="11"/>
      <c r="B1046" s="8"/>
      <c r="C1046" s="7" t="str">
        <f>IF(B1046="","",IFERROR(INDEX(Reactivos!$D$2:$D$435,MATCH(B1046,Reactivos!$A$2:$A$435,0)),"ID no existe"))</f>
        <v/>
      </c>
      <c r="D1046" s="8"/>
      <c r="E1046" s="7" t="str">
        <f>IF(B1046="","",IFERROR(INDEX(Reactivos!$H$2:$H$435,MATCH(B1046,Reactivos!$A$2:$A$435,0)),""))</f>
        <v/>
      </c>
      <c r="F1046" s="8"/>
      <c r="G1046" s="8"/>
      <c r="H1046" s="13"/>
    </row>
    <row r="1047" spans="1:8" x14ac:dyDescent="0.3">
      <c r="A1047" s="11"/>
      <c r="B1047" s="8"/>
      <c r="C1047" s="7" t="str">
        <f>IF(B1047="","",IFERROR(INDEX(Reactivos!$D$2:$D$435,MATCH(B1047,Reactivos!$A$2:$A$435,0)),"ID no existe"))</f>
        <v/>
      </c>
      <c r="D1047" s="8"/>
      <c r="E1047" s="7" t="str">
        <f>IF(B1047="","",IFERROR(INDEX(Reactivos!$H$2:$H$435,MATCH(B1047,Reactivos!$A$2:$A$435,0)),""))</f>
        <v/>
      </c>
      <c r="F1047" s="8"/>
      <c r="G1047" s="8"/>
      <c r="H1047" s="13"/>
    </row>
    <row r="1048" spans="1:8" x14ac:dyDescent="0.3">
      <c r="A1048" s="11"/>
      <c r="B1048" s="8"/>
      <c r="C1048" s="7" t="str">
        <f>IF(B1048="","",IFERROR(INDEX(Reactivos!$D$2:$D$435,MATCH(B1048,Reactivos!$A$2:$A$435,0)),"ID no existe"))</f>
        <v/>
      </c>
      <c r="D1048" s="8"/>
      <c r="E1048" s="7" t="str">
        <f>IF(B1048="","",IFERROR(INDEX(Reactivos!$H$2:$H$435,MATCH(B1048,Reactivos!$A$2:$A$435,0)),""))</f>
        <v/>
      </c>
      <c r="F1048" s="8"/>
      <c r="G1048" s="8"/>
      <c r="H1048" s="13"/>
    </row>
    <row r="1049" spans="1:8" x14ac:dyDescent="0.3">
      <c r="A1049" s="11"/>
      <c r="B1049" s="8"/>
      <c r="C1049" s="7" t="str">
        <f>IF(B1049="","",IFERROR(INDEX(Reactivos!$D$2:$D$435,MATCH(B1049,Reactivos!$A$2:$A$435,0)),"ID no existe"))</f>
        <v/>
      </c>
      <c r="D1049" s="8"/>
      <c r="E1049" s="7" t="str">
        <f>IF(B1049="","",IFERROR(INDEX(Reactivos!$H$2:$H$435,MATCH(B1049,Reactivos!$A$2:$A$435,0)),""))</f>
        <v/>
      </c>
      <c r="F1049" s="8"/>
      <c r="G1049" s="8"/>
      <c r="H1049" s="13"/>
    </row>
    <row r="1050" spans="1:8" x14ac:dyDescent="0.3">
      <c r="A1050" s="11"/>
      <c r="B1050" s="8"/>
      <c r="C1050" s="7" t="str">
        <f>IF(B1050="","",IFERROR(INDEX(Reactivos!$D$2:$D$435,MATCH(B1050,Reactivos!$A$2:$A$435,0)),"ID no existe"))</f>
        <v/>
      </c>
      <c r="D1050" s="8"/>
      <c r="E1050" s="7" t="str">
        <f>IF(B1050="","",IFERROR(INDEX(Reactivos!$H$2:$H$435,MATCH(B1050,Reactivos!$A$2:$A$435,0)),""))</f>
        <v/>
      </c>
      <c r="F1050" s="8"/>
      <c r="G1050" s="8"/>
      <c r="H1050" s="13"/>
    </row>
    <row r="1051" spans="1:8" x14ac:dyDescent="0.3">
      <c r="A1051" s="11"/>
      <c r="B1051" s="8"/>
      <c r="C1051" s="7" t="str">
        <f>IF(B1051="","",IFERROR(INDEX(Reactivos!$D$2:$D$435,MATCH(B1051,Reactivos!$A$2:$A$435,0)),"ID no existe"))</f>
        <v/>
      </c>
      <c r="D1051" s="8"/>
      <c r="E1051" s="7" t="str">
        <f>IF(B1051="","",IFERROR(INDEX(Reactivos!$H$2:$H$435,MATCH(B1051,Reactivos!$A$2:$A$435,0)),""))</f>
        <v/>
      </c>
      <c r="F1051" s="8"/>
      <c r="G1051" s="8"/>
      <c r="H1051" s="13"/>
    </row>
    <row r="1052" spans="1:8" x14ac:dyDescent="0.3">
      <c r="A1052" s="11"/>
      <c r="B1052" s="8"/>
      <c r="C1052" s="7" t="str">
        <f>IF(B1052="","",IFERROR(INDEX(Reactivos!$D$2:$D$435,MATCH(B1052,Reactivos!$A$2:$A$435,0)),"ID no existe"))</f>
        <v/>
      </c>
      <c r="D1052" s="8"/>
      <c r="E1052" s="7" t="str">
        <f>IF(B1052="","",IFERROR(INDEX(Reactivos!$H$2:$H$435,MATCH(B1052,Reactivos!$A$2:$A$435,0)),""))</f>
        <v/>
      </c>
      <c r="F1052" s="8"/>
      <c r="G1052" s="8"/>
      <c r="H1052" s="13"/>
    </row>
    <row r="1053" spans="1:8" x14ac:dyDescent="0.3">
      <c r="A1053" s="11"/>
      <c r="B1053" s="8"/>
      <c r="C1053" s="7" t="str">
        <f>IF(B1053="","",IFERROR(INDEX(Reactivos!$D$2:$D$435,MATCH(B1053,Reactivos!$A$2:$A$435,0)),"ID no existe"))</f>
        <v/>
      </c>
      <c r="D1053" s="8"/>
      <c r="E1053" s="7" t="str">
        <f>IF(B1053="","",IFERROR(INDEX(Reactivos!$H$2:$H$435,MATCH(B1053,Reactivos!$A$2:$A$435,0)),""))</f>
        <v/>
      </c>
      <c r="F1053" s="8"/>
      <c r="G1053" s="8"/>
      <c r="H1053" s="13"/>
    </row>
    <row r="1054" spans="1:8" x14ac:dyDescent="0.3">
      <c r="A1054" s="11"/>
      <c r="B1054" s="8"/>
      <c r="C1054" s="7" t="str">
        <f>IF(B1054="","",IFERROR(INDEX(Reactivos!$D$2:$D$435,MATCH(B1054,Reactivos!$A$2:$A$435,0)),"ID no existe"))</f>
        <v/>
      </c>
      <c r="D1054" s="8"/>
      <c r="E1054" s="7" t="str">
        <f>IF(B1054="","",IFERROR(INDEX(Reactivos!$H$2:$H$435,MATCH(B1054,Reactivos!$A$2:$A$435,0)),""))</f>
        <v/>
      </c>
      <c r="F1054" s="8"/>
      <c r="G1054" s="8"/>
      <c r="H1054" s="13"/>
    </row>
    <row r="1055" spans="1:8" x14ac:dyDescent="0.3">
      <c r="A1055" s="11"/>
      <c r="B1055" s="8"/>
      <c r="C1055" s="7" t="str">
        <f>IF(B1055="","",IFERROR(INDEX(Reactivos!$D$2:$D$435,MATCH(B1055,Reactivos!$A$2:$A$435,0)),"ID no existe"))</f>
        <v/>
      </c>
      <c r="D1055" s="8"/>
      <c r="E1055" s="7" t="str">
        <f>IF(B1055="","",IFERROR(INDEX(Reactivos!$H$2:$H$435,MATCH(B1055,Reactivos!$A$2:$A$435,0)),""))</f>
        <v/>
      </c>
      <c r="F1055" s="8"/>
      <c r="G1055" s="8"/>
      <c r="H1055" s="13"/>
    </row>
    <row r="1056" spans="1:8" x14ac:dyDescent="0.3">
      <c r="A1056" s="11"/>
      <c r="B1056" s="8"/>
      <c r="C1056" s="7" t="str">
        <f>IF(B1056="","",IFERROR(INDEX(Reactivos!$D$2:$D$435,MATCH(B1056,Reactivos!$A$2:$A$435,0)),"ID no existe"))</f>
        <v/>
      </c>
      <c r="D1056" s="8"/>
      <c r="E1056" s="7" t="str">
        <f>IF(B1056="","",IFERROR(INDEX(Reactivos!$H$2:$H$435,MATCH(B1056,Reactivos!$A$2:$A$435,0)),""))</f>
        <v/>
      </c>
      <c r="F1056" s="8"/>
      <c r="G1056" s="8"/>
      <c r="H1056" s="13"/>
    </row>
    <row r="1057" spans="1:8" x14ac:dyDescent="0.3">
      <c r="A1057" s="11"/>
      <c r="B1057" s="8"/>
      <c r="C1057" s="7" t="str">
        <f>IF(B1057="","",IFERROR(INDEX(Reactivos!$D$2:$D$435,MATCH(B1057,Reactivos!$A$2:$A$435,0)),"ID no existe"))</f>
        <v/>
      </c>
      <c r="D1057" s="8"/>
      <c r="E1057" s="7" t="str">
        <f>IF(B1057="","",IFERROR(INDEX(Reactivos!$H$2:$H$435,MATCH(B1057,Reactivos!$A$2:$A$435,0)),""))</f>
        <v/>
      </c>
      <c r="F1057" s="8"/>
      <c r="G1057" s="8"/>
      <c r="H1057" s="13"/>
    </row>
    <row r="1058" spans="1:8" x14ac:dyDescent="0.3">
      <c r="A1058" s="11"/>
      <c r="B1058" s="8"/>
      <c r="C1058" s="7" t="str">
        <f>IF(B1058="","",IFERROR(INDEX(Reactivos!$D$2:$D$435,MATCH(B1058,Reactivos!$A$2:$A$435,0)),"ID no existe"))</f>
        <v/>
      </c>
      <c r="D1058" s="8"/>
      <c r="E1058" s="7" t="str">
        <f>IF(B1058="","",IFERROR(INDEX(Reactivos!$H$2:$H$435,MATCH(B1058,Reactivos!$A$2:$A$435,0)),""))</f>
        <v/>
      </c>
      <c r="F1058" s="8"/>
      <c r="G1058" s="8"/>
      <c r="H1058" s="13"/>
    </row>
    <row r="1059" spans="1:8" x14ac:dyDescent="0.3">
      <c r="A1059" s="11"/>
      <c r="B1059" s="8"/>
      <c r="C1059" s="7" t="str">
        <f>IF(B1059="","",IFERROR(INDEX(Reactivos!$D$2:$D$435,MATCH(B1059,Reactivos!$A$2:$A$435,0)),"ID no existe"))</f>
        <v/>
      </c>
      <c r="D1059" s="8"/>
      <c r="E1059" s="7" t="str">
        <f>IF(B1059="","",IFERROR(INDEX(Reactivos!$H$2:$H$435,MATCH(B1059,Reactivos!$A$2:$A$435,0)),""))</f>
        <v/>
      </c>
      <c r="F1059" s="8"/>
      <c r="G1059" s="8"/>
      <c r="H1059" s="13"/>
    </row>
    <row r="1060" spans="1:8" x14ac:dyDescent="0.3">
      <c r="A1060" s="11"/>
      <c r="B1060" s="8"/>
      <c r="C1060" s="7" t="str">
        <f>IF(B1060="","",IFERROR(INDEX(Reactivos!$D$2:$D$435,MATCH(B1060,Reactivos!$A$2:$A$435,0)),"ID no existe"))</f>
        <v/>
      </c>
      <c r="D1060" s="8"/>
      <c r="E1060" s="7" t="str">
        <f>IF(B1060="","",IFERROR(INDEX(Reactivos!$H$2:$H$435,MATCH(B1060,Reactivos!$A$2:$A$435,0)),""))</f>
        <v/>
      </c>
      <c r="F1060" s="8"/>
      <c r="G1060" s="8"/>
      <c r="H1060" s="13"/>
    </row>
    <row r="1061" spans="1:8" x14ac:dyDescent="0.3">
      <c r="A1061" s="11"/>
      <c r="B1061" s="8"/>
      <c r="C1061" s="7" t="str">
        <f>IF(B1061="","",IFERROR(INDEX(Reactivos!$D$2:$D$435,MATCH(B1061,Reactivos!$A$2:$A$435,0)),"ID no existe"))</f>
        <v/>
      </c>
      <c r="D1061" s="8"/>
      <c r="E1061" s="7" t="str">
        <f>IF(B1061="","",IFERROR(INDEX(Reactivos!$H$2:$H$435,MATCH(B1061,Reactivos!$A$2:$A$435,0)),""))</f>
        <v/>
      </c>
      <c r="F1061" s="8"/>
      <c r="G1061" s="8"/>
      <c r="H1061" s="13"/>
    </row>
    <row r="1062" spans="1:8" x14ac:dyDescent="0.3">
      <c r="A1062" s="11"/>
      <c r="B1062" s="8"/>
      <c r="C1062" s="7" t="str">
        <f>IF(B1062="","",IFERROR(INDEX(Reactivos!$D$2:$D$435,MATCH(B1062,Reactivos!$A$2:$A$435,0)),"ID no existe"))</f>
        <v/>
      </c>
      <c r="D1062" s="8"/>
      <c r="E1062" s="7" t="str">
        <f>IF(B1062="","",IFERROR(INDEX(Reactivos!$H$2:$H$435,MATCH(B1062,Reactivos!$A$2:$A$435,0)),""))</f>
        <v/>
      </c>
      <c r="F1062" s="8"/>
      <c r="G1062" s="8"/>
      <c r="H1062" s="13"/>
    </row>
    <row r="1063" spans="1:8" x14ac:dyDescent="0.3">
      <c r="A1063" s="11"/>
      <c r="B1063" s="8"/>
      <c r="C1063" s="7" t="str">
        <f>IF(B1063="","",IFERROR(INDEX(Reactivos!$D$2:$D$435,MATCH(B1063,Reactivos!$A$2:$A$435,0)),"ID no existe"))</f>
        <v/>
      </c>
      <c r="D1063" s="8"/>
      <c r="E1063" s="7" t="str">
        <f>IF(B1063="","",IFERROR(INDEX(Reactivos!$H$2:$H$435,MATCH(B1063,Reactivos!$A$2:$A$435,0)),""))</f>
        <v/>
      </c>
      <c r="F1063" s="8"/>
      <c r="G1063" s="8"/>
      <c r="H1063" s="13"/>
    </row>
    <row r="1064" spans="1:8" x14ac:dyDescent="0.3">
      <c r="A1064" s="11"/>
      <c r="B1064" s="8"/>
      <c r="C1064" s="7" t="str">
        <f>IF(B1064="","",IFERROR(INDEX(Reactivos!$D$2:$D$435,MATCH(B1064,Reactivos!$A$2:$A$435,0)),"ID no existe"))</f>
        <v/>
      </c>
      <c r="D1064" s="8"/>
      <c r="E1064" s="7" t="str">
        <f>IF(B1064="","",IFERROR(INDEX(Reactivos!$H$2:$H$435,MATCH(B1064,Reactivos!$A$2:$A$435,0)),""))</f>
        <v/>
      </c>
      <c r="F1064" s="8"/>
      <c r="G1064" s="8"/>
      <c r="H1064" s="13"/>
    </row>
    <row r="1065" spans="1:8" x14ac:dyDescent="0.3">
      <c r="A1065" s="11"/>
      <c r="B1065" s="8"/>
      <c r="C1065" s="7" t="str">
        <f>IF(B1065="","",IFERROR(INDEX(Reactivos!$D$2:$D$435,MATCH(B1065,Reactivos!$A$2:$A$435,0)),"ID no existe"))</f>
        <v/>
      </c>
      <c r="D1065" s="8"/>
      <c r="E1065" s="7" t="str">
        <f>IF(B1065="","",IFERROR(INDEX(Reactivos!$H$2:$H$435,MATCH(B1065,Reactivos!$A$2:$A$435,0)),""))</f>
        <v/>
      </c>
      <c r="F1065" s="8"/>
      <c r="G1065" s="8"/>
      <c r="H1065" s="13"/>
    </row>
    <row r="1066" spans="1:8" x14ac:dyDescent="0.3">
      <c r="A1066" s="11"/>
      <c r="B1066" s="8"/>
      <c r="C1066" s="7" t="str">
        <f>IF(B1066="","",IFERROR(INDEX(Reactivos!$D$2:$D$435,MATCH(B1066,Reactivos!$A$2:$A$435,0)),"ID no existe"))</f>
        <v/>
      </c>
      <c r="D1066" s="8"/>
      <c r="E1066" s="7" t="str">
        <f>IF(B1066="","",IFERROR(INDEX(Reactivos!$H$2:$H$435,MATCH(B1066,Reactivos!$A$2:$A$435,0)),""))</f>
        <v/>
      </c>
      <c r="F1066" s="8"/>
      <c r="G1066" s="8"/>
      <c r="H1066" s="13"/>
    </row>
    <row r="1067" spans="1:8" x14ac:dyDescent="0.3">
      <c r="A1067" s="11"/>
      <c r="B1067" s="8"/>
      <c r="C1067" s="7" t="str">
        <f>IF(B1067="","",IFERROR(INDEX(Reactivos!$D$2:$D$435,MATCH(B1067,Reactivos!$A$2:$A$435,0)),"ID no existe"))</f>
        <v/>
      </c>
      <c r="D1067" s="8"/>
      <c r="E1067" s="7" t="str">
        <f>IF(B1067="","",IFERROR(INDEX(Reactivos!$H$2:$H$435,MATCH(B1067,Reactivos!$A$2:$A$435,0)),""))</f>
        <v/>
      </c>
      <c r="F1067" s="8"/>
      <c r="G1067" s="8"/>
      <c r="H1067" s="13"/>
    </row>
    <row r="1068" spans="1:8" x14ac:dyDescent="0.3">
      <c r="A1068" s="11"/>
      <c r="B1068" s="8"/>
      <c r="C1068" s="7" t="str">
        <f>IF(B1068="","",IFERROR(INDEX(Reactivos!$D$2:$D$435,MATCH(B1068,Reactivos!$A$2:$A$435,0)),"ID no existe"))</f>
        <v/>
      </c>
      <c r="D1068" s="8"/>
      <c r="E1068" s="7" t="str">
        <f>IF(B1068="","",IFERROR(INDEX(Reactivos!$H$2:$H$435,MATCH(B1068,Reactivos!$A$2:$A$435,0)),""))</f>
        <v/>
      </c>
      <c r="F1068" s="8"/>
      <c r="G1068" s="8"/>
      <c r="H1068" s="13"/>
    </row>
    <row r="1069" spans="1:8" x14ac:dyDescent="0.3">
      <c r="A1069" s="11"/>
      <c r="B1069" s="8"/>
      <c r="C1069" s="7" t="str">
        <f>IF(B1069="","",IFERROR(INDEX(Reactivos!$D$2:$D$435,MATCH(B1069,Reactivos!$A$2:$A$435,0)),"ID no existe"))</f>
        <v/>
      </c>
      <c r="D1069" s="8"/>
      <c r="E1069" s="7" t="str">
        <f>IF(B1069="","",IFERROR(INDEX(Reactivos!$H$2:$H$435,MATCH(B1069,Reactivos!$A$2:$A$435,0)),""))</f>
        <v/>
      </c>
      <c r="F1069" s="8"/>
      <c r="G1069" s="8"/>
      <c r="H1069" s="13"/>
    </row>
    <row r="1070" spans="1:8" x14ac:dyDescent="0.3">
      <c r="A1070" s="11"/>
      <c r="B1070" s="8"/>
      <c r="C1070" s="7" t="str">
        <f>IF(B1070="","",IFERROR(INDEX(Reactivos!$D$2:$D$435,MATCH(B1070,Reactivos!$A$2:$A$435,0)),"ID no existe"))</f>
        <v/>
      </c>
      <c r="D1070" s="8"/>
      <c r="E1070" s="7" t="str">
        <f>IF(B1070="","",IFERROR(INDEX(Reactivos!$H$2:$H$435,MATCH(B1070,Reactivos!$A$2:$A$435,0)),""))</f>
        <v/>
      </c>
      <c r="F1070" s="8"/>
      <c r="G1070" s="8"/>
      <c r="H1070" s="13"/>
    </row>
    <row r="1071" spans="1:8" x14ac:dyDescent="0.3">
      <c r="A1071" s="11"/>
      <c r="B1071" s="8"/>
      <c r="C1071" s="7" t="str">
        <f>IF(B1071="","",IFERROR(INDEX(Reactivos!$D$2:$D$435,MATCH(B1071,Reactivos!$A$2:$A$435,0)),"ID no existe"))</f>
        <v/>
      </c>
      <c r="D1071" s="8"/>
      <c r="E1071" s="7" t="str">
        <f>IF(B1071="","",IFERROR(INDEX(Reactivos!$H$2:$H$435,MATCH(B1071,Reactivos!$A$2:$A$435,0)),""))</f>
        <v/>
      </c>
      <c r="F1071" s="8"/>
      <c r="G1071" s="8"/>
      <c r="H1071" s="13"/>
    </row>
    <row r="1072" spans="1:8" x14ac:dyDescent="0.3">
      <c r="A1072" s="11"/>
      <c r="B1072" s="8"/>
      <c r="C1072" s="7" t="str">
        <f>IF(B1072="","",IFERROR(INDEX(Reactivos!$D$2:$D$435,MATCH(B1072,Reactivos!$A$2:$A$435,0)),"ID no existe"))</f>
        <v/>
      </c>
      <c r="D1072" s="8"/>
      <c r="E1072" s="7" t="str">
        <f>IF(B1072="","",IFERROR(INDEX(Reactivos!$H$2:$H$435,MATCH(B1072,Reactivos!$A$2:$A$435,0)),""))</f>
        <v/>
      </c>
      <c r="F1072" s="8"/>
      <c r="G1072" s="8"/>
      <c r="H1072" s="13"/>
    </row>
    <row r="1073" spans="1:8" x14ac:dyDescent="0.3">
      <c r="A1073" s="11"/>
      <c r="B1073" s="8"/>
      <c r="C1073" s="7" t="str">
        <f>IF(B1073="","",IFERROR(INDEX(Reactivos!$D$2:$D$435,MATCH(B1073,Reactivos!$A$2:$A$435,0)),"ID no existe"))</f>
        <v/>
      </c>
      <c r="D1073" s="8"/>
      <c r="E1073" s="7" t="str">
        <f>IF(B1073="","",IFERROR(INDEX(Reactivos!$H$2:$H$435,MATCH(B1073,Reactivos!$A$2:$A$435,0)),""))</f>
        <v/>
      </c>
      <c r="F1073" s="8"/>
      <c r="G1073" s="8"/>
      <c r="H1073" s="13"/>
    </row>
    <row r="1074" spans="1:8" x14ac:dyDescent="0.3">
      <c r="A1074" s="11"/>
      <c r="B1074" s="8"/>
      <c r="C1074" s="7" t="str">
        <f>IF(B1074="","",IFERROR(INDEX(Reactivos!$D$2:$D$435,MATCH(B1074,Reactivos!$A$2:$A$435,0)),"ID no existe"))</f>
        <v/>
      </c>
      <c r="D1074" s="8"/>
      <c r="E1074" s="7" t="str">
        <f>IF(B1074="","",IFERROR(INDEX(Reactivos!$H$2:$H$435,MATCH(B1074,Reactivos!$A$2:$A$435,0)),""))</f>
        <v/>
      </c>
      <c r="F1074" s="8"/>
      <c r="G1074" s="8"/>
      <c r="H1074" s="13"/>
    </row>
    <row r="1075" spans="1:8" x14ac:dyDescent="0.3">
      <c r="A1075" s="11"/>
      <c r="B1075" s="8"/>
      <c r="C1075" s="7" t="str">
        <f>IF(B1075="","",IFERROR(INDEX(Reactivos!$D$2:$D$435,MATCH(B1075,Reactivos!$A$2:$A$435,0)),"ID no existe"))</f>
        <v/>
      </c>
      <c r="D1075" s="8"/>
      <c r="E1075" s="7" t="str">
        <f>IF(B1075="","",IFERROR(INDEX(Reactivos!$H$2:$H$435,MATCH(B1075,Reactivos!$A$2:$A$435,0)),""))</f>
        <v/>
      </c>
      <c r="F1075" s="8"/>
      <c r="G1075" s="8"/>
      <c r="H1075" s="13"/>
    </row>
    <row r="1076" spans="1:8" x14ac:dyDescent="0.3">
      <c r="A1076" s="11"/>
      <c r="B1076" s="8"/>
      <c r="C1076" s="7" t="str">
        <f>IF(B1076="","",IFERROR(INDEX(Reactivos!$D$2:$D$435,MATCH(B1076,Reactivos!$A$2:$A$435,0)),"ID no existe"))</f>
        <v/>
      </c>
      <c r="D1076" s="8"/>
      <c r="E1076" s="7" t="str">
        <f>IF(B1076="","",IFERROR(INDEX(Reactivos!$H$2:$H$435,MATCH(B1076,Reactivos!$A$2:$A$435,0)),""))</f>
        <v/>
      </c>
      <c r="F1076" s="8"/>
      <c r="G1076" s="8"/>
      <c r="H1076" s="13"/>
    </row>
    <row r="1077" spans="1:8" x14ac:dyDescent="0.3">
      <c r="A1077" s="11"/>
      <c r="B1077" s="8"/>
      <c r="C1077" s="7" t="str">
        <f>IF(B1077="","",IFERROR(INDEX(Reactivos!$D$2:$D$435,MATCH(B1077,Reactivos!$A$2:$A$435,0)),"ID no existe"))</f>
        <v/>
      </c>
      <c r="D1077" s="8"/>
      <c r="E1077" s="7" t="str">
        <f>IF(B1077="","",IFERROR(INDEX(Reactivos!$H$2:$H$435,MATCH(B1077,Reactivos!$A$2:$A$435,0)),""))</f>
        <v/>
      </c>
      <c r="F1077" s="8"/>
      <c r="G1077" s="8"/>
      <c r="H1077" s="13"/>
    </row>
    <row r="1078" spans="1:8" x14ac:dyDescent="0.3">
      <c r="A1078" s="11"/>
      <c r="B1078" s="8"/>
      <c r="C1078" s="7" t="str">
        <f>IF(B1078="","",IFERROR(INDEX(Reactivos!$D$2:$D$435,MATCH(B1078,Reactivos!$A$2:$A$435,0)),"ID no existe"))</f>
        <v/>
      </c>
      <c r="D1078" s="8"/>
      <c r="E1078" s="7" t="str">
        <f>IF(B1078="","",IFERROR(INDEX(Reactivos!$H$2:$H$435,MATCH(B1078,Reactivos!$A$2:$A$435,0)),""))</f>
        <v/>
      </c>
      <c r="F1078" s="8"/>
      <c r="G1078" s="8"/>
      <c r="H1078" s="13"/>
    </row>
    <row r="1079" spans="1:8" x14ac:dyDescent="0.3">
      <c r="A1079" s="11"/>
      <c r="B1079" s="8"/>
      <c r="C1079" s="7" t="str">
        <f>IF(B1079="","",IFERROR(INDEX(Reactivos!$D$2:$D$435,MATCH(B1079,Reactivos!$A$2:$A$435,0)),"ID no existe"))</f>
        <v/>
      </c>
      <c r="D1079" s="8"/>
      <c r="E1079" s="7" t="str">
        <f>IF(B1079="","",IFERROR(INDEX(Reactivos!$H$2:$H$435,MATCH(B1079,Reactivos!$A$2:$A$435,0)),""))</f>
        <v/>
      </c>
      <c r="F1079" s="8"/>
      <c r="G1079" s="8"/>
      <c r="H1079" s="13"/>
    </row>
    <row r="1080" spans="1:8" x14ac:dyDescent="0.3">
      <c r="A1080" s="11"/>
      <c r="B1080" s="8"/>
      <c r="C1080" s="7" t="str">
        <f>IF(B1080="","",IFERROR(INDEX(Reactivos!$D$2:$D$435,MATCH(B1080,Reactivos!$A$2:$A$435,0)),"ID no existe"))</f>
        <v/>
      </c>
      <c r="D1080" s="8"/>
      <c r="E1080" s="7" t="str">
        <f>IF(B1080="","",IFERROR(INDEX(Reactivos!$H$2:$H$435,MATCH(B1080,Reactivos!$A$2:$A$435,0)),""))</f>
        <v/>
      </c>
      <c r="F1080" s="8"/>
      <c r="G1080" s="8"/>
      <c r="H1080" s="13"/>
    </row>
    <row r="1081" spans="1:8" x14ac:dyDescent="0.3">
      <c r="A1081" s="11"/>
      <c r="B1081" s="8"/>
      <c r="C1081" s="7" t="str">
        <f>IF(B1081="","",IFERROR(INDEX(Reactivos!$D$2:$D$435,MATCH(B1081,Reactivos!$A$2:$A$435,0)),"ID no existe"))</f>
        <v/>
      </c>
      <c r="D1081" s="8"/>
      <c r="E1081" s="7" t="str">
        <f>IF(B1081="","",IFERROR(INDEX(Reactivos!$H$2:$H$435,MATCH(B1081,Reactivos!$A$2:$A$435,0)),""))</f>
        <v/>
      </c>
      <c r="F1081" s="8"/>
      <c r="G1081" s="8"/>
      <c r="H1081" s="13"/>
    </row>
    <row r="1082" spans="1:8" x14ac:dyDescent="0.3">
      <c r="A1082" s="11"/>
      <c r="B1082" s="8"/>
      <c r="C1082" s="7" t="str">
        <f>IF(B1082="","",IFERROR(INDEX(Reactivos!$D$2:$D$435,MATCH(B1082,Reactivos!$A$2:$A$435,0)),"ID no existe"))</f>
        <v/>
      </c>
      <c r="D1082" s="8"/>
      <c r="E1082" s="7" t="str">
        <f>IF(B1082="","",IFERROR(INDEX(Reactivos!$H$2:$H$435,MATCH(B1082,Reactivos!$A$2:$A$435,0)),""))</f>
        <v/>
      </c>
      <c r="F1082" s="8"/>
      <c r="G1082" s="8"/>
      <c r="H1082" s="13"/>
    </row>
    <row r="1083" spans="1:8" x14ac:dyDescent="0.3">
      <c r="A1083" s="11"/>
      <c r="B1083" s="8"/>
      <c r="C1083" s="7" t="str">
        <f>IF(B1083="","",IFERROR(INDEX(Reactivos!$D$2:$D$435,MATCH(B1083,Reactivos!$A$2:$A$435,0)),"ID no existe"))</f>
        <v/>
      </c>
      <c r="D1083" s="8"/>
      <c r="E1083" s="7" t="str">
        <f>IF(B1083="","",IFERROR(INDEX(Reactivos!$H$2:$H$435,MATCH(B1083,Reactivos!$A$2:$A$435,0)),""))</f>
        <v/>
      </c>
      <c r="F1083" s="8"/>
      <c r="G1083" s="8"/>
      <c r="H1083" s="13"/>
    </row>
    <row r="1084" spans="1:8" x14ac:dyDescent="0.3">
      <c r="A1084" s="11"/>
      <c r="B1084" s="8"/>
      <c r="C1084" s="7" t="str">
        <f>IF(B1084="","",IFERROR(INDEX(Reactivos!$D$2:$D$435,MATCH(B1084,Reactivos!$A$2:$A$435,0)),"ID no existe"))</f>
        <v/>
      </c>
      <c r="D1084" s="8"/>
      <c r="E1084" s="7" t="str">
        <f>IF(B1084="","",IFERROR(INDEX(Reactivos!$H$2:$H$435,MATCH(B1084,Reactivos!$A$2:$A$435,0)),""))</f>
        <v/>
      </c>
      <c r="F1084" s="8"/>
      <c r="G1084" s="8"/>
      <c r="H1084" s="13"/>
    </row>
    <row r="1085" spans="1:8" x14ac:dyDescent="0.3">
      <c r="A1085" s="11"/>
      <c r="B1085" s="8"/>
      <c r="C1085" s="7" t="str">
        <f>IF(B1085="","",IFERROR(INDEX(Reactivos!$D$2:$D$435,MATCH(B1085,Reactivos!$A$2:$A$435,0)),"ID no existe"))</f>
        <v/>
      </c>
      <c r="D1085" s="8"/>
      <c r="E1085" s="7" t="str">
        <f>IF(B1085="","",IFERROR(INDEX(Reactivos!$H$2:$H$435,MATCH(B1085,Reactivos!$A$2:$A$435,0)),""))</f>
        <v/>
      </c>
      <c r="F1085" s="8"/>
      <c r="G1085" s="8"/>
      <c r="H1085" s="13"/>
    </row>
    <row r="1086" spans="1:8" x14ac:dyDescent="0.3">
      <c r="A1086" s="11"/>
      <c r="B1086" s="8"/>
      <c r="C1086" s="7" t="str">
        <f>IF(B1086="","",IFERROR(INDEX(Reactivos!$D$2:$D$435,MATCH(B1086,Reactivos!$A$2:$A$435,0)),"ID no existe"))</f>
        <v/>
      </c>
      <c r="D1086" s="8"/>
      <c r="E1086" s="7" t="str">
        <f>IF(B1086="","",IFERROR(INDEX(Reactivos!$H$2:$H$435,MATCH(B1086,Reactivos!$A$2:$A$435,0)),""))</f>
        <v/>
      </c>
      <c r="F1086" s="8"/>
      <c r="G1086" s="8"/>
      <c r="H1086" s="13"/>
    </row>
    <row r="1087" spans="1:8" x14ac:dyDescent="0.3">
      <c r="A1087" s="11"/>
      <c r="B1087" s="8"/>
      <c r="C1087" s="7" t="str">
        <f>IF(B1087="","",IFERROR(INDEX(Reactivos!$D$2:$D$435,MATCH(B1087,Reactivos!$A$2:$A$435,0)),"ID no existe"))</f>
        <v/>
      </c>
      <c r="D1087" s="8"/>
      <c r="E1087" s="7" t="str">
        <f>IF(B1087="","",IFERROR(INDEX(Reactivos!$H$2:$H$435,MATCH(B1087,Reactivos!$A$2:$A$435,0)),""))</f>
        <v/>
      </c>
      <c r="F1087" s="8"/>
      <c r="G1087" s="8"/>
      <c r="H1087" s="13"/>
    </row>
    <row r="1088" spans="1:8" x14ac:dyDescent="0.3">
      <c r="A1088" s="11"/>
      <c r="B1088" s="8"/>
      <c r="C1088" s="7" t="str">
        <f>IF(B1088="","",IFERROR(INDEX(Reactivos!$D$2:$D$435,MATCH(B1088,Reactivos!$A$2:$A$435,0)),"ID no existe"))</f>
        <v/>
      </c>
      <c r="D1088" s="8"/>
      <c r="E1088" s="7" t="str">
        <f>IF(B1088="","",IFERROR(INDEX(Reactivos!$H$2:$H$435,MATCH(B1088,Reactivos!$A$2:$A$435,0)),""))</f>
        <v/>
      </c>
      <c r="F1088" s="8"/>
      <c r="G1088" s="8"/>
      <c r="H1088" s="13"/>
    </row>
    <row r="1089" spans="1:8" x14ac:dyDescent="0.3">
      <c r="A1089" s="11"/>
      <c r="B1089" s="8"/>
      <c r="C1089" s="7" t="str">
        <f>IF(B1089="","",IFERROR(INDEX(Reactivos!$D$2:$D$435,MATCH(B1089,Reactivos!$A$2:$A$435,0)),"ID no existe"))</f>
        <v/>
      </c>
      <c r="D1089" s="8"/>
      <c r="E1089" s="7" t="str">
        <f>IF(B1089="","",IFERROR(INDEX(Reactivos!$H$2:$H$435,MATCH(B1089,Reactivos!$A$2:$A$435,0)),""))</f>
        <v/>
      </c>
      <c r="F1089" s="8"/>
      <c r="G1089" s="8"/>
      <c r="H1089" s="13"/>
    </row>
    <row r="1090" spans="1:8" x14ac:dyDescent="0.3">
      <c r="A1090" s="11"/>
      <c r="B1090" s="8"/>
      <c r="C1090" s="7" t="str">
        <f>IF(B1090="","",IFERROR(INDEX(Reactivos!$D$2:$D$435,MATCH(B1090,Reactivos!$A$2:$A$435,0)),"ID no existe"))</f>
        <v/>
      </c>
      <c r="D1090" s="8"/>
      <c r="E1090" s="7" t="str">
        <f>IF(B1090="","",IFERROR(INDEX(Reactivos!$H$2:$H$435,MATCH(B1090,Reactivos!$A$2:$A$435,0)),""))</f>
        <v/>
      </c>
      <c r="F1090" s="8"/>
      <c r="G1090" s="8"/>
      <c r="H1090" s="13"/>
    </row>
    <row r="1091" spans="1:8" x14ac:dyDescent="0.3">
      <c r="A1091" s="11"/>
      <c r="B1091" s="8"/>
      <c r="C1091" s="7" t="str">
        <f>IF(B1091="","",IFERROR(INDEX(Reactivos!$D$2:$D$435,MATCH(B1091,Reactivos!$A$2:$A$435,0)),"ID no existe"))</f>
        <v/>
      </c>
      <c r="D1091" s="8"/>
      <c r="E1091" s="7" t="str">
        <f>IF(B1091="","",IFERROR(INDEX(Reactivos!$H$2:$H$435,MATCH(B1091,Reactivos!$A$2:$A$435,0)),""))</f>
        <v/>
      </c>
      <c r="F1091" s="8"/>
      <c r="G1091" s="8"/>
      <c r="H1091" s="13"/>
    </row>
    <row r="1092" spans="1:8" x14ac:dyDescent="0.3">
      <c r="A1092" s="11"/>
      <c r="B1092" s="8"/>
      <c r="C1092" s="7" t="str">
        <f>IF(B1092="","",IFERROR(INDEX(Reactivos!$D$2:$D$435,MATCH(B1092,Reactivos!$A$2:$A$435,0)),"ID no existe"))</f>
        <v/>
      </c>
      <c r="D1092" s="8"/>
      <c r="E1092" s="7" t="str">
        <f>IF(B1092="","",IFERROR(INDEX(Reactivos!$H$2:$H$435,MATCH(B1092,Reactivos!$A$2:$A$435,0)),""))</f>
        <v/>
      </c>
      <c r="F1092" s="8"/>
      <c r="G1092" s="8"/>
      <c r="H1092" s="13"/>
    </row>
    <row r="1093" spans="1:8" x14ac:dyDescent="0.3">
      <c r="A1093" s="11"/>
      <c r="B1093" s="8"/>
      <c r="C1093" s="7" t="str">
        <f>IF(B1093="","",IFERROR(INDEX(Reactivos!$D$2:$D$435,MATCH(B1093,Reactivos!$A$2:$A$435,0)),"ID no existe"))</f>
        <v/>
      </c>
      <c r="D1093" s="8"/>
      <c r="E1093" s="7" t="str">
        <f>IF(B1093="","",IFERROR(INDEX(Reactivos!$H$2:$H$435,MATCH(B1093,Reactivos!$A$2:$A$435,0)),""))</f>
        <v/>
      </c>
      <c r="F1093" s="8"/>
      <c r="G1093" s="8"/>
      <c r="H1093" s="13"/>
    </row>
    <row r="1094" spans="1:8" x14ac:dyDescent="0.3">
      <c r="A1094" s="11"/>
      <c r="B1094" s="8"/>
      <c r="C1094" s="7" t="str">
        <f>IF(B1094="","",IFERROR(INDEX(Reactivos!$D$2:$D$435,MATCH(B1094,Reactivos!$A$2:$A$435,0)),"ID no existe"))</f>
        <v/>
      </c>
      <c r="D1094" s="8"/>
      <c r="E1094" s="7" t="str">
        <f>IF(B1094="","",IFERROR(INDEX(Reactivos!$H$2:$H$435,MATCH(B1094,Reactivos!$A$2:$A$435,0)),""))</f>
        <v/>
      </c>
      <c r="F1094" s="8"/>
      <c r="G1094" s="8"/>
      <c r="H1094" s="13"/>
    </row>
    <row r="1095" spans="1:8" x14ac:dyDescent="0.3">
      <c r="A1095" s="11"/>
      <c r="B1095" s="8"/>
      <c r="C1095" s="7" t="str">
        <f>IF(B1095="","",IFERROR(INDEX(Reactivos!$D$2:$D$435,MATCH(B1095,Reactivos!$A$2:$A$435,0)),"ID no existe"))</f>
        <v/>
      </c>
      <c r="D1095" s="8"/>
      <c r="E1095" s="7" t="str">
        <f>IF(B1095="","",IFERROR(INDEX(Reactivos!$H$2:$H$435,MATCH(B1095,Reactivos!$A$2:$A$435,0)),""))</f>
        <v/>
      </c>
      <c r="F1095" s="8"/>
      <c r="G1095" s="8"/>
      <c r="H1095" s="13"/>
    </row>
    <row r="1096" spans="1:8" x14ac:dyDescent="0.3">
      <c r="A1096" s="11"/>
      <c r="B1096" s="8"/>
      <c r="C1096" s="7" t="str">
        <f>IF(B1096="","",IFERROR(INDEX(Reactivos!$D$2:$D$435,MATCH(B1096,Reactivos!$A$2:$A$435,0)),"ID no existe"))</f>
        <v/>
      </c>
      <c r="D1096" s="8"/>
      <c r="E1096" s="7" t="str">
        <f>IF(B1096="","",IFERROR(INDEX(Reactivos!$H$2:$H$435,MATCH(B1096,Reactivos!$A$2:$A$435,0)),""))</f>
        <v/>
      </c>
      <c r="F1096" s="8"/>
      <c r="G1096" s="8"/>
      <c r="H1096" s="13"/>
    </row>
    <row r="1097" spans="1:8" x14ac:dyDescent="0.3">
      <c r="A1097" s="11"/>
      <c r="B1097" s="8"/>
      <c r="C1097" s="7" t="str">
        <f>IF(B1097="","",IFERROR(INDEX(Reactivos!$D$2:$D$435,MATCH(B1097,Reactivos!$A$2:$A$435,0)),"ID no existe"))</f>
        <v/>
      </c>
      <c r="D1097" s="8"/>
      <c r="E1097" s="7" t="str">
        <f>IF(B1097="","",IFERROR(INDEX(Reactivos!$H$2:$H$435,MATCH(B1097,Reactivos!$A$2:$A$435,0)),""))</f>
        <v/>
      </c>
      <c r="F1097" s="8"/>
      <c r="G1097" s="8"/>
      <c r="H1097" s="13"/>
    </row>
    <row r="1098" spans="1:8" x14ac:dyDescent="0.3">
      <c r="A1098" s="11"/>
      <c r="B1098" s="8"/>
      <c r="C1098" s="7" t="str">
        <f>IF(B1098="","",IFERROR(INDEX(Reactivos!$D$2:$D$435,MATCH(B1098,Reactivos!$A$2:$A$435,0)),"ID no existe"))</f>
        <v/>
      </c>
      <c r="D1098" s="8"/>
      <c r="E1098" s="7" t="str">
        <f>IF(B1098="","",IFERROR(INDEX(Reactivos!$H$2:$H$435,MATCH(B1098,Reactivos!$A$2:$A$435,0)),""))</f>
        <v/>
      </c>
      <c r="F1098" s="8"/>
      <c r="G1098" s="8"/>
      <c r="H1098" s="13"/>
    </row>
    <row r="1099" spans="1:8" x14ac:dyDescent="0.3">
      <c r="A1099" s="11"/>
      <c r="B1099" s="8"/>
      <c r="C1099" s="7" t="str">
        <f>IF(B1099="","",IFERROR(INDEX(Reactivos!$D$2:$D$435,MATCH(B1099,Reactivos!$A$2:$A$435,0)),"ID no existe"))</f>
        <v/>
      </c>
      <c r="D1099" s="8"/>
      <c r="E1099" s="7" t="str">
        <f>IF(B1099="","",IFERROR(INDEX(Reactivos!$H$2:$H$435,MATCH(B1099,Reactivos!$A$2:$A$435,0)),""))</f>
        <v/>
      </c>
      <c r="F1099" s="8"/>
      <c r="G1099" s="8"/>
      <c r="H1099" s="13"/>
    </row>
    <row r="1100" spans="1:8" x14ac:dyDescent="0.3">
      <c r="A1100" s="11"/>
      <c r="B1100" s="8"/>
      <c r="C1100" s="7" t="str">
        <f>IF(B1100="","",IFERROR(INDEX(Reactivos!$D$2:$D$435,MATCH(B1100,Reactivos!$A$2:$A$435,0)),"ID no existe"))</f>
        <v/>
      </c>
      <c r="D1100" s="8"/>
      <c r="E1100" s="7" t="str">
        <f>IF(B1100="","",IFERROR(INDEX(Reactivos!$H$2:$H$435,MATCH(B1100,Reactivos!$A$2:$A$435,0)),""))</f>
        <v/>
      </c>
      <c r="F1100" s="8"/>
      <c r="G1100" s="8"/>
      <c r="H1100" s="13"/>
    </row>
    <row r="1101" spans="1:8" x14ac:dyDescent="0.3">
      <c r="A1101" s="11"/>
      <c r="B1101" s="8"/>
      <c r="C1101" s="7" t="str">
        <f>IF(B1101="","",IFERROR(INDEX(Reactivos!$D$2:$D$435,MATCH(B1101,Reactivos!$A$2:$A$435,0)),"ID no existe"))</f>
        <v/>
      </c>
      <c r="D1101" s="8"/>
      <c r="E1101" s="7" t="str">
        <f>IF(B1101="","",IFERROR(INDEX(Reactivos!$H$2:$H$435,MATCH(B1101,Reactivos!$A$2:$A$435,0)),""))</f>
        <v/>
      </c>
      <c r="F1101" s="8"/>
      <c r="G1101" s="8"/>
      <c r="H1101" s="13"/>
    </row>
    <row r="1102" spans="1:8" x14ac:dyDescent="0.3">
      <c r="A1102" s="11"/>
      <c r="B1102" s="8"/>
      <c r="C1102" s="7" t="str">
        <f>IF(B1102="","",IFERROR(INDEX(Reactivos!$D$2:$D$435,MATCH(B1102,Reactivos!$A$2:$A$435,0)),"ID no existe"))</f>
        <v/>
      </c>
      <c r="D1102" s="8"/>
      <c r="E1102" s="7" t="str">
        <f>IF(B1102="","",IFERROR(INDEX(Reactivos!$H$2:$H$435,MATCH(B1102,Reactivos!$A$2:$A$435,0)),""))</f>
        <v/>
      </c>
      <c r="F1102" s="8"/>
      <c r="G1102" s="8"/>
      <c r="H1102" s="13"/>
    </row>
    <row r="1103" spans="1:8" x14ac:dyDescent="0.3">
      <c r="A1103" s="11"/>
      <c r="B1103" s="8"/>
      <c r="C1103" s="7" t="str">
        <f>IF(B1103="","",IFERROR(INDEX(Reactivos!$D$2:$D$435,MATCH(B1103,Reactivos!$A$2:$A$435,0)),"ID no existe"))</f>
        <v/>
      </c>
      <c r="D1103" s="8"/>
      <c r="E1103" s="7" t="str">
        <f>IF(B1103="","",IFERROR(INDEX(Reactivos!$H$2:$H$435,MATCH(B1103,Reactivos!$A$2:$A$435,0)),""))</f>
        <v/>
      </c>
      <c r="F1103" s="8"/>
      <c r="G1103" s="8"/>
      <c r="H1103" s="13"/>
    </row>
    <row r="1104" spans="1:8" x14ac:dyDescent="0.3">
      <c r="A1104" s="11"/>
      <c r="B1104" s="8"/>
      <c r="C1104" s="7" t="str">
        <f>IF(B1104="","",IFERROR(INDEX(Reactivos!$D$2:$D$435,MATCH(B1104,Reactivos!$A$2:$A$435,0)),"ID no existe"))</f>
        <v/>
      </c>
      <c r="D1104" s="8"/>
      <c r="E1104" s="7" t="str">
        <f>IF(B1104="","",IFERROR(INDEX(Reactivos!$H$2:$H$435,MATCH(B1104,Reactivos!$A$2:$A$435,0)),""))</f>
        <v/>
      </c>
      <c r="F1104" s="8"/>
      <c r="G1104" s="8"/>
      <c r="H1104" s="13"/>
    </row>
    <row r="1105" spans="1:8" x14ac:dyDescent="0.3">
      <c r="A1105" s="11"/>
      <c r="B1105" s="8"/>
      <c r="C1105" s="7" t="str">
        <f>IF(B1105="","",IFERROR(INDEX(Reactivos!$D$2:$D$435,MATCH(B1105,Reactivos!$A$2:$A$435,0)),"ID no existe"))</f>
        <v/>
      </c>
      <c r="D1105" s="8"/>
      <c r="E1105" s="7" t="str">
        <f>IF(B1105="","",IFERROR(INDEX(Reactivos!$H$2:$H$435,MATCH(B1105,Reactivos!$A$2:$A$435,0)),""))</f>
        <v/>
      </c>
      <c r="F1105" s="8"/>
      <c r="G1105" s="8"/>
      <c r="H1105" s="13"/>
    </row>
    <row r="1106" spans="1:8" x14ac:dyDescent="0.3">
      <c r="A1106" s="11"/>
      <c r="B1106" s="8"/>
      <c r="C1106" s="7" t="str">
        <f>IF(B1106="","",IFERROR(INDEX(Reactivos!$D$2:$D$435,MATCH(B1106,Reactivos!$A$2:$A$435,0)),"ID no existe"))</f>
        <v/>
      </c>
      <c r="D1106" s="8"/>
      <c r="E1106" s="7" t="str">
        <f>IF(B1106="","",IFERROR(INDEX(Reactivos!$H$2:$H$435,MATCH(B1106,Reactivos!$A$2:$A$435,0)),""))</f>
        <v/>
      </c>
      <c r="F1106" s="8"/>
      <c r="G1106" s="8"/>
      <c r="H1106" s="13"/>
    </row>
    <row r="1107" spans="1:8" x14ac:dyDescent="0.3">
      <c r="A1107" s="11"/>
      <c r="B1107" s="8"/>
      <c r="C1107" s="7" t="str">
        <f>IF(B1107="","",IFERROR(INDEX(Reactivos!$D$2:$D$435,MATCH(B1107,Reactivos!$A$2:$A$435,0)),"ID no existe"))</f>
        <v/>
      </c>
      <c r="D1107" s="8"/>
      <c r="E1107" s="7" t="str">
        <f>IF(B1107="","",IFERROR(INDEX(Reactivos!$H$2:$H$435,MATCH(B1107,Reactivos!$A$2:$A$435,0)),""))</f>
        <v/>
      </c>
      <c r="F1107" s="8"/>
      <c r="G1107" s="8"/>
      <c r="H1107" s="13"/>
    </row>
    <row r="1108" spans="1:8" x14ac:dyDescent="0.3">
      <c r="A1108" s="11"/>
      <c r="B1108" s="8"/>
      <c r="C1108" s="7" t="str">
        <f>IF(B1108="","",IFERROR(INDEX(Reactivos!$D$2:$D$435,MATCH(B1108,Reactivos!$A$2:$A$435,0)),"ID no existe"))</f>
        <v/>
      </c>
      <c r="D1108" s="8"/>
      <c r="E1108" s="7" t="str">
        <f>IF(B1108="","",IFERROR(INDEX(Reactivos!$H$2:$H$435,MATCH(B1108,Reactivos!$A$2:$A$435,0)),""))</f>
        <v/>
      </c>
      <c r="F1108" s="8"/>
      <c r="G1108" s="8"/>
      <c r="H1108" s="13"/>
    </row>
    <row r="1109" spans="1:8" x14ac:dyDescent="0.3">
      <c r="A1109" s="11"/>
      <c r="B1109" s="8"/>
      <c r="C1109" s="7" t="str">
        <f>IF(B1109="","",IFERROR(INDEX(Reactivos!$D$2:$D$435,MATCH(B1109,Reactivos!$A$2:$A$435,0)),"ID no existe"))</f>
        <v/>
      </c>
      <c r="D1109" s="8"/>
      <c r="E1109" s="7" t="str">
        <f>IF(B1109="","",IFERROR(INDEX(Reactivos!$H$2:$H$435,MATCH(B1109,Reactivos!$A$2:$A$435,0)),""))</f>
        <v/>
      </c>
      <c r="F1109" s="8"/>
      <c r="G1109" s="8"/>
      <c r="H1109" s="13"/>
    </row>
    <row r="1110" spans="1:8" x14ac:dyDescent="0.3">
      <c r="A1110" s="11"/>
      <c r="B1110" s="8"/>
      <c r="C1110" s="7" t="str">
        <f>IF(B1110="","",IFERROR(INDEX(Reactivos!$D$2:$D$435,MATCH(B1110,Reactivos!$A$2:$A$435,0)),"ID no existe"))</f>
        <v/>
      </c>
      <c r="D1110" s="8"/>
      <c r="E1110" s="7" t="str">
        <f>IF(B1110="","",IFERROR(INDEX(Reactivos!$H$2:$H$435,MATCH(B1110,Reactivos!$A$2:$A$435,0)),""))</f>
        <v/>
      </c>
      <c r="F1110" s="8"/>
      <c r="G1110" s="8"/>
      <c r="H1110" s="13"/>
    </row>
    <row r="1111" spans="1:8" x14ac:dyDescent="0.3">
      <c r="A1111" s="11"/>
      <c r="B1111" s="8"/>
      <c r="C1111" s="7" t="str">
        <f>IF(B1111="","",IFERROR(INDEX(Reactivos!$D$2:$D$435,MATCH(B1111,Reactivos!$A$2:$A$435,0)),"ID no existe"))</f>
        <v/>
      </c>
      <c r="D1111" s="8"/>
      <c r="E1111" s="7" t="str">
        <f>IF(B1111="","",IFERROR(INDEX(Reactivos!$H$2:$H$435,MATCH(B1111,Reactivos!$A$2:$A$435,0)),""))</f>
        <v/>
      </c>
      <c r="F1111" s="8"/>
      <c r="G1111" s="8"/>
      <c r="H1111" s="13"/>
    </row>
    <row r="1112" spans="1:8" x14ac:dyDescent="0.3">
      <c r="A1112" s="11"/>
      <c r="B1112" s="8"/>
      <c r="C1112" s="7" t="str">
        <f>IF(B1112="","",IFERROR(INDEX(Reactivos!$D$2:$D$435,MATCH(B1112,Reactivos!$A$2:$A$435,0)),"ID no existe"))</f>
        <v/>
      </c>
      <c r="D1112" s="8"/>
      <c r="E1112" s="7" t="str">
        <f>IF(B1112="","",IFERROR(INDEX(Reactivos!$H$2:$H$435,MATCH(B1112,Reactivos!$A$2:$A$435,0)),""))</f>
        <v/>
      </c>
      <c r="F1112" s="8"/>
      <c r="G1112" s="8"/>
      <c r="H1112" s="13"/>
    </row>
    <row r="1113" spans="1:8" x14ac:dyDescent="0.3">
      <c r="A1113" s="11"/>
      <c r="B1113" s="8"/>
      <c r="C1113" s="7" t="str">
        <f>IF(B1113="","",IFERROR(INDEX(Reactivos!$D$2:$D$435,MATCH(B1113,Reactivos!$A$2:$A$435,0)),"ID no existe"))</f>
        <v/>
      </c>
      <c r="D1113" s="8"/>
      <c r="E1113" s="7" t="str">
        <f>IF(B1113="","",IFERROR(INDEX(Reactivos!$H$2:$H$435,MATCH(B1113,Reactivos!$A$2:$A$435,0)),""))</f>
        <v/>
      </c>
      <c r="F1113" s="8"/>
      <c r="G1113" s="8"/>
      <c r="H1113" s="13"/>
    </row>
    <row r="1114" spans="1:8" x14ac:dyDescent="0.3">
      <c r="A1114" s="11"/>
      <c r="B1114" s="8"/>
      <c r="C1114" s="7" t="str">
        <f>IF(B1114="","",IFERROR(INDEX(Reactivos!$D$2:$D$435,MATCH(B1114,Reactivos!$A$2:$A$435,0)),"ID no existe"))</f>
        <v/>
      </c>
      <c r="D1114" s="8"/>
      <c r="E1114" s="7" t="str">
        <f>IF(B1114="","",IFERROR(INDEX(Reactivos!$H$2:$H$435,MATCH(B1114,Reactivos!$A$2:$A$435,0)),""))</f>
        <v/>
      </c>
      <c r="F1114" s="8"/>
      <c r="G1114" s="8"/>
      <c r="H1114" s="13"/>
    </row>
    <row r="1115" spans="1:8" x14ac:dyDescent="0.3">
      <c r="A1115" s="11"/>
      <c r="B1115" s="8"/>
      <c r="C1115" s="7" t="str">
        <f>IF(B1115="","",IFERROR(INDEX(Reactivos!$D$2:$D$435,MATCH(B1115,Reactivos!$A$2:$A$435,0)),"ID no existe"))</f>
        <v/>
      </c>
      <c r="D1115" s="8"/>
      <c r="E1115" s="7" t="str">
        <f>IF(B1115="","",IFERROR(INDEX(Reactivos!$H$2:$H$435,MATCH(B1115,Reactivos!$A$2:$A$435,0)),""))</f>
        <v/>
      </c>
      <c r="F1115" s="8"/>
      <c r="G1115" s="8"/>
      <c r="H1115" s="13"/>
    </row>
    <row r="1116" spans="1:8" x14ac:dyDescent="0.3">
      <c r="A1116" s="11"/>
      <c r="B1116" s="8"/>
      <c r="C1116" s="7" t="str">
        <f>IF(B1116="","",IFERROR(INDEX(Reactivos!$D$2:$D$435,MATCH(B1116,Reactivos!$A$2:$A$435,0)),"ID no existe"))</f>
        <v/>
      </c>
      <c r="D1116" s="8"/>
      <c r="E1116" s="7" t="str">
        <f>IF(B1116="","",IFERROR(INDEX(Reactivos!$H$2:$H$435,MATCH(B1116,Reactivos!$A$2:$A$435,0)),""))</f>
        <v/>
      </c>
      <c r="F1116" s="8"/>
      <c r="G1116" s="8"/>
      <c r="H1116" s="13"/>
    </row>
    <row r="1117" spans="1:8" x14ac:dyDescent="0.3">
      <c r="A1117" s="11"/>
      <c r="B1117" s="8"/>
      <c r="C1117" s="7" t="str">
        <f>IF(B1117="","",IFERROR(INDEX(Reactivos!$D$2:$D$435,MATCH(B1117,Reactivos!$A$2:$A$435,0)),"ID no existe"))</f>
        <v/>
      </c>
      <c r="D1117" s="8"/>
      <c r="E1117" s="7" t="str">
        <f>IF(B1117="","",IFERROR(INDEX(Reactivos!$H$2:$H$435,MATCH(B1117,Reactivos!$A$2:$A$435,0)),""))</f>
        <v/>
      </c>
      <c r="F1117" s="8"/>
      <c r="G1117" s="8"/>
      <c r="H1117" s="13"/>
    </row>
    <row r="1118" spans="1:8" x14ac:dyDescent="0.3">
      <c r="A1118" s="11"/>
      <c r="B1118" s="8"/>
      <c r="C1118" s="7" t="str">
        <f>IF(B1118="","",IFERROR(INDEX(Reactivos!$D$2:$D$435,MATCH(B1118,Reactivos!$A$2:$A$435,0)),"ID no existe"))</f>
        <v/>
      </c>
      <c r="D1118" s="8"/>
      <c r="E1118" s="7" t="str">
        <f>IF(B1118="","",IFERROR(INDEX(Reactivos!$H$2:$H$435,MATCH(B1118,Reactivos!$A$2:$A$435,0)),""))</f>
        <v/>
      </c>
      <c r="F1118" s="8"/>
      <c r="G1118" s="8"/>
      <c r="H1118" s="13"/>
    </row>
    <row r="1119" spans="1:8" x14ac:dyDescent="0.3">
      <c r="A1119" s="11"/>
      <c r="B1119" s="8"/>
      <c r="C1119" s="7" t="str">
        <f>IF(B1119="","",IFERROR(INDEX(Reactivos!$D$2:$D$435,MATCH(B1119,Reactivos!$A$2:$A$435,0)),"ID no existe"))</f>
        <v/>
      </c>
      <c r="D1119" s="8"/>
      <c r="E1119" s="7" t="str">
        <f>IF(B1119="","",IFERROR(INDEX(Reactivos!$H$2:$H$435,MATCH(B1119,Reactivos!$A$2:$A$435,0)),""))</f>
        <v/>
      </c>
      <c r="F1119" s="8"/>
      <c r="G1119" s="8"/>
      <c r="H1119" s="13"/>
    </row>
    <row r="1120" spans="1:8" x14ac:dyDescent="0.3">
      <c r="A1120" s="11"/>
      <c r="B1120" s="8"/>
      <c r="C1120" s="7" t="str">
        <f>IF(B1120="","",IFERROR(INDEX(Reactivos!$D$2:$D$435,MATCH(B1120,Reactivos!$A$2:$A$435,0)),"ID no existe"))</f>
        <v/>
      </c>
      <c r="D1120" s="8"/>
      <c r="E1120" s="7" t="str">
        <f>IF(B1120="","",IFERROR(INDEX(Reactivos!$H$2:$H$435,MATCH(B1120,Reactivos!$A$2:$A$435,0)),""))</f>
        <v/>
      </c>
      <c r="F1120" s="8"/>
      <c r="G1120" s="8"/>
      <c r="H1120" s="13"/>
    </row>
    <row r="1121" spans="1:8" x14ac:dyDescent="0.3">
      <c r="A1121" s="11"/>
      <c r="B1121" s="8"/>
      <c r="C1121" s="7" t="str">
        <f>IF(B1121="","",IFERROR(INDEX(Reactivos!$D$2:$D$435,MATCH(B1121,Reactivos!$A$2:$A$435,0)),"ID no existe"))</f>
        <v/>
      </c>
      <c r="D1121" s="8"/>
      <c r="E1121" s="7" t="str">
        <f>IF(B1121="","",IFERROR(INDEX(Reactivos!$H$2:$H$435,MATCH(B1121,Reactivos!$A$2:$A$435,0)),""))</f>
        <v/>
      </c>
      <c r="F1121" s="8"/>
      <c r="G1121" s="8"/>
      <c r="H1121" s="13"/>
    </row>
    <row r="1122" spans="1:8" x14ac:dyDescent="0.3">
      <c r="A1122" s="11"/>
      <c r="B1122" s="8"/>
      <c r="C1122" s="7" t="str">
        <f>IF(B1122="","",IFERROR(INDEX(Reactivos!$D$2:$D$435,MATCH(B1122,Reactivos!$A$2:$A$435,0)),"ID no existe"))</f>
        <v/>
      </c>
      <c r="D1122" s="8"/>
      <c r="E1122" s="7" t="str">
        <f>IF(B1122="","",IFERROR(INDEX(Reactivos!$H$2:$H$435,MATCH(B1122,Reactivos!$A$2:$A$435,0)),""))</f>
        <v/>
      </c>
      <c r="F1122" s="8"/>
      <c r="G1122" s="8"/>
      <c r="H1122" s="13"/>
    </row>
    <row r="1123" spans="1:8" x14ac:dyDescent="0.3">
      <c r="A1123" s="11"/>
      <c r="B1123" s="8"/>
      <c r="C1123" s="7" t="str">
        <f>IF(B1123="","",IFERROR(INDEX(Reactivos!$D$2:$D$435,MATCH(B1123,Reactivos!$A$2:$A$435,0)),"ID no existe"))</f>
        <v/>
      </c>
      <c r="D1123" s="8"/>
      <c r="E1123" s="7" t="str">
        <f>IF(B1123="","",IFERROR(INDEX(Reactivos!$H$2:$H$435,MATCH(B1123,Reactivos!$A$2:$A$435,0)),""))</f>
        <v/>
      </c>
      <c r="F1123" s="8"/>
      <c r="G1123" s="8"/>
      <c r="H1123" s="13"/>
    </row>
    <row r="1124" spans="1:8" x14ac:dyDescent="0.3">
      <c r="A1124" s="11"/>
      <c r="B1124" s="8"/>
      <c r="C1124" s="7" t="str">
        <f>IF(B1124="","",IFERROR(INDEX(Reactivos!$D$2:$D$435,MATCH(B1124,Reactivos!$A$2:$A$435,0)),"ID no existe"))</f>
        <v/>
      </c>
      <c r="D1124" s="8"/>
      <c r="E1124" s="7" t="str">
        <f>IF(B1124="","",IFERROR(INDEX(Reactivos!$H$2:$H$435,MATCH(B1124,Reactivos!$A$2:$A$435,0)),""))</f>
        <v/>
      </c>
      <c r="F1124" s="8"/>
      <c r="G1124" s="8"/>
      <c r="H1124" s="13"/>
    </row>
    <row r="1125" spans="1:8" x14ac:dyDescent="0.3">
      <c r="A1125" s="11"/>
      <c r="B1125" s="8"/>
      <c r="C1125" s="7" t="str">
        <f>IF(B1125="","",IFERROR(INDEX(Reactivos!$D$2:$D$435,MATCH(B1125,Reactivos!$A$2:$A$435,0)),"ID no existe"))</f>
        <v/>
      </c>
      <c r="D1125" s="8"/>
      <c r="E1125" s="7" t="str">
        <f>IF(B1125="","",IFERROR(INDEX(Reactivos!$H$2:$H$435,MATCH(B1125,Reactivos!$A$2:$A$435,0)),""))</f>
        <v/>
      </c>
      <c r="F1125" s="8"/>
      <c r="G1125" s="8"/>
      <c r="H1125" s="13"/>
    </row>
    <row r="1126" spans="1:8" x14ac:dyDescent="0.3">
      <c r="A1126" s="11"/>
      <c r="B1126" s="8"/>
      <c r="C1126" s="7" t="str">
        <f>IF(B1126="","",IFERROR(INDEX(Reactivos!$D$2:$D$435,MATCH(B1126,Reactivos!$A$2:$A$435,0)),"ID no existe"))</f>
        <v/>
      </c>
      <c r="D1126" s="8"/>
      <c r="E1126" s="7" t="str">
        <f>IF(B1126="","",IFERROR(INDEX(Reactivos!$H$2:$H$435,MATCH(B1126,Reactivos!$A$2:$A$435,0)),""))</f>
        <v/>
      </c>
      <c r="F1126" s="8"/>
      <c r="G1126" s="8"/>
      <c r="H1126" s="13"/>
    </row>
    <row r="1127" spans="1:8" x14ac:dyDescent="0.3">
      <c r="A1127" s="11"/>
      <c r="B1127" s="8"/>
      <c r="C1127" s="7" t="str">
        <f>IF(B1127="","",IFERROR(INDEX(Reactivos!$D$2:$D$435,MATCH(B1127,Reactivos!$A$2:$A$435,0)),"ID no existe"))</f>
        <v/>
      </c>
      <c r="D1127" s="8"/>
      <c r="E1127" s="7" t="str">
        <f>IF(B1127="","",IFERROR(INDEX(Reactivos!$H$2:$H$435,MATCH(B1127,Reactivos!$A$2:$A$435,0)),""))</f>
        <v/>
      </c>
      <c r="F1127" s="8"/>
      <c r="G1127" s="8"/>
      <c r="H1127" s="13"/>
    </row>
    <row r="1128" spans="1:8" x14ac:dyDescent="0.3">
      <c r="A1128" s="11"/>
      <c r="B1128" s="8"/>
      <c r="C1128" s="7" t="str">
        <f>IF(B1128="","",IFERROR(INDEX(Reactivos!$D$2:$D$435,MATCH(B1128,Reactivos!$A$2:$A$435,0)),"ID no existe"))</f>
        <v/>
      </c>
      <c r="D1128" s="8"/>
      <c r="E1128" s="7" t="str">
        <f>IF(B1128="","",IFERROR(INDEX(Reactivos!$H$2:$H$435,MATCH(B1128,Reactivos!$A$2:$A$435,0)),""))</f>
        <v/>
      </c>
      <c r="F1128" s="8"/>
      <c r="G1128" s="8"/>
      <c r="H1128" s="13"/>
    </row>
    <row r="1129" spans="1:8" x14ac:dyDescent="0.3">
      <c r="A1129" s="11"/>
      <c r="B1129" s="8"/>
      <c r="C1129" s="7" t="str">
        <f>IF(B1129="","",IFERROR(INDEX(Reactivos!$D$2:$D$435,MATCH(B1129,Reactivos!$A$2:$A$435,0)),"ID no existe"))</f>
        <v/>
      </c>
      <c r="D1129" s="8"/>
      <c r="E1129" s="7" t="str">
        <f>IF(B1129="","",IFERROR(INDEX(Reactivos!$H$2:$H$435,MATCH(B1129,Reactivos!$A$2:$A$435,0)),""))</f>
        <v/>
      </c>
      <c r="F1129" s="8"/>
      <c r="G1129" s="8"/>
      <c r="H1129" s="13"/>
    </row>
    <row r="1130" spans="1:8" x14ac:dyDescent="0.3">
      <c r="A1130" s="11"/>
      <c r="B1130" s="8"/>
      <c r="C1130" s="7" t="str">
        <f>IF(B1130="","",IFERROR(INDEX(Reactivos!$D$2:$D$435,MATCH(B1130,Reactivos!$A$2:$A$435,0)),"ID no existe"))</f>
        <v/>
      </c>
      <c r="D1130" s="8"/>
      <c r="E1130" s="7" t="str">
        <f>IF(B1130="","",IFERROR(INDEX(Reactivos!$H$2:$H$435,MATCH(B1130,Reactivos!$A$2:$A$435,0)),""))</f>
        <v/>
      </c>
      <c r="F1130" s="8"/>
      <c r="G1130" s="8"/>
      <c r="H1130" s="13"/>
    </row>
    <row r="1131" spans="1:8" x14ac:dyDescent="0.3">
      <c r="A1131" s="11"/>
      <c r="B1131" s="8"/>
      <c r="C1131" s="7" t="str">
        <f>IF(B1131="","",IFERROR(INDEX(Reactivos!$D$2:$D$435,MATCH(B1131,Reactivos!$A$2:$A$435,0)),"ID no existe"))</f>
        <v/>
      </c>
      <c r="D1131" s="8"/>
      <c r="E1131" s="7" t="str">
        <f>IF(B1131="","",IFERROR(INDEX(Reactivos!$H$2:$H$435,MATCH(B1131,Reactivos!$A$2:$A$435,0)),""))</f>
        <v/>
      </c>
      <c r="F1131" s="8"/>
      <c r="G1131" s="8"/>
      <c r="H1131" s="13"/>
    </row>
    <row r="1132" spans="1:8" x14ac:dyDescent="0.3">
      <c r="A1132" s="11"/>
      <c r="B1132" s="8"/>
      <c r="C1132" s="7" t="str">
        <f>IF(B1132="","",IFERROR(INDEX(Reactivos!$D$2:$D$435,MATCH(B1132,Reactivos!$A$2:$A$435,0)),"ID no existe"))</f>
        <v/>
      </c>
      <c r="D1132" s="8"/>
      <c r="E1132" s="7" t="str">
        <f>IF(B1132="","",IFERROR(INDEX(Reactivos!$H$2:$H$435,MATCH(B1132,Reactivos!$A$2:$A$435,0)),""))</f>
        <v/>
      </c>
      <c r="F1132" s="8"/>
      <c r="G1132" s="8"/>
      <c r="H1132" s="13"/>
    </row>
    <row r="1133" spans="1:8" x14ac:dyDescent="0.3">
      <c r="A1133" s="11"/>
      <c r="B1133" s="8"/>
      <c r="C1133" s="7" t="str">
        <f>IF(B1133="","",IFERROR(INDEX(Reactivos!$D$2:$D$435,MATCH(B1133,Reactivos!$A$2:$A$435,0)),"ID no existe"))</f>
        <v/>
      </c>
      <c r="D1133" s="8"/>
      <c r="E1133" s="7" t="str">
        <f>IF(B1133="","",IFERROR(INDEX(Reactivos!$H$2:$H$435,MATCH(B1133,Reactivos!$A$2:$A$435,0)),""))</f>
        <v/>
      </c>
      <c r="F1133" s="8"/>
      <c r="G1133" s="8"/>
      <c r="H1133" s="13"/>
    </row>
    <row r="1134" spans="1:8" x14ac:dyDescent="0.3">
      <c r="A1134" s="11"/>
      <c r="B1134" s="8"/>
      <c r="C1134" s="7" t="str">
        <f>IF(B1134="","",IFERROR(INDEX(Reactivos!$D$2:$D$435,MATCH(B1134,Reactivos!$A$2:$A$435,0)),"ID no existe"))</f>
        <v/>
      </c>
      <c r="D1134" s="8"/>
      <c r="E1134" s="7" t="str">
        <f>IF(B1134="","",IFERROR(INDEX(Reactivos!$H$2:$H$435,MATCH(B1134,Reactivos!$A$2:$A$435,0)),""))</f>
        <v/>
      </c>
      <c r="F1134" s="8"/>
      <c r="G1134" s="8"/>
      <c r="H1134" s="13"/>
    </row>
    <row r="1135" spans="1:8" x14ac:dyDescent="0.3">
      <c r="A1135" s="11"/>
      <c r="B1135" s="8"/>
      <c r="C1135" s="7" t="str">
        <f>IF(B1135="","",IFERROR(INDEX(Reactivos!$D$2:$D$435,MATCH(B1135,Reactivos!$A$2:$A$435,0)),"ID no existe"))</f>
        <v/>
      </c>
      <c r="D1135" s="8"/>
      <c r="E1135" s="7" t="str">
        <f>IF(B1135="","",IFERROR(INDEX(Reactivos!$H$2:$H$435,MATCH(B1135,Reactivos!$A$2:$A$435,0)),""))</f>
        <v/>
      </c>
      <c r="F1135" s="8"/>
      <c r="G1135" s="8"/>
      <c r="H1135" s="13"/>
    </row>
    <row r="1136" spans="1:8" x14ac:dyDescent="0.3">
      <c r="A1136" s="11"/>
      <c r="B1136" s="8"/>
      <c r="C1136" s="7" t="str">
        <f>IF(B1136="","",IFERROR(INDEX(Reactivos!$D$2:$D$435,MATCH(B1136,Reactivos!$A$2:$A$435,0)),"ID no existe"))</f>
        <v/>
      </c>
      <c r="D1136" s="8"/>
      <c r="E1136" s="7" t="str">
        <f>IF(B1136="","",IFERROR(INDEX(Reactivos!$H$2:$H$435,MATCH(B1136,Reactivos!$A$2:$A$435,0)),""))</f>
        <v/>
      </c>
      <c r="F1136" s="8"/>
      <c r="G1136" s="8"/>
      <c r="H1136" s="13"/>
    </row>
    <row r="1137" spans="1:8" x14ac:dyDescent="0.3">
      <c r="A1137" s="11"/>
      <c r="B1137" s="8"/>
      <c r="C1137" s="7" t="str">
        <f>IF(B1137="","",IFERROR(INDEX(Reactivos!$D$2:$D$435,MATCH(B1137,Reactivos!$A$2:$A$435,0)),"ID no existe"))</f>
        <v/>
      </c>
      <c r="D1137" s="8"/>
      <c r="E1137" s="7" t="str">
        <f>IF(B1137="","",IFERROR(INDEX(Reactivos!$H$2:$H$435,MATCH(B1137,Reactivos!$A$2:$A$435,0)),""))</f>
        <v/>
      </c>
      <c r="F1137" s="8"/>
      <c r="G1137" s="8"/>
      <c r="H1137" s="13"/>
    </row>
    <row r="1138" spans="1:8" x14ac:dyDescent="0.3">
      <c r="A1138" s="11"/>
      <c r="B1138" s="8"/>
      <c r="C1138" s="7" t="str">
        <f>IF(B1138="","",IFERROR(INDEX(Reactivos!$D$2:$D$435,MATCH(B1138,Reactivos!$A$2:$A$435,0)),"ID no existe"))</f>
        <v/>
      </c>
      <c r="D1138" s="8"/>
      <c r="E1138" s="7" t="str">
        <f>IF(B1138="","",IFERROR(INDEX(Reactivos!$H$2:$H$435,MATCH(B1138,Reactivos!$A$2:$A$435,0)),""))</f>
        <v/>
      </c>
      <c r="F1138" s="8"/>
      <c r="G1138" s="8"/>
      <c r="H1138" s="13"/>
    </row>
    <row r="1139" spans="1:8" x14ac:dyDescent="0.3">
      <c r="A1139" s="11"/>
      <c r="B1139" s="8"/>
      <c r="C1139" s="7" t="str">
        <f>IF(B1139="","",IFERROR(INDEX(Reactivos!$D$2:$D$435,MATCH(B1139,Reactivos!$A$2:$A$435,0)),"ID no existe"))</f>
        <v/>
      </c>
      <c r="D1139" s="8"/>
      <c r="E1139" s="7" t="str">
        <f>IF(B1139="","",IFERROR(INDEX(Reactivos!$H$2:$H$435,MATCH(B1139,Reactivos!$A$2:$A$435,0)),""))</f>
        <v/>
      </c>
      <c r="F1139" s="8"/>
      <c r="G1139" s="8"/>
      <c r="H1139" s="13"/>
    </row>
    <row r="1140" spans="1:8" x14ac:dyDescent="0.3">
      <c r="A1140" s="11"/>
      <c r="B1140" s="8"/>
      <c r="C1140" s="7" t="str">
        <f>IF(B1140="","",IFERROR(INDEX(Reactivos!$D$2:$D$435,MATCH(B1140,Reactivos!$A$2:$A$435,0)),"ID no existe"))</f>
        <v/>
      </c>
      <c r="D1140" s="8"/>
      <c r="E1140" s="7" t="str">
        <f>IF(B1140="","",IFERROR(INDEX(Reactivos!$H$2:$H$435,MATCH(B1140,Reactivos!$A$2:$A$435,0)),""))</f>
        <v/>
      </c>
      <c r="F1140" s="8"/>
      <c r="G1140" s="8"/>
      <c r="H1140" s="13"/>
    </row>
    <row r="1141" spans="1:8" x14ac:dyDescent="0.3">
      <c r="A1141" s="11"/>
      <c r="B1141" s="8"/>
      <c r="C1141" s="7" t="str">
        <f>IF(B1141="","",IFERROR(INDEX(Reactivos!$D$2:$D$435,MATCH(B1141,Reactivos!$A$2:$A$435,0)),"ID no existe"))</f>
        <v/>
      </c>
      <c r="D1141" s="8"/>
      <c r="E1141" s="7" t="str">
        <f>IF(B1141="","",IFERROR(INDEX(Reactivos!$H$2:$H$435,MATCH(B1141,Reactivos!$A$2:$A$435,0)),""))</f>
        <v/>
      </c>
      <c r="F1141" s="8"/>
      <c r="G1141" s="8"/>
      <c r="H1141" s="13"/>
    </row>
    <row r="1142" spans="1:8" x14ac:dyDescent="0.3">
      <c r="A1142" s="11"/>
      <c r="B1142" s="8"/>
      <c r="C1142" s="7" t="str">
        <f>IF(B1142="","",IFERROR(INDEX(Reactivos!$D$2:$D$435,MATCH(B1142,Reactivos!$A$2:$A$435,0)),"ID no existe"))</f>
        <v/>
      </c>
      <c r="D1142" s="8"/>
      <c r="E1142" s="7" t="str">
        <f>IF(B1142="","",IFERROR(INDEX(Reactivos!$H$2:$H$435,MATCH(B1142,Reactivos!$A$2:$A$435,0)),""))</f>
        <v/>
      </c>
      <c r="F1142" s="8"/>
      <c r="G1142" s="8"/>
      <c r="H1142" s="13"/>
    </row>
    <row r="1143" spans="1:8" x14ac:dyDescent="0.3">
      <c r="A1143" s="11"/>
      <c r="B1143" s="8"/>
      <c r="C1143" s="7" t="str">
        <f>IF(B1143="","",IFERROR(INDEX(Reactivos!$D$2:$D$435,MATCH(B1143,Reactivos!$A$2:$A$435,0)),"ID no existe"))</f>
        <v/>
      </c>
      <c r="D1143" s="8"/>
      <c r="E1143" s="7" t="str">
        <f>IF(B1143="","",IFERROR(INDEX(Reactivos!$H$2:$H$435,MATCH(B1143,Reactivos!$A$2:$A$435,0)),""))</f>
        <v/>
      </c>
      <c r="F1143" s="8"/>
      <c r="G1143" s="8"/>
      <c r="H1143" s="13"/>
    </row>
    <row r="1144" spans="1:8" x14ac:dyDescent="0.3">
      <c r="A1144" s="11"/>
      <c r="B1144" s="8"/>
      <c r="C1144" s="7" t="str">
        <f>IF(B1144="","",IFERROR(INDEX(Reactivos!$D$2:$D$435,MATCH(B1144,Reactivos!$A$2:$A$435,0)),"ID no existe"))</f>
        <v/>
      </c>
      <c r="D1144" s="8"/>
      <c r="E1144" s="7" t="str">
        <f>IF(B1144="","",IFERROR(INDEX(Reactivos!$H$2:$H$435,MATCH(B1144,Reactivos!$A$2:$A$435,0)),""))</f>
        <v/>
      </c>
      <c r="F1144" s="8"/>
      <c r="G1144" s="8"/>
      <c r="H1144" s="13"/>
    </row>
    <row r="1145" spans="1:8" x14ac:dyDescent="0.3">
      <c r="A1145" s="11"/>
      <c r="B1145" s="8"/>
      <c r="C1145" s="7" t="str">
        <f>IF(B1145="","",IFERROR(INDEX(Reactivos!$D$2:$D$435,MATCH(B1145,Reactivos!$A$2:$A$435,0)),"ID no existe"))</f>
        <v/>
      </c>
      <c r="D1145" s="8"/>
      <c r="E1145" s="7" t="str">
        <f>IF(B1145="","",IFERROR(INDEX(Reactivos!$H$2:$H$435,MATCH(B1145,Reactivos!$A$2:$A$435,0)),""))</f>
        <v/>
      </c>
      <c r="F1145" s="8"/>
      <c r="G1145" s="8"/>
      <c r="H1145" s="13"/>
    </row>
    <row r="1146" spans="1:8" x14ac:dyDescent="0.3">
      <c r="A1146" s="11"/>
      <c r="B1146" s="8"/>
      <c r="C1146" s="7" t="str">
        <f>IF(B1146="","",IFERROR(INDEX(Reactivos!$D$2:$D$435,MATCH(B1146,Reactivos!$A$2:$A$435,0)),"ID no existe"))</f>
        <v/>
      </c>
      <c r="D1146" s="8"/>
      <c r="E1146" s="7" t="str">
        <f>IF(B1146="","",IFERROR(INDEX(Reactivos!$H$2:$H$435,MATCH(B1146,Reactivos!$A$2:$A$435,0)),""))</f>
        <v/>
      </c>
      <c r="F1146" s="8"/>
      <c r="G1146" s="8"/>
      <c r="H1146" s="13"/>
    </row>
    <row r="1147" spans="1:8" x14ac:dyDescent="0.3">
      <c r="A1147" s="11"/>
      <c r="B1147" s="8"/>
      <c r="C1147" s="7" t="str">
        <f>IF(B1147="","",IFERROR(INDEX(Reactivos!$D$2:$D$435,MATCH(B1147,Reactivos!$A$2:$A$435,0)),"ID no existe"))</f>
        <v/>
      </c>
      <c r="D1147" s="8"/>
      <c r="E1147" s="7" t="str">
        <f>IF(B1147="","",IFERROR(INDEX(Reactivos!$H$2:$H$435,MATCH(B1147,Reactivos!$A$2:$A$435,0)),""))</f>
        <v/>
      </c>
      <c r="F1147" s="8"/>
      <c r="G1147" s="8"/>
      <c r="H1147" s="13"/>
    </row>
    <row r="1148" spans="1:8" x14ac:dyDescent="0.3">
      <c r="A1148" s="11"/>
      <c r="B1148" s="8"/>
      <c r="C1148" s="7" t="str">
        <f>IF(B1148="","",IFERROR(INDEX(Reactivos!$D$2:$D$435,MATCH(B1148,Reactivos!$A$2:$A$435,0)),"ID no existe"))</f>
        <v/>
      </c>
      <c r="D1148" s="8"/>
      <c r="E1148" s="7" t="str">
        <f>IF(B1148="","",IFERROR(INDEX(Reactivos!$H$2:$H$435,MATCH(B1148,Reactivos!$A$2:$A$435,0)),""))</f>
        <v/>
      </c>
      <c r="F1148" s="8"/>
      <c r="G1148" s="8"/>
      <c r="H1148" s="13"/>
    </row>
    <row r="1149" spans="1:8" x14ac:dyDescent="0.3">
      <c r="A1149" s="11"/>
      <c r="B1149" s="8"/>
      <c r="C1149" s="7" t="str">
        <f>IF(B1149="","",IFERROR(INDEX(Reactivos!$D$2:$D$435,MATCH(B1149,Reactivos!$A$2:$A$435,0)),"ID no existe"))</f>
        <v/>
      </c>
      <c r="D1149" s="8"/>
      <c r="E1149" s="7" t="str">
        <f>IF(B1149="","",IFERROR(INDEX(Reactivos!$H$2:$H$435,MATCH(B1149,Reactivos!$A$2:$A$435,0)),""))</f>
        <v/>
      </c>
      <c r="F1149" s="8"/>
      <c r="G1149" s="8"/>
      <c r="H1149" s="13"/>
    </row>
    <row r="1150" spans="1:8" x14ac:dyDescent="0.3">
      <c r="A1150" s="11"/>
      <c r="B1150" s="8"/>
      <c r="C1150" s="7" t="str">
        <f>IF(B1150="","",IFERROR(INDEX(Reactivos!$D$2:$D$435,MATCH(B1150,Reactivos!$A$2:$A$435,0)),"ID no existe"))</f>
        <v/>
      </c>
      <c r="D1150" s="8"/>
      <c r="E1150" s="7" t="str">
        <f>IF(B1150="","",IFERROR(INDEX(Reactivos!$H$2:$H$435,MATCH(B1150,Reactivos!$A$2:$A$435,0)),""))</f>
        <v/>
      </c>
      <c r="F1150" s="8"/>
      <c r="G1150" s="8"/>
      <c r="H1150" s="13"/>
    </row>
    <row r="1151" spans="1:8" x14ac:dyDescent="0.3">
      <c r="A1151" s="11"/>
      <c r="B1151" s="8"/>
      <c r="C1151" s="7" t="str">
        <f>IF(B1151="","",IFERROR(INDEX(Reactivos!$D$2:$D$435,MATCH(B1151,Reactivos!$A$2:$A$435,0)),"ID no existe"))</f>
        <v/>
      </c>
      <c r="D1151" s="8"/>
      <c r="E1151" s="7" t="str">
        <f>IF(B1151="","",IFERROR(INDEX(Reactivos!$H$2:$H$435,MATCH(B1151,Reactivos!$A$2:$A$435,0)),""))</f>
        <v/>
      </c>
      <c r="F1151" s="8"/>
      <c r="G1151" s="8"/>
      <c r="H1151" s="13"/>
    </row>
    <row r="1152" spans="1:8" x14ac:dyDescent="0.3">
      <c r="A1152" s="11"/>
      <c r="B1152" s="8"/>
      <c r="C1152" s="7" t="str">
        <f>IF(B1152="","",IFERROR(INDEX(Reactivos!$D$2:$D$435,MATCH(B1152,Reactivos!$A$2:$A$435,0)),"ID no existe"))</f>
        <v/>
      </c>
      <c r="D1152" s="8"/>
      <c r="E1152" s="7" t="str">
        <f>IF(B1152="","",IFERROR(INDEX(Reactivos!$H$2:$H$435,MATCH(B1152,Reactivos!$A$2:$A$435,0)),""))</f>
        <v/>
      </c>
      <c r="F1152" s="8"/>
      <c r="G1152" s="8"/>
      <c r="H1152" s="13"/>
    </row>
    <row r="1153" spans="1:8" x14ac:dyDescent="0.3">
      <c r="A1153" s="11"/>
      <c r="B1153" s="8"/>
      <c r="C1153" s="7" t="str">
        <f>IF(B1153="","",IFERROR(INDEX(Reactivos!$D$2:$D$435,MATCH(B1153,Reactivos!$A$2:$A$435,0)),"ID no existe"))</f>
        <v/>
      </c>
      <c r="D1153" s="8"/>
      <c r="E1153" s="7" t="str">
        <f>IF(B1153="","",IFERROR(INDEX(Reactivos!$H$2:$H$435,MATCH(B1153,Reactivos!$A$2:$A$435,0)),""))</f>
        <v/>
      </c>
      <c r="F1153" s="8"/>
      <c r="G1153" s="8"/>
      <c r="H1153" s="13"/>
    </row>
    <row r="1154" spans="1:8" x14ac:dyDescent="0.3">
      <c r="A1154" s="11"/>
      <c r="B1154" s="8"/>
      <c r="C1154" s="7" t="str">
        <f>IF(B1154="","",IFERROR(INDEX(Reactivos!$D$2:$D$435,MATCH(B1154,Reactivos!$A$2:$A$435,0)),"ID no existe"))</f>
        <v/>
      </c>
      <c r="D1154" s="8"/>
      <c r="E1154" s="7" t="str">
        <f>IF(B1154="","",IFERROR(INDEX(Reactivos!$H$2:$H$435,MATCH(B1154,Reactivos!$A$2:$A$435,0)),""))</f>
        <v/>
      </c>
      <c r="F1154" s="8"/>
      <c r="G1154" s="8"/>
      <c r="H1154" s="13"/>
    </row>
    <row r="1155" spans="1:8" x14ac:dyDescent="0.3">
      <c r="A1155" s="11"/>
      <c r="B1155" s="8"/>
      <c r="C1155" s="7" t="str">
        <f>IF(B1155="","",IFERROR(INDEX(Reactivos!$D$2:$D$435,MATCH(B1155,Reactivos!$A$2:$A$435,0)),"ID no existe"))</f>
        <v/>
      </c>
      <c r="D1155" s="8"/>
      <c r="E1155" s="7" t="str">
        <f>IF(B1155="","",IFERROR(INDEX(Reactivos!$H$2:$H$435,MATCH(B1155,Reactivos!$A$2:$A$435,0)),""))</f>
        <v/>
      </c>
      <c r="F1155" s="8"/>
      <c r="G1155" s="8"/>
      <c r="H1155" s="13"/>
    </row>
    <row r="1156" spans="1:8" x14ac:dyDescent="0.3">
      <c r="A1156" s="11"/>
      <c r="B1156" s="8"/>
      <c r="C1156" s="7" t="str">
        <f>IF(B1156="","",IFERROR(INDEX(Reactivos!$D$2:$D$435,MATCH(B1156,Reactivos!$A$2:$A$435,0)),"ID no existe"))</f>
        <v/>
      </c>
      <c r="D1156" s="8"/>
      <c r="E1156" s="7" t="str">
        <f>IF(B1156="","",IFERROR(INDEX(Reactivos!$H$2:$H$435,MATCH(B1156,Reactivos!$A$2:$A$435,0)),""))</f>
        <v/>
      </c>
      <c r="F1156" s="8"/>
      <c r="G1156" s="8"/>
      <c r="H1156" s="13"/>
    </row>
    <row r="1157" spans="1:8" x14ac:dyDescent="0.3">
      <c r="A1157" s="11"/>
      <c r="B1157" s="8"/>
      <c r="C1157" s="7" t="str">
        <f>IF(B1157="","",IFERROR(INDEX(Reactivos!$D$2:$D$435,MATCH(B1157,Reactivos!$A$2:$A$435,0)),"ID no existe"))</f>
        <v/>
      </c>
      <c r="D1157" s="8"/>
      <c r="E1157" s="7" t="str">
        <f>IF(B1157="","",IFERROR(INDEX(Reactivos!$H$2:$H$435,MATCH(B1157,Reactivos!$A$2:$A$435,0)),""))</f>
        <v/>
      </c>
      <c r="F1157" s="8"/>
      <c r="G1157" s="8"/>
      <c r="H1157" s="13"/>
    </row>
    <row r="1158" spans="1:8" x14ac:dyDescent="0.3">
      <c r="A1158" s="11"/>
      <c r="B1158" s="8"/>
      <c r="C1158" s="7" t="str">
        <f>IF(B1158="","",IFERROR(INDEX(Reactivos!$D$2:$D$435,MATCH(B1158,Reactivos!$A$2:$A$435,0)),"ID no existe"))</f>
        <v/>
      </c>
      <c r="D1158" s="8"/>
      <c r="E1158" s="7" t="str">
        <f>IF(B1158="","",IFERROR(INDEX(Reactivos!$H$2:$H$435,MATCH(B1158,Reactivos!$A$2:$A$435,0)),""))</f>
        <v/>
      </c>
      <c r="F1158" s="8"/>
      <c r="G1158" s="8"/>
      <c r="H1158" s="13"/>
    </row>
    <row r="1159" spans="1:8" x14ac:dyDescent="0.3">
      <c r="A1159" s="11"/>
      <c r="B1159" s="8"/>
      <c r="C1159" s="7" t="str">
        <f>IF(B1159="","",IFERROR(INDEX(Reactivos!$D$2:$D$435,MATCH(B1159,Reactivos!$A$2:$A$435,0)),"ID no existe"))</f>
        <v/>
      </c>
      <c r="D1159" s="8"/>
      <c r="E1159" s="7" t="str">
        <f>IF(B1159="","",IFERROR(INDEX(Reactivos!$H$2:$H$435,MATCH(B1159,Reactivos!$A$2:$A$435,0)),""))</f>
        <v/>
      </c>
      <c r="F1159" s="8"/>
      <c r="G1159" s="8"/>
      <c r="H1159" s="13"/>
    </row>
    <row r="1160" spans="1:8" x14ac:dyDescent="0.3">
      <c r="A1160" s="11"/>
      <c r="B1160" s="8"/>
      <c r="C1160" s="7" t="str">
        <f>IF(B1160="","",IFERROR(INDEX(Reactivos!$D$2:$D$435,MATCH(B1160,Reactivos!$A$2:$A$435,0)),"ID no existe"))</f>
        <v/>
      </c>
      <c r="D1160" s="8"/>
      <c r="E1160" s="7" t="str">
        <f>IF(B1160="","",IFERROR(INDEX(Reactivos!$H$2:$H$435,MATCH(B1160,Reactivos!$A$2:$A$435,0)),""))</f>
        <v/>
      </c>
      <c r="F1160" s="8"/>
      <c r="G1160" s="8"/>
      <c r="H1160" s="13"/>
    </row>
    <row r="1161" spans="1:8" x14ac:dyDescent="0.3">
      <c r="A1161" s="11"/>
      <c r="B1161" s="8"/>
      <c r="C1161" s="7" t="str">
        <f>IF(B1161="","",IFERROR(INDEX(Reactivos!$D$2:$D$435,MATCH(B1161,Reactivos!$A$2:$A$435,0)),"ID no existe"))</f>
        <v/>
      </c>
      <c r="D1161" s="8"/>
      <c r="E1161" s="7" t="str">
        <f>IF(B1161="","",IFERROR(INDEX(Reactivos!$H$2:$H$435,MATCH(B1161,Reactivos!$A$2:$A$435,0)),""))</f>
        <v/>
      </c>
      <c r="F1161" s="8"/>
      <c r="G1161" s="8"/>
      <c r="H1161" s="13"/>
    </row>
    <row r="1162" spans="1:8" x14ac:dyDescent="0.3">
      <c r="A1162" s="11"/>
      <c r="B1162" s="8"/>
      <c r="C1162" s="7" t="str">
        <f>IF(B1162="","",IFERROR(INDEX(Reactivos!$D$2:$D$435,MATCH(B1162,Reactivos!$A$2:$A$435,0)),"ID no existe"))</f>
        <v/>
      </c>
      <c r="D1162" s="8"/>
      <c r="E1162" s="7" t="str">
        <f>IF(B1162="","",IFERROR(INDEX(Reactivos!$H$2:$H$435,MATCH(B1162,Reactivos!$A$2:$A$435,0)),""))</f>
        <v/>
      </c>
      <c r="F1162" s="8"/>
      <c r="G1162" s="8"/>
      <c r="H1162" s="13"/>
    </row>
    <row r="1163" spans="1:8" x14ac:dyDescent="0.3">
      <c r="A1163" s="11"/>
      <c r="B1163" s="8"/>
      <c r="C1163" s="7" t="str">
        <f>IF(B1163="","",IFERROR(INDEX(Reactivos!$D$2:$D$435,MATCH(B1163,Reactivos!$A$2:$A$435,0)),"ID no existe"))</f>
        <v/>
      </c>
      <c r="D1163" s="8"/>
      <c r="E1163" s="7" t="str">
        <f>IF(B1163="","",IFERROR(INDEX(Reactivos!$H$2:$H$435,MATCH(B1163,Reactivos!$A$2:$A$435,0)),""))</f>
        <v/>
      </c>
      <c r="F1163" s="8"/>
      <c r="G1163" s="8"/>
      <c r="H1163" s="13"/>
    </row>
    <row r="1164" spans="1:8" x14ac:dyDescent="0.3">
      <c r="A1164" s="11"/>
      <c r="B1164" s="8"/>
      <c r="C1164" s="7" t="str">
        <f>IF(B1164="","",IFERROR(INDEX(Reactivos!$D$2:$D$435,MATCH(B1164,Reactivos!$A$2:$A$435,0)),"ID no existe"))</f>
        <v/>
      </c>
      <c r="D1164" s="8"/>
      <c r="E1164" s="7" t="str">
        <f>IF(B1164="","",IFERROR(INDEX(Reactivos!$H$2:$H$435,MATCH(B1164,Reactivos!$A$2:$A$435,0)),""))</f>
        <v/>
      </c>
      <c r="F1164" s="8"/>
      <c r="G1164" s="8"/>
      <c r="H1164" s="13"/>
    </row>
    <row r="1165" spans="1:8" x14ac:dyDescent="0.3">
      <c r="A1165" s="11"/>
      <c r="B1165" s="8"/>
      <c r="C1165" s="7" t="str">
        <f>IF(B1165="","",IFERROR(INDEX(Reactivos!$D$2:$D$435,MATCH(B1165,Reactivos!$A$2:$A$435,0)),"ID no existe"))</f>
        <v/>
      </c>
      <c r="D1165" s="8"/>
      <c r="E1165" s="7" t="str">
        <f>IF(B1165="","",IFERROR(INDEX(Reactivos!$H$2:$H$435,MATCH(B1165,Reactivos!$A$2:$A$435,0)),""))</f>
        <v/>
      </c>
      <c r="F1165" s="8"/>
      <c r="G1165" s="8"/>
      <c r="H1165" s="13"/>
    </row>
    <row r="1166" spans="1:8" x14ac:dyDescent="0.3">
      <c r="A1166" s="11"/>
      <c r="B1166" s="8"/>
      <c r="C1166" s="7" t="str">
        <f>IF(B1166="","",IFERROR(INDEX(Reactivos!$D$2:$D$435,MATCH(B1166,Reactivos!$A$2:$A$435,0)),"ID no existe"))</f>
        <v/>
      </c>
      <c r="D1166" s="8"/>
      <c r="E1166" s="7" t="str">
        <f>IF(B1166="","",IFERROR(INDEX(Reactivos!$H$2:$H$435,MATCH(B1166,Reactivos!$A$2:$A$435,0)),""))</f>
        <v/>
      </c>
      <c r="F1166" s="8"/>
      <c r="G1166" s="8"/>
      <c r="H1166" s="13"/>
    </row>
    <row r="1167" spans="1:8" x14ac:dyDescent="0.3">
      <c r="A1167" s="11"/>
      <c r="B1167" s="8"/>
      <c r="C1167" s="7" t="str">
        <f>IF(B1167="","",IFERROR(INDEX(Reactivos!$D$2:$D$435,MATCH(B1167,Reactivos!$A$2:$A$435,0)),"ID no existe"))</f>
        <v/>
      </c>
      <c r="D1167" s="8"/>
      <c r="E1167" s="7" t="str">
        <f>IF(B1167="","",IFERROR(INDEX(Reactivos!$H$2:$H$435,MATCH(B1167,Reactivos!$A$2:$A$435,0)),""))</f>
        <v/>
      </c>
      <c r="F1167" s="8"/>
      <c r="G1167" s="8"/>
      <c r="H1167" s="13"/>
    </row>
    <row r="1168" spans="1:8" x14ac:dyDescent="0.3">
      <c r="A1168" s="11"/>
      <c r="B1168" s="8"/>
      <c r="C1168" s="7" t="str">
        <f>IF(B1168="","",IFERROR(INDEX(Reactivos!$D$2:$D$435,MATCH(B1168,Reactivos!$A$2:$A$435,0)),"ID no existe"))</f>
        <v/>
      </c>
      <c r="D1168" s="8"/>
      <c r="E1168" s="7" t="str">
        <f>IF(B1168="","",IFERROR(INDEX(Reactivos!$H$2:$H$435,MATCH(B1168,Reactivos!$A$2:$A$435,0)),""))</f>
        <v/>
      </c>
      <c r="F1168" s="8"/>
      <c r="G1168" s="8"/>
      <c r="H1168" s="13"/>
    </row>
    <row r="1169" spans="1:8" x14ac:dyDescent="0.3">
      <c r="A1169" s="11"/>
      <c r="B1169" s="8"/>
      <c r="C1169" s="7" t="str">
        <f>IF(B1169="","",IFERROR(INDEX(Reactivos!$D$2:$D$435,MATCH(B1169,Reactivos!$A$2:$A$435,0)),"ID no existe"))</f>
        <v/>
      </c>
      <c r="D1169" s="8"/>
      <c r="E1169" s="7" t="str">
        <f>IF(B1169="","",IFERROR(INDEX(Reactivos!$H$2:$H$435,MATCH(B1169,Reactivos!$A$2:$A$435,0)),""))</f>
        <v/>
      </c>
      <c r="F1169" s="8"/>
      <c r="G1169" s="8"/>
      <c r="H1169" s="13"/>
    </row>
    <row r="1170" spans="1:8" x14ac:dyDescent="0.3">
      <c r="A1170" s="11"/>
      <c r="B1170" s="8"/>
      <c r="C1170" s="7" t="str">
        <f>IF(B1170="","",IFERROR(INDEX(Reactivos!$D$2:$D$435,MATCH(B1170,Reactivos!$A$2:$A$435,0)),"ID no existe"))</f>
        <v/>
      </c>
      <c r="D1170" s="8"/>
      <c r="E1170" s="7" t="str">
        <f>IF(B1170="","",IFERROR(INDEX(Reactivos!$H$2:$H$435,MATCH(B1170,Reactivos!$A$2:$A$435,0)),""))</f>
        <v/>
      </c>
      <c r="F1170" s="8"/>
      <c r="G1170" s="8"/>
      <c r="H1170" s="13"/>
    </row>
    <row r="1171" spans="1:8" x14ac:dyDescent="0.3">
      <c r="A1171" s="11"/>
      <c r="B1171" s="8"/>
      <c r="C1171" s="7" t="str">
        <f>IF(B1171="","",IFERROR(INDEX(Reactivos!$D$2:$D$435,MATCH(B1171,Reactivos!$A$2:$A$435,0)),"ID no existe"))</f>
        <v/>
      </c>
      <c r="D1171" s="8"/>
      <c r="E1171" s="7" t="str">
        <f>IF(B1171="","",IFERROR(INDEX(Reactivos!$H$2:$H$435,MATCH(B1171,Reactivos!$A$2:$A$435,0)),""))</f>
        <v/>
      </c>
      <c r="F1171" s="8"/>
      <c r="G1171" s="8"/>
      <c r="H1171" s="13"/>
    </row>
    <row r="1172" spans="1:8" x14ac:dyDescent="0.3">
      <c r="A1172" s="11"/>
      <c r="B1172" s="8"/>
      <c r="C1172" s="7" t="str">
        <f>IF(B1172="","",IFERROR(INDEX(Reactivos!$D$2:$D$435,MATCH(B1172,Reactivos!$A$2:$A$435,0)),"ID no existe"))</f>
        <v/>
      </c>
      <c r="D1172" s="8"/>
      <c r="E1172" s="7" t="str">
        <f>IF(B1172="","",IFERROR(INDEX(Reactivos!$H$2:$H$435,MATCH(B1172,Reactivos!$A$2:$A$435,0)),""))</f>
        <v/>
      </c>
      <c r="F1172" s="8"/>
      <c r="G1172" s="8"/>
      <c r="H1172" s="13"/>
    </row>
    <row r="1173" spans="1:8" x14ac:dyDescent="0.3">
      <c r="A1173" s="11"/>
      <c r="B1173" s="8"/>
      <c r="C1173" s="7" t="str">
        <f>IF(B1173="","",IFERROR(INDEX(Reactivos!$D$2:$D$435,MATCH(B1173,Reactivos!$A$2:$A$435,0)),"ID no existe"))</f>
        <v/>
      </c>
      <c r="D1173" s="8"/>
      <c r="E1173" s="7" t="str">
        <f>IF(B1173="","",IFERROR(INDEX(Reactivos!$H$2:$H$435,MATCH(B1173,Reactivos!$A$2:$A$435,0)),""))</f>
        <v/>
      </c>
      <c r="F1173" s="8"/>
      <c r="G1173" s="8"/>
      <c r="H1173" s="13"/>
    </row>
    <row r="1174" spans="1:8" x14ac:dyDescent="0.3">
      <c r="A1174" s="11"/>
      <c r="B1174" s="8"/>
      <c r="C1174" s="7" t="str">
        <f>IF(B1174="","",IFERROR(INDEX(Reactivos!$D$2:$D$435,MATCH(B1174,Reactivos!$A$2:$A$435,0)),"ID no existe"))</f>
        <v/>
      </c>
      <c r="D1174" s="8"/>
      <c r="E1174" s="7" t="str">
        <f>IF(B1174="","",IFERROR(INDEX(Reactivos!$H$2:$H$435,MATCH(B1174,Reactivos!$A$2:$A$435,0)),""))</f>
        <v/>
      </c>
      <c r="F1174" s="8"/>
      <c r="G1174" s="8"/>
      <c r="H1174" s="13"/>
    </row>
    <row r="1175" spans="1:8" x14ac:dyDescent="0.3">
      <c r="A1175" s="11"/>
      <c r="B1175" s="8"/>
      <c r="C1175" s="7" t="str">
        <f>IF(B1175="","",IFERROR(INDEX(Reactivos!$D$2:$D$435,MATCH(B1175,Reactivos!$A$2:$A$435,0)),"ID no existe"))</f>
        <v/>
      </c>
      <c r="D1175" s="8"/>
      <c r="E1175" s="7" t="str">
        <f>IF(B1175="","",IFERROR(INDEX(Reactivos!$H$2:$H$435,MATCH(B1175,Reactivos!$A$2:$A$435,0)),""))</f>
        <v/>
      </c>
      <c r="F1175" s="8"/>
      <c r="G1175" s="8"/>
      <c r="H1175" s="13"/>
    </row>
    <row r="1176" spans="1:8" x14ac:dyDescent="0.3">
      <c r="A1176" s="11"/>
      <c r="B1176" s="8"/>
      <c r="C1176" s="7" t="str">
        <f>IF(B1176="","",IFERROR(INDEX(Reactivos!$D$2:$D$435,MATCH(B1176,Reactivos!$A$2:$A$435,0)),"ID no existe"))</f>
        <v/>
      </c>
      <c r="D1176" s="8"/>
      <c r="E1176" s="7" t="str">
        <f>IF(B1176="","",IFERROR(INDEX(Reactivos!$H$2:$H$435,MATCH(B1176,Reactivos!$A$2:$A$435,0)),""))</f>
        <v/>
      </c>
      <c r="F1176" s="8"/>
      <c r="G1176" s="8"/>
      <c r="H1176" s="13"/>
    </row>
    <row r="1177" spans="1:8" x14ac:dyDescent="0.3">
      <c r="A1177" s="11"/>
      <c r="B1177" s="8"/>
      <c r="C1177" s="7" t="str">
        <f>IF(B1177="","",IFERROR(INDEX(Reactivos!$D$2:$D$435,MATCH(B1177,Reactivos!$A$2:$A$435,0)),"ID no existe"))</f>
        <v/>
      </c>
      <c r="D1177" s="8"/>
      <c r="E1177" s="7" t="str">
        <f>IF(B1177="","",IFERROR(INDEX(Reactivos!$H$2:$H$435,MATCH(B1177,Reactivos!$A$2:$A$435,0)),""))</f>
        <v/>
      </c>
      <c r="F1177" s="8"/>
      <c r="G1177" s="8"/>
      <c r="H1177" s="13"/>
    </row>
    <row r="1178" spans="1:8" x14ac:dyDescent="0.3">
      <c r="A1178" s="11"/>
      <c r="B1178" s="8"/>
      <c r="C1178" s="7" t="str">
        <f>IF(B1178="","",IFERROR(INDEX(Reactivos!$D$2:$D$435,MATCH(B1178,Reactivos!$A$2:$A$435,0)),"ID no existe"))</f>
        <v/>
      </c>
      <c r="D1178" s="8"/>
      <c r="E1178" s="7" t="str">
        <f>IF(B1178="","",IFERROR(INDEX(Reactivos!$H$2:$H$435,MATCH(B1178,Reactivos!$A$2:$A$435,0)),""))</f>
        <v/>
      </c>
      <c r="F1178" s="8"/>
      <c r="G1178" s="8"/>
      <c r="H1178" s="13"/>
    </row>
    <row r="1179" spans="1:8" x14ac:dyDescent="0.3">
      <c r="A1179" s="11"/>
      <c r="B1179" s="8"/>
      <c r="C1179" s="7" t="str">
        <f>IF(B1179="","",IFERROR(INDEX(Reactivos!$D$2:$D$435,MATCH(B1179,Reactivos!$A$2:$A$435,0)),"ID no existe"))</f>
        <v/>
      </c>
      <c r="D1179" s="8"/>
      <c r="E1179" s="7" t="str">
        <f>IF(B1179="","",IFERROR(INDEX(Reactivos!$H$2:$H$435,MATCH(B1179,Reactivos!$A$2:$A$435,0)),""))</f>
        <v/>
      </c>
      <c r="F1179" s="8"/>
      <c r="G1179" s="8"/>
      <c r="H1179" s="13"/>
    </row>
    <row r="1180" spans="1:8" x14ac:dyDescent="0.3">
      <c r="A1180" s="11"/>
      <c r="B1180" s="8"/>
      <c r="C1180" s="7" t="str">
        <f>IF(B1180="","",IFERROR(INDEX(Reactivos!$D$2:$D$435,MATCH(B1180,Reactivos!$A$2:$A$435,0)),"ID no existe"))</f>
        <v/>
      </c>
      <c r="D1180" s="8"/>
      <c r="E1180" s="7" t="str">
        <f>IF(B1180="","",IFERROR(INDEX(Reactivos!$H$2:$H$435,MATCH(B1180,Reactivos!$A$2:$A$435,0)),""))</f>
        <v/>
      </c>
      <c r="F1180" s="8"/>
      <c r="G1180" s="8"/>
      <c r="H1180" s="13"/>
    </row>
    <row r="1181" spans="1:8" x14ac:dyDescent="0.3">
      <c r="A1181" s="11"/>
      <c r="B1181" s="8"/>
      <c r="C1181" s="7" t="str">
        <f>IF(B1181="","",IFERROR(INDEX(Reactivos!$D$2:$D$435,MATCH(B1181,Reactivos!$A$2:$A$435,0)),"ID no existe"))</f>
        <v/>
      </c>
      <c r="D1181" s="8"/>
      <c r="E1181" s="7" t="str">
        <f>IF(B1181="","",IFERROR(INDEX(Reactivos!$H$2:$H$435,MATCH(B1181,Reactivos!$A$2:$A$435,0)),""))</f>
        <v/>
      </c>
      <c r="F1181" s="8"/>
      <c r="G1181" s="8"/>
      <c r="H1181" s="13"/>
    </row>
    <row r="1182" spans="1:8" x14ac:dyDescent="0.3">
      <c r="A1182" s="11"/>
      <c r="B1182" s="8"/>
      <c r="C1182" s="7" t="str">
        <f>IF(B1182="","",IFERROR(INDEX(Reactivos!$D$2:$D$435,MATCH(B1182,Reactivos!$A$2:$A$435,0)),"ID no existe"))</f>
        <v/>
      </c>
      <c r="D1182" s="8"/>
      <c r="E1182" s="7" t="str">
        <f>IF(B1182="","",IFERROR(INDEX(Reactivos!$H$2:$H$435,MATCH(B1182,Reactivos!$A$2:$A$435,0)),""))</f>
        <v/>
      </c>
      <c r="F1182" s="8"/>
      <c r="G1182" s="8"/>
      <c r="H1182" s="13"/>
    </row>
    <row r="1183" spans="1:8" x14ac:dyDescent="0.3">
      <c r="A1183" s="11"/>
      <c r="B1183" s="8"/>
      <c r="C1183" s="7" t="str">
        <f>IF(B1183="","",IFERROR(INDEX(Reactivos!$D$2:$D$435,MATCH(B1183,Reactivos!$A$2:$A$435,0)),"ID no existe"))</f>
        <v/>
      </c>
      <c r="D1183" s="8"/>
      <c r="E1183" s="7" t="str">
        <f>IF(B1183="","",IFERROR(INDEX(Reactivos!$H$2:$H$435,MATCH(B1183,Reactivos!$A$2:$A$435,0)),""))</f>
        <v/>
      </c>
      <c r="F1183" s="8"/>
      <c r="G1183" s="8"/>
      <c r="H1183" s="13"/>
    </row>
    <row r="1184" spans="1:8" x14ac:dyDescent="0.3">
      <c r="A1184" s="11"/>
      <c r="B1184" s="8"/>
      <c r="C1184" s="7" t="str">
        <f>IF(B1184="","",IFERROR(INDEX(Reactivos!$D$2:$D$435,MATCH(B1184,Reactivos!$A$2:$A$435,0)),"ID no existe"))</f>
        <v/>
      </c>
      <c r="D1184" s="8"/>
      <c r="E1184" s="7" t="str">
        <f>IF(B1184="","",IFERROR(INDEX(Reactivos!$H$2:$H$435,MATCH(B1184,Reactivos!$A$2:$A$435,0)),""))</f>
        <v/>
      </c>
      <c r="F1184" s="8"/>
      <c r="G1184" s="8"/>
      <c r="H1184" s="13"/>
    </row>
    <row r="1185" spans="1:8" x14ac:dyDescent="0.3">
      <c r="A1185" s="11"/>
      <c r="B1185" s="8"/>
      <c r="C1185" s="7" t="str">
        <f>IF(B1185="","",IFERROR(INDEX(Reactivos!$D$2:$D$435,MATCH(B1185,Reactivos!$A$2:$A$435,0)),"ID no existe"))</f>
        <v/>
      </c>
      <c r="D1185" s="8"/>
      <c r="E1185" s="7" t="str">
        <f>IF(B1185="","",IFERROR(INDEX(Reactivos!$H$2:$H$435,MATCH(B1185,Reactivos!$A$2:$A$435,0)),""))</f>
        <v/>
      </c>
      <c r="F1185" s="8"/>
      <c r="G1185" s="8"/>
      <c r="H1185" s="13"/>
    </row>
    <row r="1186" spans="1:8" x14ac:dyDescent="0.3">
      <c r="A1186" s="11"/>
      <c r="B1186" s="8"/>
      <c r="C1186" s="7" t="str">
        <f>IF(B1186="","",IFERROR(INDEX(Reactivos!$D$2:$D$435,MATCH(B1186,Reactivos!$A$2:$A$435,0)),"ID no existe"))</f>
        <v/>
      </c>
      <c r="D1186" s="8"/>
      <c r="E1186" s="7" t="str">
        <f>IF(B1186="","",IFERROR(INDEX(Reactivos!$H$2:$H$435,MATCH(B1186,Reactivos!$A$2:$A$435,0)),""))</f>
        <v/>
      </c>
      <c r="F1186" s="8"/>
      <c r="G1186" s="8"/>
      <c r="H1186" s="13"/>
    </row>
    <row r="1187" spans="1:8" x14ac:dyDescent="0.3">
      <c r="A1187" s="11"/>
      <c r="B1187" s="8"/>
      <c r="C1187" s="7" t="str">
        <f>IF(B1187="","",IFERROR(INDEX(Reactivos!$D$2:$D$435,MATCH(B1187,Reactivos!$A$2:$A$435,0)),"ID no existe"))</f>
        <v/>
      </c>
      <c r="D1187" s="8"/>
      <c r="E1187" s="7" t="str">
        <f>IF(B1187="","",IFERROR(INDEX(Reactivos!$H$2:$H$435,MATCH(B1187,Reactivos!$A$2:$A$435,0)),""))</f>
        <v/>
      </c>
      <c r="F1187" s="8"/>
      <c r="G1187" s="8"/>
      <c r="H1187" s="13"/>
    </row>
    <row r="1188" spans="1:8" x14ac:dyDescent="0.3">
      <c r="A1188" s="11"/>
      <c r="B1188" s="8"/>
      <c r="C1188" s="7" t="str">
        <f>IF(B1188="","",IFERROR(INDEX(Reactivos!$D$2:$D$435,MATCH(B1188,Reactivos!$A$2:$A$435,0)),"ID no existe"))</f>
        <v/>
      </c>
      <c r="D1188" s="8"/>
      <c r="E1188" s="7" t="str">
        <f>IF(B1188="","",IFERROR(INDEX(Reactivos!$H$2:$H$435,MATCH(B1188,Reactivos!$A$2:$A$435,0)),""))</f>
        <v/>
      </c>
      <c r="F1188" s="8"/>
      <c r="G1188" s="8"/>
      <c r="H1188" s="13"/>
    </row>
    <row r="1189" spans="1:8" x14ac:dyDescent="0.3">
      <c r="A1189" s="11"/>
      <c r="B1189" s="8"/>
      <c r="C1189" s="7" t="str">
        <f>IF(B1189="","",IFERROR(INDEX(Reactivos!$D$2:$D$435,MATCH(B1189,Reactivos!$A$2:$A$435,0)),"ID no existe"))</f>
        <v/>
      </c>
      <c r="D1189" s="8"/>
      <c r="E1189" s="7" t="str">
        <f>IF(B1189="","",IFERROR(INDEX(Reactivos!$H$2:$H$435,MATCH(B1189,Reactivos!$A$2:$A$435,0)),""))</f>
        <v/>
      </c>
      <c r="F1189" s="8"/>
      <c r="G1189" s="8"/>
      <c r="H1189" s="13"/>
    </row>
    <row r="1190" spans="1:8" x14ac:dyDescent="0.3">
      <c r="A1190" s="11"/>
      <c r="B1190" s="8"/>
      <c r="C1190" s="7" t="str">
        <f>IF(B1190="","",IFERROR(INDEX(Reactivos!$D$2:$D$435,MATCH(B1190,Reactivos!$A$2:$A$435,0)),"ID no existe"))</f>
        <v/>
      </c>
      <c r="D1190" s="8"/>
      <c r="E1190" s="7" t="str">
        <f>IF(B1190="","",IFERROR(INDEX(Reactivos!$H$2:$H$435,MATCH(B1190,Reactivos!$A$2:$A$435,0)),""))</f>
        <v/>
      </c>
      <c r="F1190" s="8"/>
      <c r="G1190" s="8"/>
      <c r="H1190" s="13"/>
    </row>
    <row r="1191" spans="1:8" x14ac:dyDescent="0.3">
      <c r="A1191" s="11"/>
      <c r="B1191" s="8"/>
      <c r="C1191" s="7" t="str">
        <f>IF(B1191="","",IFERROR(INDEX(Reactivos!$D$2:$D$435,MATCH(B1191,Reactivos!$A$2:$A$435,0)),"ID no existe"))</f>
        <v/>
      </c>
      <c r="D1191" s="8"/>
      <c r="E1191" s="7" t="str">
        <f>IF(B1191="","",IFERROR(INDEX(Reactivos!$H$2:$H$435,MATCH(B1191,Reactivos!$A$2:$A$435,0)),""))</f>
        <v/>
      </c>
      <c r="F1191" s="8"/>
      <c r="G1191" s="8"/>
      <c r="H1191" s="13"/>
    </row>
    <row r="1192" spans="1:8" x14ac:dyDescent="0.3">
      <c r="A1192" s="11"/>
      <c r="B1192" s="8"/>
      <c r="C1192" s="7" t="str">
        <f>IF(B1192="","",IFERROR(INDEX(Reactivos!$D$2:$D$435,MATCH(B1192,Reactivos!$A$2:$A$435,0)),"ID no existe"))</f>
        <v/>
      </c>
      <c r="D1192" s="8"/>
      <c r="E1192" s="7" t="str">
        <f>IF(B1192="","",IFERROR(INDEX(Reactivos!$H$2:$H$435,MATCH(B1192,Reactivos!$A$2:$A$435,0)),""))</f>
        <v/>
      </c>
      <c r="F1192" s="8"/>
      <c r="G1192" s="8"/>
      <c r="H1192" s="13"/>
    </row>
    <row r="1193" spans="1:8" x14ac:dyDescent="0.3">
      <c r="A1193" s="11"/>
      <c r="B1193" s="8"/>
      <c r="C1193" s="7" t="str">
        <f>IF(B1193="","",IFERROR(INDEX(Reactivos!$D$2:$D$435,MATCH(B1193,Reactivos!$A$2:$A$435,0)),"ID no existe"))</f>
        <v/>
      </c>
      <c r="D1193" s="8"/>
      <c r="E1193" s="7" t="str">
        <f>IF(B1193="","",IFERROR(INDEX(Reactivos!$H$2:$H$435,MATCH(B1193,Reactivos!$A$2:$A$435,0)),""))</f>
        <v/>
      </c>
      <c r="F1193" s="8"/>
      <c r="G1193" s="8"/>
      <c r="H1193" s="13"/>
    </row>
    <row r="1194" spans="1:8" x14ac:dyDescent="0.3">
      <c r="A1194" s="11"/>
      <c r="B1194" s="8"/>
      <c r="C1194" s="7" t="str">
        <f>IF(B1194="","",IFERROR(INDEX(Reactivos!$D$2:$D$435,MATCH(B1194,Reactivos!$A$2:$A$435,0)),"ID no existe"))</f>
        <v/>
      </c>
      <c r="D1194" s="8"/>
      <c r="E1194" s="7" t="str">
        <f>IF(B1194="","",IFERROR(INDEX(Reactivos!$H$2:$H$435,MATCH(B1194,Reactivos!$A$2:$A$435,0)),""))</f>
        <v/>
      </c>
      <c r="F1194" s="8"/>
      <c r="G1194" s="8"/>
      <c r="H1194" s="13"/>
    </row>
    <row r="1195" spans="1:8" x14ac:dyDescent="0.3">
      <c r="A1195" s="11"/>
      <c r="B1195" s="8"/>
      <c r="C1195" s="7" t="str">
        <f>IF(B1195="","",IFERROR(INDEX(Reactivos!$D$2:$D$435,MATCH(B1195,Reactivos!$A$2:$A$435,0)),"ID no existe"))</f>
        <v/>
      </c>
      <c r="D1195" s="8"/>
      <c r="E1195" s="7" t="str">
        <f>IF(B1195="","",IFERROR(INDEX(Reactivos!$H$2:$H$435,MATCH(B1195,Reactivos!$A$2:$A$435,0)),""))</f>
        <v/>
      </c>
      <c r="F1195" s="8"/>
      <c r="G1195" s="8"/>
      <c r="H1195" s="13"/>
    </row>
    <row r="1196" spans="1:8" x14ac:dyDescent="0.3">
      <c r="A1196" s="11"/>
      <c r="B1196" s="8"/>
      <c r="C1196" s="7" t="str">
        <f>IF(B1196="","",IFERROR(INDEX(Reactivos!$D$2:$D$435,MATCH(B1196,Reactivos!$A$2:$A$435,0)),"ID no existe"))</f>
        <v/>
      </c>
      <c r="D1196" s="8"/>
      <c r="E1196" s="7" t="str">
        <f>IF(B1196="","",IFERROR(INDEX(Reactivos!$H$2:$H$435,MATCH(B1196,Reactivos!$A$2:$A$435,0)),""))</f>
        <v/>
      </c>
      <c r="F1196" s="8"/>
      <c r="G1196" s="8"/>
      <c r="H1196" s="13"/>
    </row>
    <row r="1197" spans="1:8" x14ac:dyDescent="0.3">
      <c r="A1197" s="11"/>
      <c r="B1197" s="8"/>
      <c r="C1197" s="7" t="str">
        <f>IF(B1197="","",IFERROR(INDEX(Reactivos!$D$2:$D$435,MATCH(B1197,Reactivos!$A$2:$A$435,0)),"ID no existe"))</f>
        <v/>
      </c>
      <c r="D1197" s="8"/>
      <c r="E1197" s="7" t="str">
        <f>IF(B1197="","",IFERROR(INDEX(Reactivos!$H$2:$H$435,MATCH(B1197,Reactivos!$A$2:$A$435,0)),""))</f>
        <v/>
      </c>
      <c r="F1197" s="8"/>
      <c r="G1197" s="8"/>
      <c r="H1197" s="13"/>
    </row>
    <row r="1198" spans="1:8" x14ac:dyDescent="0.3">
      <c r="A1198" s="11"/>
      <c r="B1198" s="8"/>
      <c r="C1198" s="7" t="str">
        <f>IF(B1198="","",IFERROR(INDEX(Reactivos!$D$2:$D$435,MATCH(B1198,Reactivos!$A$2:$A$435,0)),"ID no existe"))</f>
        <v/>
      </c>
      <c r="D1198" s="8"/>
      <c r="E1198" s="7" t="str">
        <f>IF(B1198="","",IFERROR(INDEX(Reactivos!$H$2:$H$435,MATCH(B1198,Reactivos!$A$2:$A$435,0)),""))</f>
        <v/>
      </c>
      <c r="F1198" s="8"/>
      <c r="G1198" s="8"/>
      <c r="H1198" s="13"/>
    </row>
    <row r="1199" spans="1:8" x14ac:dyDescent="0.3">
      <c r="A1199" s="11"/>
      <c r="B1199" s="8"/>
      <c r="C1199" s="7" t="str">
        <f>IF(B1199="","",IFERROR(INDEX(Reactivos!$D$2:$D$435,MATCH(B1199,Reactivos!$A$2:$A$435,0)),"ID no existe"))</f>
        <v/>
      </c>
      <c r="D1199" s="8"/>
      <c r="E1199" s="7" t="str">
        <f>IF(B1199="","",IFERROR(INDEX(Reactivos!$H$2:$H$435,MATCH(B1199,Reactivos!$A$2:$A$435,0)),""))</f>
        <v/>
      </c>
      <c r="F1199" s="8"/>
      <c r="G1199" s="8"/>
      <c r="H1199" s="13"/>
    </row>
    <row r="1200" spans="1:8" x14ac:dyDescent="0.3">
      <c r="A1200" s="11"/>
      <c r="B1200" s="8"/>
      <c r="C1200" s="7" t="str">
        <f>IF(B1200="","",IFERROR(INDEX(Reactivos!$D$2:$D$435,MATCH(B1200,Reactivos!$A$2:$A$435,0)),"ID no existe"))</f>
        <v/>
      </c>
      <c r="D1200" s="8"/>
      <c r="E1200" s="7" t="str">
        <f>IF(B1200="","",IFERROR(INDEX(Reactivos!$H$2:$H$435,MATCH(B1200,Reactivos!$A$2:$A$435,0)),""))</f>
        <v/>
      </c>
      <c r="F1200" s="8"/>
      <c r="G1200" s="8"/>
      <c r="H1200" s="13"/>
    </row>
    <row r="1201" spans="1:8" x14ac:dyDescent="0.3">
      <c r="A1201" s="11"/>
      <c r="B1201" s="8"/>
      <c r="C1201" s="7" t="str">
        <f>IF(B1201="","",IFERROR(INDEX(Reactivos!$D$2:$D$435,MATCH(B1201,Reactivos!$A$2:$A$435,0)),"ID no existe"))</f>
        <v/>
      </c>
      <c r="D1201" s="8"/>
      <c r="E1201" s="7" t="str">
        <f>IF(B1201="","",IFERROR(INDEX(Reactivos!$H$2:$H$435,MATCH(B1201,Reactivos!$A$2:$A$435,0)),""))</f>
        <v/>
      </c>
      <c r="F1201" s="8"/>
      <c r="G1201" s="8"/>
      <c r="H1201" s="13"/>
    </row>
    <row r="1202" spans="1:8" x14ac:dyDescent="0.3">
      <c r="A1202" s="11"/>
      <c r="B1202" s="8"/>
      <c r="C1202" s="7" t="str">
        <f>IF(B1202="","",IFERROR(INDEX(Reactivos!$D$2:$D$435,MATCH(B1202,Reactivos!$A$2:$A$435,0)),"ID no existe"))</f>
        <v/>
      </c>
      <c r="D1202" s="8"/>
      <c r="E1202" s="7" t="str">
        <f>IF(B1202="","",IFERROR(INDEX(Reactivos!$H$2:$H$435,MATCH(B1202,Reactivos!$A$2:$A$435,0)),""))</f>
        <v/>
      </c>
      <c r="F1202" s="8"/>
      <c r="G1202" s="8"/>
      <c r="H1202" s="13"/>
    </row>
    <row r="1203" spans="1:8" x14ac:dyDescent="0.3">
      <c r="A1203" s="11"/>
      <c r="B1203" s="8"/>
      <c r="C1203" s="7" t="str">
        <f>IF(B1203="","",IFERROR(INDEX(Reactivos!$D$2:$D$435,MATCH(B1203,Reactivos!$A$2:$A$435,0)),"ID no existe"))</f>
        <v/>
      </c>
      <c r="D1203" s="8"/>
      <c r="E1203" s="7" t="str">
        <f>IF(B1203="","",IFERROR(INDEX(Reactivos!$H$2:$H$435,MATCH(B1203,Reactivos!$A$2:$A$435,0)),""))</f>
        <v/>
      </c>
      <c r="F1203" s="8"/>
      <c r="G1203" s="8"/>
      <c r="H1203" s="13"/>
    </row>
    <row r="1204" spans="1:8" x14ac:dyDescent="0.3">
      <c r="A1204" s="11"/>
      <c r="B1204" s="8"/>
      <c r="C1204" s="7" t="str">
        <f>IF(B1204="","",IFERROR(INDEX(Reactivos!$D$2:$D$435,MATCH(B1204,Reactivos!$A$2:$A$435,0)),"ID no existe"))</f>
        <v/>
      </c>
      <c r="D1204" s="8"/>
      <c r="E1204" s="7" t="str">
        <f>IF(B1204="","",IFERROR(INDEX(Reactivos!$H$2:$H$435,MATCH(B1204,Reactivos!$A$2:$A$435,0)),""))</f>
        <v/>
      </c>
      <c r="F1204" s="8"/>
      <c r="G1204" s="8"/>
      <c r="H1204" s="13"/>
    </row>
    <row r="1205" spans="1:8" x14ac:dyDescent="0.3">
      <c r="A1205" s="11"/>
      <c r="B1205" s="8"/>
      <c r="C1205" s="7" t="str">
        <f>IF(B1205="","",IFERROR(INDEX(Reactivos!$D$2:$D$435,MATCH(B1205,Reactivos!$A$2:$A$435,0)),"ID no existe"))</f>
        <v/>
      </c>
      <c r="D1205" s="8"/>
      <c r="E1205" s="7" t="str">
        <f>IF(B1205="","",IFERROR(INDEX(Reactivos!$H$2:$H$435,MATCH(B1205,Reactivos!$A$2:$A$435,0)),""))</f>
        <v/>
      </c>
      <c r="F1205" s="8"/>
      <c r="G1205" s="8"/>
      <c r="H1205" s="13"/>
    </row>
    <row r="1206" spans="1:8" x14ac:dyDescent="0.3">
      <c r="A1206" s="11"/>
      <c r="B1206" s="8"/>
      <c r="C1206" s="7" t="str">
        <f>IF(B1206="","",IFERROR(INDEX(Reactivos!$D$2:$D$435,MATCH(B1206,Reactivos!$A$2:$A$435,0)),"ID no existe"))</f>
        <v/>
      </c>
      <c r="D1206" s="8"/>
      <c r="E1206" s="7" t="str">
        <f>IF(B1206="","",IFERROR(INDEX(Reactivos!$H$2:$H$435,MATCH(B1206,Reactivos!$A$2:$A$435,0)),""))</f>
        <v/>
      </c>
      <c r="F1206" s="8"/>
      <c r="G1206" s="8"/>
      <c r="H1206" s="13"/>
    </row>
    <row r="1207" spans="1:8" x14ac:dyDescent="0.3">
      <c r="A1207" s="11"/>
      <c r="B1207" s="8"/>
      <c r="C1207" s="7" t="str">
        <f>IF(B1207="","",IFERROR(INDEX(Reactivos!$D$2:$D$435,MATCH(B1207,Reactivos!$A$2:$A$435,0)),"ID no existe"))</f>
        <v/>
      </c>
      <c r="D1207" s="8"/>
      <c r="E1207" s="7" t="str">
        <f>IF(B1207="","",IFERROR(INDEX(Reactivos!$H$2:$H$435,MATCH(B1207,Reactivos!$A$2:$A$435,0)),""))</f>
        <v/>
      </c>
      <c r="F1207" s="8"/>
      <c r="G1207" s="8"/>
      <c r="H1207" s="13"/>
    </row>
    <row r="1208" spans="1:8" x14ac:dyDescent="0.3">
      <c r="A1208" s="11"/>
      <c r="B1208" s="8"/>
      <c r="C1208" s="7" t="str">
        <f>IF(B1208="","",IFERROR(INDEX(Reactivos!$D$2:$D$435,MATCH(B1208,Reactivos!$A$2:$A$435,0)),"ID no existe"))</f>
        <v/>
      </c>
      <c r="D1208" s="8"/>
      <c r="E1208" s="7" t="str">
        <f>IF(B1208="","",IFERROR(INDEX(Reactivos!$H$2:$H$435,MATCH(B1208,Reactivos!$A$2:$A$435,0)),""))</f>
        <v/>
      </c>
      <c r="F1208" s="8"/>
      <c r="G1208" s="8"/>
      <c r="H1208" s="13"/>
    </row>
    <row r="1209" spans="1:8" x14ac:dyDescent="0.3">
      <c r="A1209" s="11"/>
      <c r="B1209" s="8"/>
      <c r="C1209" s="7" t="str">
        <f>IF(B1209="","",IFERROR(INDEX(Reactivos!$D$2:$D$435,MATCH(B1209,Reactivos!$A$2:$A$435,0)),"ID no existe"))</f>
        <v/>
      </c>
      <c r="D1209" s="8"/>
      <c r="E1209" s="7" t="str">
        <f>IF(B1209="","",IFERROR(INDEX(Reactivos!$H$2:$H$435,MATCH(B1209,Reactivos!$A$2:$A$435,0)),""))</f>
        <v/>
      </c>
      <c r="F1209" s="8"/>
      <c r="G1209" s="8"/>
      <c r="H1209" s="13"/>
    </row>
    <row r="1210" spans="1:8" x14ac:dyDescent="0.3">
      <c r="A1210" s="11"/>
      <c r="B1210" s="8"/>
      <c r="C1210" s="7" t="str">
        <f>IF(B1210="","",IFERROR(INDEX(Reactivos!$D$2:$D$435,MATCH(B1210,Reactivos!$A$2:$A$435,0)),"ID no existe"))</f>
        <v/>
      </c>
      <c r="D1210" s="8"/>
      <c r="E1210" s="7" t="str">
        <f>IF(B1210="","",IFERROR(INDEX(Reactivos!$H$2:$H$435,MATCH(B1210,Reactivos!$A$2:$A$435,0)),""))</f>
        <v/>
      </c>
      <c r="F1210" s="8"/>
      <c r="G1210" s="8"/>
      <c r="H1210" s="13"/>
    </row>
    <row r="1211" spans="1:8" x14ac:dyDescent="0.3">
      <c r="A1211" s="11"/>
      <c r="B1211" s="8"/>
      <c r="C1211" s="7" t="str">
        <f>IF(B1211="","",IFERROR(INDEX(Reactivos!$D$2:$D$435,MATCH(B1211,Reactivos!$A$2:$A$435,0)),"ID no existe"))</f>
        <v/>
      </c>
      <c r="D1211" s="8"/>
      <c r="E1211" s="7" t="str">
        <f>IF(B1211="","",IFERROR(INDEX(Reactivos!$H$2:$H$435,MATCH(B1211,Reactivos!$A$2:$A$435,0)),""))</f>
        <v/>
      </c>
      <c r="F1211" s="8"/>
      <c r="G1211" s="8"/>
      <c r="H1211" s="13"/>
    </row>
    <row r="1212" spans="1:8" x14ac:dyDescent="0.3">
      <c r="A1212" s="11"/>
      <c r="B1212" s="8"/>
      <c r="C1212" s="7" t="str">
        <f>IF(B1212="","",IFERROR(INDEX(Reactivos!$D$2:$D$435,MATCH(B1212,Reactivos!$A$2:$A$435,0)),"ID no existe"))</f>
        <v/>
      </c>
      <c r="D1212" s="8"/>
      <c r="E1212" s="7" t="str">
        <f>IF(B1212="","",IFERROR(INDEX(Reactivos!$H$2:$H$435,MATCH(B1212,Reactivos!$A$2:$A$435,0)),""))</f>
        <v/>
      </c>
      <c r="F1212" s="8"/>
      <c r="G1212" s="8"/>
      <c r="H1212" s="13"/>
    </row>
    <row r="1213" spans="1:8" x14ac:dyDescent="0.3">
      <c r="A1213" s="11"/>
      <c r="B1213" s="8"/>
      <c r="C1213" s="7" t="str">
        <f>IF(B1213="","",IFERROR(INDEX(Reactivos!$D$2:$D$435,MATCH(B1213,Reactivos!$A$2:$A$435,0)),"ID no existe"))</f>
        <v/>
      </c>
      <c r="D1213" s="8"/>
      <c r="E1213" s="7" t="str">
        <f>IF(B1213="","",IFERROR(INDEX(Reactivos!$H$2:$H$435,MATCH(B1213,Reactivos!$A$2:$A$435,0)),""))</f>
        <v/>
      </c>
      <c r="F1213" s="8"/>
      <c r="G1213" s="8"/>
      <c r="H1213" s="13"/>
    </row>
    <row r="1214" spans="1:8" x14ac:dyDescent="0.3">
      <c r="A1214" s="11"/>
      <c r="B1214" s="8"/>
      <c r="C1214" s="7" t="str">
        <f>IF(B1214="","",IFERROR(INDEX(Reactivos!$D$2:$D$435,MATCH(B1214,Reactivos!$A$2:$A$435,0)),"ID no existe"))</f>
        <v/>
      </c>
      <c r="D1214" s="8"/>
      <c r="E1214" s="7" t="str">
        <f>IF(B1214="","",IFERROR(INDEX(Reactivos!$H$2:$H$435,MATCH(B1214,Reactivos!$A$2:$A$435,0)),""))</f>
        <v/>
      </c>
      <c r="F1214" s="8"/>
      <c r="G1214" s="8"/>
      <c r="H1214" s="13"/>
    </row>
    <row r="1215" spans="1:8" x14ac:dyDescent="0.3">
      <c r="A1215" s="11"/>
      <c r="B1215" s="8"/>
      <c r="C1215" s="7" t="str">
        <f>IF(B1215="","",IFERROR(INDEX(Reactivos!$D$2:$D$435,MATCH(B1215,Reactivos!$A$2:$A$435,0)),"ID no existe"))</f>
        <v/>
      </c>
      <c r="D1215" s="8"/>
      <c r="E1215" s="7" t="str">
        <f>IF(B1215="","",IFERROR(INDEX(Reactivos!$H$2:$H$435,MATCH(B1215,Reactivos!$A$2:$A$435,0)),""))</f>
        <v/>
      </c>
      <c r="F1215" s="8"/>
      <c r="G1215" s="8"/>
      <c r="H1215" s="13"/>
    </row>
    <row r="1216" spans="1:8" x14ac:dyDescent="0.3">
      <c r="A1216" s="11"/>
      <c r="B1216" s="8"/>
      <c r="C1216" s="7" t="str">
        <f>IF(B1216="","",IFERROR(INDEX(Reactivos!$D$2:$D$435,MATCH(B1216,Reactivos!$A$2:$A$435,0)),"ID no existe"))</f>
        <v/>
      </c>
      <c r="D1216" s="8"/>
      <c r="E1216" s="7" t="str">
        <f>IF(B1216="","",IFERROR(INDEX(Reactivos!$H$2:$H$435,MATCH(B1216,Reactivos!$A$2:$A$435,0)),""))</f>
        <v/>
      </c>
      <c r="F1216" s="8"/>
      <c r="G1216" s="8"/>
      <c r="H1216" s="13"/>
    </row>
    <row r="1217" spans="1:8" x14ac:dyDescent="0.3">
      <c r="A1217" s="11"/>
      <c r="B1217" s="8"/>
      <c r="C1217" s="7" t="str">
        <f>IF(B1217="","",IFERROR(INDEX(Reactivos!$D$2:$D$435,MATCH(B1217,Reactivos!$A$2:$A$435,0)),"ID no existe"))</f>
        <v/>
      </c>
      <c r="D1217" s="8"/>
      <c r="E1217" s="7" t="str">
        <f>IF(B1217="","",IFERROR(INDEX(Reactivos!$H$2:$H$435,MATCH(B1217,Reactivos!$A$2:$A$435,0)),""))</f>
        <v/>
      </c>
      <c r="F1217" s="8"/>
      <c r="G1217" s="8"/>
      <c r="H1217" s="13"/>
    </row>
    <row r="1218" spans="1:8" x14ac:dyDescent="0.3">
      <c r="A1218" s="11"/>
      <c r="B1218" s="8"/>
      <c r="C1218" s="7" t="str">
        <f>IF(B1218="","",IFERROR(INDEX(Reactivos!$D$2:$D$435,MATCH(B1218,Reactivos!$A$2:$A$435,0)),"ID no existe"))</f>
        <v/>
      </c>
      <c r="D1218" s="8"/>
      <c r="E1218" s="7" t="str">
        <f>IF(B1218="","",IFERROR(INDEX(Reactivos!$H$2:$H$435,MATCH(B1218,Reactivos!$A$2:$A$435,0)),""))</f>
        <v/>
      </c>
      <c r="F1218" s="8"/>
      <c r="G1218" s="8"/>
      <c r="H1218" s="13"/>
    </row>
    <row r="1219" spans="1:8" x14ac:dyDescent="0.3">
      <c r="A1219" s="11"/>
      <c r="B1219" s="8"/>
      <c r="C1219" s="7" t="str">
        <f>IF(B1219="","",IFERROR(INDEX(Reactivos!$D$2:$D$435,MATCH(B1219,Reactivos!$A$2:$A$435,0)),"ID no existe"))</f>
        <v/>
      </c>
      <c r="D1219" s="8"/>
      <c r="E1219" s="7" t="str">
        <f>IF(B1219="","",IFERROR(INDEX(Reactivos!$H$2:$H$435,MATCH(B1219,Reactivos!$A$2:$A$435,0)),""))</f>
        <v/>
      </c>
      <c r="F1219" s="8"/>
      <c r="G1219" s="8"/>
      <c r="H1219" s="13"/>
    </row>
    <row r="1220" spans="1:8" x14ac:dyDescent="0.3">
      <c r="A1220" s="11"/>
      <c r="B1220" s="8"/>
      <c r="C1220" s="7" t="str">
        <f>IF(B1220="","",IFERROR(INDEX(Reactivos!$D$2:$D$435,MATCH(B1220,Reactivos!$A$2:$A$435,0)),"ID no existe"))</f>
        <v/>
      </c>
      <c r="D1220" s="8"/>
      <c r="E1220" s="7" t="str">
        <f>IF(B1220="","",IFERROR(INDEX(Reactivos!$H$2:$H$435,MATCH(B1220,Reactivos!$A$2:$A$435,0)),""))</f>
        <v/>
      </c>
      <c r="F1220" s="8"/>
      <c r="G1220" s="8"/>
      <c r="H1220" s="13"/>
    </row>
    <row r="1221" spans="1:8" x14ac:dyDescent="0.3">
      <c r="A1221" s="11"/>
      <c r="B1221" s="8"/>
      <c r="C1221" s="7" t="str">
        <f>IF(B1221="","",IFERROR(INDEX(Reactivos!$D$2:$D$435,MATCH(B1221,Reactivos!$A$2:$A$435,0)),"ID no existe"))</f>
        <v/>
      </c>
      <c r="D1221" s="8"/>
      <c r="E1221" s="7" t="str">
        <f>IF(B1221="","",IFERROR(INDEX(Reactivos!$H$2:$H$435,MATCH(B1221,Reactivos!$A$2:$A$435,0)),""))</f>
        <v/>
      </c>
      <c r="F1221" s="8"/>
      <c r="G1221" s="8"/>
      <c r="H1221" s="13"/>
    </row>
    <row r="1222" spans="1:8" x14ac:dyDescent="0.3">
      <c r="A1222" s="11"/>
      <c r="B1222" s="8"/>
      <c r="C1222" s="7" t="str">
        <f>IF(B1222="","",IFERROR(INDEX(Reactivos!$D$2:$D$435,MATCH(B1222,Reactivos!$A$2:$A$435,0)),"ID no existe"))</f>
        <v/>
      </c>
      <c r="D1222" s="8"/>
      <c r="E1222" s="7" t="str">
        <f>IF(B1222="","",IFERROR(INDEX(Reactivos!$H$2:$H$435,MATCH(B1222,Reactivos!$A$2:$A$435,0)),""))</f>
        <v/>
      </c>
      <c r="F1222" s="8"/>
      <c r="G1222" s="8"/>
      <c r="H1222" s="13"/>
    </row>
    <row r="1223" spans="1:8" x14ac:dyDescent="0.3">
      <c r="A1223" s="11"/>
      <c r="B1223" s="8"/>
      <c r="C1223" s="7" t="str">
        <f>IF(B1223="","",IFERROR(INDEX(Reactivos!$D$2:$D$435,MATCH(B1223,Reactivos!$A$2:$A$435,0)),"ID no existe"))</f>
        <v/>
      </c>
      <c r="D1223" s="8"/>
      <c r="E1223" s="7" t="str">
        <f>IF(B1223="","",IFERROR(INDEX(Reactivos!$H$2:$H$435,MATCH(B1223,Reactivos!$A$2:$A$435,0)),""))</f>
        <v/>
      </c>
      <c r="F1223" s="8"/>
      <c r="G1223" s="8"/>
      <c r="H1223" s="13"/>
    </row>
    <row r="1224" spans="1:8" x14ac:dyDescent="0.3">
      <c r="A1224" s="11"/>
      <c r="B1224" s="8"/>
      <c r="C1224" s="7" t="str">
        <f>IF(B1224="","",IFERROR(INDEX(Reactivos!$D$2:$D$435,MATCH(B1224,Reactivos!$A$2:$A$435,0)),"ID no existe"))</f>
        <v/>
      </c>
      <c r="D1224" s="8"/>
      <c r="E1224" s="7" t="str">
        <f>IF(B1224="","",IFERROR(INDEX(Reactivos!$H$2:$H$435,MATCH(B1224,Reactivos!$A$2:$A$435,0)),""))</f>
        <v/>
      </c>
      <c r="F1224" s="8"/>
      <c r="G1224" s="8"/>
      <c r="H1224" s="13"/>
    </row>
    <row r="1225" spans="1:8" x14ac:dyDescent="0.3">
      <c r="A1225" s="11"/>
      <c r="B1225" s="8"/>
      <c r="C1225" s="7" t="str">
        <f>IF(B1225="","",IFERROR(INDEX(Reactivos!$D$2:$D$435,MATCH(B1225,Reactivos!$A$2:$A$435,0)),"ID no existe"))</f>
        <v/>
      </c>
      <c r="D1225" s="8"/>
      <c r="E1225" s="7" t="str">
        <f>IF(B1225="","",IFERROR(INDEX(Reactivos!$H$2:$H$435,MATCH(B1225,Reactivos!$A$2:$A$435,0)),""))</f>
        <v/>
      </c>
      <c r="F1225" s="8"/>
      <c r="G1225" s="8"/>
      <c r="H1225" s="13"/>
    </row>
    <row r="1226" spans="1:8" x14ac:dyDescent="0.3">
      <c r="A1226" s="11"/>
      <c r="B1226" s="8"/>
      <c r="C1226" s="7" t="str">
        <f>IF(B1226="","",IFERROR(INDEX(Reactivos!$D$2:$D$435,MATCH(B1226,Reactivos!$A$2:$A$435,0)),"ID no existe"))</f>
        <v/>
      </c>
      <c r="D1226" s="8"/>
      <c r="E1226" s="7" t="str">
        <f>IF(B1226="","",IFERROR(INDEX(Reactivos!$H$2:$H$435,MATCH(B1226,Reactivos!$A$2:$A$435,0)),""))</f>
        <v/>
      </c>
      <c r="F1226" s="8"/>
      <c r="G1226" s="8"/>
      <c r="H1226" s="13"/>
    </row>
    <row r="1227" spans="1:8" x14ac:dyDescent="0.3">
      <c r="A1227" s="11"/>
      <c r="B1227" s="8"/>
      <c r="C1227" s="7" t="str">
        <f>IF(B1227="","",IFERROR(INDEX(Reactivos!$D$2:$D$435,MATCH(B1227,Reactivos!$A$2:$A$435,0)),"ID no existe"))</f>
        <v/>
      </c>
      <c r="D1227" s="8"/>
      <c r="E1227" s="7" t="str">
        <f>IF(B1227="","",IFERROR(INDEX(Reactivos!$H$2:$H$435,MATCH(B1227,Reactivos!$A$2:$A$435,0)),""))</f>
        <v/>
      </c>
      <c r="F1227" s="8"/>
      <c r="G1227" s="8"/>
      <c r="H1227" s="13"/>
    </row>
    <row r="1228" spans="1:8" x14ac:dyDescent="0.3">
      <c r="A1228" s="11"/>
      <c r="B1228" s="8"/>
      <c r="C1228" s="7" t="str">
        <f>IF(B1228="","",IFERROR(INDEX(Reactivos!$D$2:$D$435,MATCH(B1228,Reactivos!$A$2:$A$435,0)),"ID no existe"))</f>
        <v/>
      </c>
      <c r="D1228" s="8"/>
      <c r="E1228" s="7" t="str">
        <f>IF(B1228="","",IFERROR(INDEX(Reactivos!$H$2:$H$435,MATCH(B1228,Reactivos!$A$2:$A$435,0)),""))</f>
        <v/>
      </c>
      <c r="F1228" s="8"/>
      <c r="G1228" s="8"/>
      <c r="H1228" s="13"/>
    </row>
    <row r="1229" spans="1:8" x14ac:dyDescent="0.3">
      <c r="A1229" s="11"/>
      <c r="B1229" s="8"/>
      <c r="C1229" s="7" t="str">
        <f>IF(B1229="","",IFERROR(INDEX(Reactivos!$D$2:$D$435,MATCH(B1229,Reactivos!$A$2:$A$435,0)),"ID no existe"))</f>
        <v/>
      </c>
      <c r="D1229" s="8"/>
      <c r="E1229" s="7" t="str">
        <f>IF(B1229="","",IFERROR(INDEX(Reactivos!$H$2:$H$435,MATCH(B1229,Reactivos!$A$2:$A$435,0)),""))</f>
        <v/>
      </c>
      <c r="F1229" s="8"/>
      <c r="G1229" s="8"/>
      <c r="H1229" s="13"/>
    </row>
    <row r="1230" spans="1:8" x14ac:dyDescent="0.3">
      <c r="A1230" s="11"/>
      <c r="B1230" s="8"/>
      <c r="C1230" s="7" t="str">
        <f>IF(B1230="","",IFERROR(INDEX(Reactivos!$D$2:$D$435,MATCH(B1230,Reactivos!$A$2:$A$435,0)),"ID no existe"))</f>
        <v/>
      </c>
      <c r="D1230" s="8"/>
      <c r="E1230" s="7" t="str">
        <f>IF(B1230="","",IFERROR(INDEX(Reactivos!$H$2:$H$435,MATCH(B1230,Reactivos!$A$2:$A$435,0)),""))</f>
        <v/>
      </c>
      <c r="F1230" s="8"/>
      <c r="G1230" s="8"/>
      <c r="H1230" s="13"/>
    </row>
    <row r="1231" spans="1:8" x14ac:dyDescent="0.3">
      <c r="A1231" s="11"/>
      <c r="B1231" s="8"/>
      <c r="C1231" s="7" t="str">
        <f>IF(B1231="","",IFERROR(INDEX(Reactivos!$D$2:$D$435,MATCH(B1231,Reactivos!$A$2:$A$435,0)),"ID no existe"))</f>
        <v/>
      </c>
      <c r="D1231" s="8"/>
      <c r="E1231" s="7" t="str">
        <f>IF(B1231="","",IFERROR(INDEX(Reactivos!$H$2:$H$435,MATCH(B1231,Reactivos!$A$2:$A$435,0)),""))</f>
        <v/>
      </c>
      <c r="F1231" s="8"/>
      <c r="G1231" s="8"/>
      <c r="H1231" s="13"/>
    </row>
    <row r="1232" spans="1:8" x14ac:dyDescent="0.3">
      <c r="A1232" s="11"/>
      <c r="B1232" s="8"/>
      <c r="C1232" s="7" t="str">
        <f>IF(B1232="","",IFERROR(INDEX(Reactivos!$D$2:$D$435,MATCH(B1232,Reactivos!$A$2:$A$435,0)),"ID no existe"))</f>
        <v/>
      </c>
      <c r="D1232" s="8"/>
      <c r="E1232" s="7" t="str">
        <f>IF(B1232="","",IFERROR(INDEX(Reactivos!$H$2:$H$435,MATCH(B1232,Reactivos!$A$2:$A$435,0)),""))</f>
        <v/>
      </c>
      <c r="F1232" s="8"/>
      <c r="G1232" s="8"/>
      <c r="H1232" s="13"/>
    </row>
    <row r="1233" spans="1:8" x14ac:dyDescent="0.3">
      <c r="A1233" s="11"/>
      <c r="B1233" s="8"/>
      <c r="C1233" s="7" t="str">
        <f>IF(B1233="","",IFERROR(INDEX(Reactivos!$D$2:$D$435,MATCH(B1233,Reactivos!$A$2:$A$435,0)),"ID no existe"))</f>
        <v/>
      </c>
      <c r="D1233" s="8"/>
      <c r="E1233" s="7" t="str">
        <f>IF(B1233="","",IFERROR(INDEX(Reactivos!$H$2:$H$435,MATCH(B1233,Reactivos!$A$2:$A$435,0)),""))</f>
        <v/>
      </c>
      <c r="F1233" s="8"/>
      <c r="G1233" s="8"/>
      <c r="H1233" s="13"/>
    </row>
    <row r="1234" spans="1:8" x14ac:dyDescent="0.3">
      <c r="A1234" s="11"/>
      <c r="B1234" s="8"/>
      <c r="C1234" s="7" t="str">
        <f>IF(B1234="","",IFERROR(INDEX(Reactivos!$D$2:$D$435,MATCH(B1234,Reactivos!$A$2:$A$435,0)),"ID no existe"))</f>
        <v/>
      </c>
      <c r="D1234" s="8"/>
      <c r="E1234" s="7" t="str">
        <f>IF(B1234="","",IFERROR(INDEX(Reactivos!$H$2:$H$435,MATCH(B1234,Reactivos!$A$2:$A$435,0)),""))</f>
        <v/>
      </c>
      <c r="F1234" s="8"/>
      <c r="G1234" s="8"/>
      <c r="H1234" s="13"/>
    </row>
    <row r="1235" spans="1:8" x14ac:dyDescent="0.3">
      <c r="A1235" s="11"/>
      <c r="B1235" s="8"/>
      <c r="C1235" s="7" t="str">
        <f>IF(B1235="","",IFERROR(INDEX(Reactivos!$D$2:$D$435,MATCH(B1235,Reactivos!$A$2:$A$435,0)),"ID no existe"))</f>
        <v/>
      </c>
      <c r="D1235" s="8"/>
      <c r="E1235" s="7" t="str">
        <f>IF(B1235="","",IFERROR(INDEX(Reactivos!$H$2:$H$435,MATCH(B1235,Reactivos!$A$2:$A$435,0)),""))</f>
        <v/>
      </c>
      <c r="F1235" s="8"/>
      <c r="G1235" s="8"/>
      <c r="H1235" s="13"/>
    </row>
    <row r="1236" spans="1:8" x14ac:dyDescent="0.3">
      <c r="A1236" s="11"/>
      <c r="B1236" s="8"/>
      <c r="C1236" s="7" t="str">
        <f>IF(B1236="","",IFERROR(INDEX(Reactivos!$D$2:$D$435,MATCH(B1236,Reactivos!$A$2:$A$435,0)),"ID no existe"))</f>
        <v/>
      </c>
      <c r="D1236" s="8"/>
      <c r="E1236" s="7" t="str">
        <f>IF(B1236="","",IFERROR(INDEX(Reactivos!$H$2:$H$435,MATCH(B1236,Reactivos!$A$2:$A$435,0)),""))</f>
        <v/>
      </c>
      <c r="F1236" s="8"/>
      <c r="G1236" s="8"/>
      <c r="H1236" s="13"/>
    </row>
    <row r="1237" spans="1:8" x14ac:dyDescent="0.3">
      <c r="A1237" s="11"/>
      <c r="B1237" s="8"/>
      <c r="C1237" s="7" t="str">
        <f>IF(B1237="","",IFERROR(INDEX(Reactivos!$D$2:$D$435,MATCH(B1237,Reactivos!$A$2:$A$435,0)),"ID no existe"))</f>
        <v/>
      </c>
      <c r="D1237" s="8"/>
      <c r="E1237" s="7" t="str">
        <f>IF(B1237="","",IFERROR(INDEX(Reactivos!$H$2:$H$435,MATCH(B1237,Reactivos!$A$2:$A$435,0)),""))</f>
        <v/>
      </c>
      <c r="F1237" s="8"/>
      <c r="G1237" s="8"/>
      <c r="H1237" s="13"/>
    </row>
    <row r="1238" spans="1:8" x14ac:dyDescent="0.3">
      <c r="A1238" s="11"/>
      <c r="B1238" s="8"/>
      <c r="C1238" s="7" t="str">
        <f>IF(B1238="","",IFERROR(INDEX(Reactivos!$D$2:$D$435,MATCH(B1238,Reactivos!$A$2:$A$435,0)),"ID no existe"))</f>
        <v/>
      </c>
      <c r="D1238" s="8"/>
      <c r="E1238" s="7" t="str">
        <f>IF(B1238="","",IFERROR(INDEX(Reactivos!$H$2:$H$435,MATCH(B1238,Reactivos!$A$2:$A$435,0)),""))</f>
        <v/>
      </c>
      <c r="F1238" s="8"/>
      <c r="G1238" s="8"/>
      <c r="H1238" s="13"/>
    </row>
    <row r="1239" spans="1:8" x14ac:dyDescent="0.3">
      <c r="A1239" s="11"/>
      <c r="B1239" s="8"/>
      <c r="C1239" s="7" t="str">
        <f>IF(B1239="","",IFERROR(INDEX(Reactivos!$D$2:$D$435,MATCH(B1239,Reactivos!$A$2:$A$435,0)),"ID no existe"))</f>
        <v/>
      </c>
      <c r="D1239" s="8"/>
      <c r="E1239" s="7" t="str">
        <f>IF(B1239="","",IFERROR(INDEX(Reactivos!$H$2:$H$435,MATCH(B1239,Reactivos!$A$2:$A$435,0)),""))</f>
        <v/>
      </c>
      <c r="F1239" s="8"/>
      <c r="G1239" s="8"/>
      <c r="H1239" s="13"/>
    </row>
    <row r="1240" spans="1:8" x14ac:dyDescent="0.3">
      <c r="A1240" s="11"/>
      <c r="B1240" s="8"/>
      <c r="C1240" s="7" t="str">
        <f>IF(B1240="","",IFERROR(INDEX(Reactivos!$D$2:$D$435,MATCH(B1240,Reactivos!$A$2:$A$435,0)),"ID no existe"))</f>
        <v/>
      </c>
      <c r="D1240" s="8"/>
      <c r="E1240" s="7" t="str">
        <f>IF(B1240="","",IFERROR(INDEX(Reactivos!$H$2:$H$435,MATCH(B1240,Reactivos!$A$2:$A$435,0)),""))</f>
        <v/>
      </c>
      <c r="F1240" s="8"/>
      <c r="G1240" s="8"/>
      <c r="H1240" s="13"/>
    </row>
    <row r="1241" spans="1:8" x14ac:dyDescent="0.3">
      <c r="A1241" s="11"/>
      <c r="B1241" s="8"/>
      <c r="C1241" s="7" t="str">
        <f>IF(B1241="","",IFERROR(INDEX(Reactivos!$D$2:$D$435,MATCH(B1241,Reactivos!$A$2:$A$435,0)),"ID no existe"))</f>
        <v/>
      </c>
      <c r="D1241" s="8"/>
      <c r="E1241" s="7" t="str">
        <f>IF(B1241="","",IFERROR(INDEX(Reactivos!$H$2:$H$435,MATCH(B1241,Reactivos!$A$2:$A$435,0)),""))</f>
        <v/>
      </c>
      <c r="F1241" s="8"/>
      <c r="G1241" s="8"/>
      <c r="H1241" s="13"/>
    </row>
    <row r="1242" spans="1:8" x14ac:dyDescent="0.3">
      <c r="A1242" s="11"/>
      <c r="B1242" s="8"/>
      <c r="C1242" s="7" t="str">
        <f>IF(B1242="","",IFERROR(INDEX(Reactivos!$D$2:$D$435,MATCH(B1242,Reactivos!$A$2:$A$435,0)),"ID no existe"))</f>
        <v/>
      </c>
      <c r="D1242" s="8"/>
      <c r="E1242" s="7" t="str">
        <f>IF(B1242="","",IFERROR(INDEX(Reactivos!$H$2:$H$435,MATCH(B1242,Reactivos!$A$2:$A$435,0)),""))</f>
        <v/>
      </c>
      <c r="F1242" s="8"/>
      <c r="G1242" s="8"/>
      <c r="H1242" s="13"/>
    </row>
    <row r="1243" spans="1:8" x14ac:dyDescent="0.3">
      <c r="A1243" s="11"/>
      <c r="B1243" s="8"/>
      <c r="C1243" s="7" t="str">
        <f>IF(B1243="","",IFERROR(INDEX(Reactivos!$D$2:$D$435,MATCH(B1243,Reactivos!$A$2:$A$435,0)),"ID no existe"))</f>
        <v/>
      </c>
      <c r="D1243" s="8"/>
      <c r="E1243" s="7" t="str">
        <f>IF(B1243="","",IFERROR(INDEX(Reactivos!$H$2:$H$435,MATCH(B1243,Reactivos!$A$2:$A$435,0)),""))</f>
        <v/>
      </c>
      <c r="F1243" s="8"/>
      <c r="G1243" s="8"/>
      <c r="H1243" s="13"/>
    </row>
    <row r="1244" spans="1:8" x14ac:dyDescent="0.3">
      <c r="A1244" s="11"/>
      <c r="B1244" s="8"/>
      <c r="C1244" s="7" t="str">
        <f>IF(B1244="","",IFERROR(INDEX(Reactivos!$D$2:$D$435,MATCH(B1244,Reactivos!$A$2:$A$435,0)),"ID no existe"))</f>
        <v/>
      </c>
      <c r="D1244" s="8"/>
      <c r="E1244" s="7" t="str">
        <f>IF(B1244="","",IFERROR(INDEX(Reactivos!$H$2:$H$435,MATCH(B1244,Reactivos!$A$2:$A$435,0)),""))</f>
        <v/>
      </c>
      <c r="F1244" s="8"/>
      <c r="G1244" s="8"/>
      <c r="H1244" s="13"/>
    </row>
    <row r="1245" spans="1:8" x14ac:dyDescent="0.3">
      <c r="A1245" s="11"/>
      <c r="B1245" s="8"/>
      <c r="C1245" s="7" t="str">
        <f>IF(B1245="","",IFERROR(INDEX(Reactivos!$D$2:$D$435,MATCH(B1245,Reactivos!$A$2:$A$435,0)),"ID no existe"))</f>
        <v/>
      </c>
      <c r="D1245" s="8"/>
      <c r="E1245" s="7" t="str">
        <f>IF(B1245="","",IFERROR(INDEX(Reactivos!$H$2:$H$435,MATCH(B1245,Reactivos!$A$2:$A$435,0)),""))</f>
        <v/>
      </c>
      <c r="F1245" s="8"/>
      <c r="G1245" s="8"/>
      <c r="H1245" s="13"/>
    </row>
    <row r="1246" spans="1:8" x14ac:dyDescent="0.3">
      <c r="A1246" s="11"/>
      <c r="B1246" s="8"/>
      <c r="C1246" s="7" t="str">
        <f>IF(B1246="","",IFERROR(INDEX(Reactivos!$D$2:$D$435,MATCH(B1246,Reactivos!$A$2:$A$435,0)),"ID no existe"))</f>
        <v/>
      </c>
      <c r="D1246" s="8"/>
      <c r="E1246" s="7" t="str">
        <f>IF(B1246="","",IFERROR(INDEX(Reactivos!$H$2:$H$435,MATCH(B1246,Reactivos!$A$2:$A$435,0)),""))</f>
        <v/>
      </c>
      <c r="F1246" s="8"/>
      <c r="G1246" s="8"/>
      <c r="H1246" s="13"/>
    </row>
    <row r="1247" spans="1:8" x14ac:dyDescent="0.3">
      <c r="A1247" s="11"/>
      <c r="B1247" s="8"/>
      <c r="C1247" s="7" t="str">
        <f>IF(B1247="","",IFERROR(INDEX(Reactivos!$D$2:$D$435,MATCH(B1247,Reactivos!$A$2:$A$435,0)),"ID no existe"))</f>
        <v/>
      </c>
      <c r="D1247" s="8"/>
      <c r="E1247" s="7" t="str">
        <f>IF(B1247="","",IFERROR(INDEX(Reactivos!$H$2:$H$435,MATCH(B1247,Reactivos!$A$2:$A$435,0)),""))</f>
        <v/>
      </c>
      <c r="F1247" s="8"/>
      <c r="G1247" s="8"/>
      <c r="H1247" s="13"/>
    </row>
    <row r="1248" spans="1:8" x14ac:dyDescent="0.3">
      <c r="A1248" s="11"/>
      <c r="B1248" s="8"/>
      <c r="C1248" s="7" t="str">
        <f>IF(B1248="","",IFERROR(INDEX(Reactivos!$D$2:$D$435,MATCH(B1248,Reactivos!$A$2:$A$435,0)),"ID no existe"))</f>
        <v/>
      </c>
      <c r="D1248" s="8"/>
      <c r="E1248" s="7" t="str">
        <f>IF(B1248="","",IFERROR(INDEX(Reactivos!$H$2:$H$435,MATCH(B1248,Reactivos!$A$2:$A$435,0)),""))</f>
        <v/>
      </c>
      <c r="F1248" s="8"/>
      <c r="G1248" s="8"/>
      <c r="H1248" s="13"/>
    </row>
    <row r="1249" spans="1:8" x14ac:dyDescent="0.3">
      <c r="A1249" s="11"/>
      <c r="B1249" s="8"/>
      <c r="C1249" s="7" t="str">
        <f>IF(B1249="","",IFERROR(INDEX(Reactivos!$D$2:$D$435,MATCH(B1249,Reactivos!$A$2:$A$435,0)),"ID no existe"))</f>
        <v/>
      </c>
      <c r="D1249" s="8"/>
      <c r="E1249" s="7" t="str">
        <f>IF(B1249="","",IFERROR(INDEX(Reactivos!$H$2:$H$435,MATCH(B1249,Reactivos!$A$2:$A$435,0)),""))</f>
        <v/>
      </c>
      <c r="F1249" s="8"/>
      <c r="G1249" s="8"/>
      <c r="H1249" s="13"/>
    </row>
    <row r="1250" spans="1:8" x14ac:dyDescent="0.3">
      <c r="A1250" s="11"/>
      <c r="B1250" s="8"/>
      <c r="C1250" s="7" t="str">
        <f>IF(B1250="","",IFERROR(INDEX(Reactivos!$D$2:$D$435,MATCH(B1250,Reactivos!$A$2:$A$435,0)),"ID no existe"))</f>
        <v/>
      </c>
      <c r="D1250" s="8"/>
      <c r="E1250" s="7" t="str">
        <f>IF(B1250="","",IFERROR(INDEX(Reactivos!$H$2:$H$435,MATCH(B1250,Reactivos!$A$2:$A$435,0)),""))</f>
        <v/>
      </c>
      <c r="F1250" s="8"/>
      <c r="G1250" s="8"/>
      <c r="H1250" s="13"/>
    </row>
    <row r="1251" spans="1:8" x14ac:dyDescent="0.3">
      <c r="A1251" s="11"/>
      <c r="B1251" s="8"/>
      <c r="C1251" s="7" t="str">
        <f>IF(B1251="","",IFERROR(INDEX(Reactivos!$D$2:$D$435,MATCH(B1251,Reactivos!$A$2:$A$435,0)),"ID no existe"))</f>
        <v/>
      </c>
      <c r="D1251" s="8"/>
      <c r="E1251" s="7" t="str">
        <f>IF(B1251="","",IFERROR(INDEX(Reactivos!$H$2:$H$435,MATCH(B1251,Reactivos!$A$2:$A$435,0)),""))</f>
        <v/>
      </c>
      <c r="F1251" s="8"/>
      <c r="G1251" s="8"/>
      <c r="H1251" s="13"/>
    </row>
    <row r="1252" spans="1:8" x14ac:dyDescent="0.3">
      <c r="A1252" s="11"/>
      <c r="B1252" s="8"/>
      <c r="C1252" s="7" t="str">
        <f>IF(B1252="","",IFERROR(INDEX(Reactivos!$D$2:$D$435,MATCH(B1252,Reactivos!$A$2:$A$435,0)),"ID no existe"))</f>
        <v/>
      </c>
      <c r="D1252" s="8"/>
      <c r="E1252" s="7" t="str">
        <f>IF(B1252="","",IFERROR(INDEX(Reactivos!$H$2:$H$435,MATCH(B1252,Reactivos!$A$2:$A$435,0)),""))</f>
        <v/>
      </c>
      <c r="F1252" s="8"/>
      <c r="G1252" s="8"/>
      <c r="H1252" s="13"/>
    </row>
    <row r="1253" spans="1:8" x14ac:dyDescent="0.3">
      <c r="A1253" s="11"/>
      <c r="B1253" s="8"/>
      <c r="C1253" s="7" t="str">
        <f>IF(B1253="","",IFERROR(INDEX(Reactivos!$D$2:$D$435,MATCH(B1253,Reactivos!$A$2:$A$435,0)),"ID no existe"))</f>
        <v/>
      </c>
      <c r="D1253" s="8"/>
      <c r="E1253" s="7" t="str">
        <f>IF(B1253="","",IFERROR(INDEX(Reactivos!$H$2:$H$435,MATCH(B1253,Reactivos!$A$2:$A$435,0)),""))</f>
        <v/>
      </c>
      <c r="F1253" s="8"/>
      <c r="G1253" s="8"/>
      <c r="H1253" s="13"/>
    </row>
    <row r="1254" spans="1:8" x14ac:dyDescent="0.3">
      <c r="A1254" s="11"/>
      <c r="B1254" s="8"/>
      <c r="C1254" s="7" t="str">
        <f>IF(B1254="","",IFERROR(INDEX(Reactivos!$D$2:$D$435,MATCH(B1254,Reactivos!$A$2:$A$435,0)),"ID no existe"))</f>
        <v/>
      </c>
      <c r="D1254" s="8"/>
      <c r="E1254" s="7" t="str">
        <f>IF(B1254="","",IFERROR(INDEX(Reactivos!$H$2:$H$435,MATCH(B1254,Reactivos!$A$2:$A$435,0)),""))</f>
        <v/>
      </c>
      <c r="F1254" s="8"/>
      <c r="G1254" s="8"/>
      <c r="H1254" s="13"/>
    </row>
    <row r="1255" spans="1:8" x14ac:dyDescent="0.3">
      <c r="A1255" s="11"/>
      <c r="B1255" s="8"/>
      <c r="C1255" s="7" t="str">
        <f>IF(B1255="","",IFERROR(INDEX(Reactivos!$D$2:$D$435,MATCH(B1255,Reactivos!$A$2:$A$435,0)),"ID no existe"))</f>
        <v/>
      </c>
      <c r="D1255" s="8"/>
      <c r="E1255" s="7" t="str">
        <f>IF(B1255="","",IFERROR(INDEX(Reactivos!$H$2:$H$435,MATCH(B1255,Reactivos!$A$2:$A$435,0)),""))</f>
        <v/>
      </c>
      <c r="F1255" s="8"/>
      <c r="G1255" s="8"/>
      <c r="H1255" s="13"/>
    </row>
    <row r="1256" spans="1:8" x14ac:dyDescent="0.3">
      <c r="A1256" s="11"/>
      <c r="B1256" s="8"/>
      <c r="C1256" s="7" t="str">
        <f>IF(B1256="","",IFERROR(INDEX(Reactivos!$D$2:$D$435,MATCH(B1256,Reactivos!$A$2:$A$435,0)),"ID no existe"))</f>
        <v/>
      </c>
      <c r="D1256" s="8"/>
      <c r="E1256" s="7" t="str">
        <f>IF(B1256="","",IFERROR(INDEX(Reactivos!$H$2:$H$435,MATCH(B1256,Reactivos!$A$2:$A$435,0)),""))</f>
        <v/>
      </c>
      <c r="F1256" s="8"/>
      <c r="G1256" s="8"/>
      <c r="H1256" s="13"/>
    </row>
    <row r="1257" spans="1:8" x14ac:dyDescent="0.3">
      <c r="A1257" s="11"/>
      <c r="B1257" s="8"/>
      <c r="C1257" s="7" t="str">
        <f>IF(B1257="","",IFERROR(INDEX(Reactivos!$D$2:$D$435,MATCH(B1257,Reactivos!$A$2:$A$435,0)),"ID no existe"))</f>
        <v/>
      </c>
      <c r="D1257" s="8"/>
      <c r="E1257" s="7" t="str">
        <f>IF(B1257="","",IFERROR(INDEX(Reactivos!$H$2:$H$435,MATCH(B1257,Reactivos!$A$2:$A$435,0)),""))</f>
        <v/>
      </c>
      <c r="F1257" s="8"/>
      <c r="G1257" s="8"/>
      <c r="H1257" s="13"/>
    </row>
    <row r="1258" spans="1:8" x14ac:dyDescent="0.3">
      <c r="A1258" s="11"/>
      <c r="B1258" s="8"/>
      <c r="C1258" s="7" t="str">
        <f>IF(B1258="","",IFERROR(INDEX(Reactivos!$D$2:$D$435,MATCH(B1258,Reactivos!$A$2:$A$435,0)),"ID no existe"))</f>
        <v/>
      </c>
      <c r="D1258" s="8"/>
      <c r="E1258" s="7" t="str">
        <f>IF(B1258="","",IFERROR(INDEX(Reactivos!$H$2:$H$435,MATCH(B1258,Reactivos!$A$2:$A$435,0)),""))</f>
        <v/>
      </c>
      <c r="F1258" s="8"/>
      <c r="G1258" s="8"/>
      <c r="H1258" s="13"/>
    </row>
    <row r="1259" spans="1:8" x14ac:dyDescent="0.3">
      <c r="A1259" s="11"/>
      <c r="B1259" s="8"/>
      <c r="C1259" s="7" t="str">
        <f>IF(B1259="","",IFERROR(INDEX(Reactivos!$D$2:$D$435,MATCH(B1259,Reactivos!$A$2:$A$435,0)),"ID no existe"))</f>
        <v/>
      </c>
      <c r="D1259" s="8"/>
      <c r="E1259" s="7" t="str">
        <f>IF(B1259="","",IFERROR(INDEX(Reactivos!$H$2:$H$435,MATCH(B1259,Reactivos!$A$2:$A$435,0)),""))</f>
        <v/>
      </c>
      <c r="F1259" s="8"/>
      <c r="G1259" s="8"/>
      <c r="H1259" s="13"/>
    </row>
    <row r="1260" spans="1:8" x14ac:dyDescent="0.3">
      <c r="A1260" s="11"/>
      <c r="B1260" s="8"/>
      <c r="C1260" s="7" t="str">
        <f>IF(B1260="","",IFERROR(INDEX(Reactivos!$D$2:$D$435,MATCH(B1260,Reactivos!$A$2:$A$435,0)),"ID no existe"))</f>
        <v/>
      </c>
      <c r="D1260" s="8"/>
      <c r="E1260" s="7" t="str">
        <f>IF(B1260="","",IFERROR(INDEX(Reactivos!$H$2:$H$435,MATCH(B1260,Reactivos!$A$2:$A$435,0)),""))</f>
        <v/>
      </c>
      <c r="F1260" s="8"/>
      <c r="G1260" s="8"/>
      <c r="H1260" s="13"/>
    </row>
    <row r="1261" spans="1:8" x14ac:dyDescent="0.3">
      <c r="A1261" s="11"/>
      <c r="B1261" s="8"/>
      <c r="C1261" s="7" t="str">
        <f>IF(B1261="","",IFERROR(INDEX(Reactivos!$D$2:$D$435,MATCH(B1261,Reactivos!$A$2:$A$435,0)),"ID no existe"))</f>
        <v/>
      </c>
      <c r="D1261" s="8"/>
      <c r="E1261" s="7" t="str">
        <f>IF(B1261="","",IFERROR(INDEX(Reactivos!$H$2:$H$435,MATCH(B1261,Reactivos!$A$2:$A$435,0)),""))</f>
        <v/>
      </c>
      <c r="F1261" s="8"/>
      <c r="G1261" s="8"/>
      <c r="H1261" s="13"/>
    </row>
    <row r="1262" spans="1:8" x14ac:dyDescent="0.3">
      <c r="A1262" s="11"/>
      <c r="B1262" s="8"/>
      <c r="C1262" s="7" t="str">
        <f>IF(B1262="","",IFERROR(INDEX(Reactivos!$D$2:$D$435,MATCH(B1262,Reactivos!$A$2:$A$435,0)),"ID no existe"))</f>
        <v/>
      </c>
      <c r="D1262" s="8"/>
      <c r="E1262" s="7" t="str">
        <f>IF(B1262="","",IFERROR(INDEX(Reactivos!$H$2:$H$435,MATCH(B1262,Reactivos!$A$2:$A$435,0)),""))</f>
        <v/>
      </c>
      <c r="F1262" s="8"/>
      <c r="G1262" s="8"/>
      <c r="H1262" s="13"/>
    </row>
    <row r="1263" spans="1:8" x14ac:dyDescent="0.3">
      <c r="A1263" s="11"/>
      <c r="B1263" s="8"/>
      <c r="C1263" s="7" t="str">
        <f>IF(B1263="","",IFERROR(INDEX(Reactivos!$D$2:$D$435,MATCH(B1263,Reactivos!$A$2:$A$435,0)),"ID no existe"))</f>
        <v/>
      </c>
      <c r="D1263" s="8"/>
      <c r="E1263" s="7" t="str">
        <f>IF(B1263="","",IFERROR(INDEX(Reactivos!$H$2:$H$435,MATCH(B1263,Reactivos!$A$2:$A$435,0)),""))</f>
        <v/>
      </c>
      <c r="F1263" s="8"/>
      <c r="G1263" s="8"/>
      <c r="H1263" s="13"/>
    </row>
    <row r="1264" spans="1:8" x14ac:dyDescent="0.3">
      <c r="A1264" s="11"/>
      <c r="B1264" s="8"/>
      <c r="C1264" s="7" t="str">
        <f>IF(B1264="","",IFERROR(INDEX(Reactivos!$D$2:$D$435,MATCH(B1264,Reactivos!$A$2:$A$435,0)),"ID no existe"))</f>
        <v/>
      </c>
      <c r="D1264" s="8"/>
      <c r="E1264" s="7" t="str">
        <f>IF(B1264="","",IFERROR(INDEX(Reactivos!$H$2:$H$435,MATCH(B1264,Reactivos!$A$2:$A$435,0)),""))</f>
        <v/>
      </c>
      <c r="F1264" s="8"/>
      <c r="G1264" s="8"/>
      <c r="H1264" s="13"/>
    </row>
    <row r="1265" spans="1:8" x14ac:dyDescent="0.3">
      <c r="A1265" s="11"/>
      <c r="B1265" s="8"/>
      <c r="C1265" s="7" t="str">
        <f>IF(B1265="","",IFERROR(INDEX(Reactivos!$D$2:$D$435,MATCH(B1265,Reactivos!$A$2:$A$435,0)),"ID no existe"))</f>
        <v/>
      </c>
      <c r="D1265" s="8"/>
      <c r="E1265" s="7" t="str">
        <f>IF(B1265="","",IFERROR(INDEX(Reactivos!$H$2:$H$435,MATCH(B1265,Reactivos!$A$2:$A$435,0)),""))</f>
        <v/>
      </c>
      <c r="F1265" s="8"/>
      <c r="G1265" s="8"/>
      <c r="H1265" s="13"/>
    </row>
    <row r="1266" spans="1:8" x14ac:dyDescent="0.3">
      <c r="A1266" s="11"/>
      <c r="B1266" s="8"/>
      <c r="C1266" s="7" t="str">
        <f>IF(B1266="","",IFERROR(INDEX(Reactivos!$D$2:$D$435,MATCH(B1266,Reactivos!$A$2:$A$435,0)),"ID no existe"))</f>
        <v/>
      </c>
      <c r="D1266" s="8"/>
      <c r="E1266" s="7" t="str">
        <f>IF(B1266="","",IFERROR(INDEX(Reactivos!$H$2:$H$435,MATCH(B1266,Reactivos!$A$2:$A$435,0)),""))</f>
        <v/>
      </c>
      <c r="F1266" s="8"/>
      <c r="G1266" s="8"/>
      <c r="H1266" s="13"/>
    </row>
    <row r="1267" spans="1:8" x14ac:dyDescent="0.3">
      <c r="A1267" s="11"/>
      <c r="B1267" s="8"/>
      <c r="C1267" s="7" t="str">
        <f>IF(B1267="","",IFERROR(INDEX(Reactivos!$D$2:$D$435,MATCH(B1267,Reactivos!$A$2:$A$435,0)),"ID no existe"))</f>
        <v/>
      </c>
      <c r="D1267" s="8"/>
      <c r="E1267" s="7" t="str">
        <f>IF(B1267="","",IFERROR(INDEX(Reactivos!$H$2:$H$435,MATCH(B1267,Reactivos!$A$2:$A$435,0)),""))</f>
        <v/>
      </c>
      <c r="F1267" s="8"/>
      <c r="G1267" s="8"/>
      <c r="H1267" s="13"/>
    </row>
    <row r="1268" spans="1:8" x14ac:dyDescent="0.3">
      <c r="A1268" s="11"/>
      <c r="B1268" s="8"/>
      <c r="C1268" s="7" t="str">
        <f>IF(B1268="","",IFERROR(INDEX(Reactivos!$D$2:$D$435,MATCH(B1268,Reactivos!$A$2:$A$435,0)),"ID no existe"))</f>
        <v/>
      </c>
      <c r="D1268" s="8"/>
      <c r="E1268" s="7" t="str">
        <f>IF(B1268="","",IFERROR(INDEX(Reactivos!$H$2:$H$435,MATCH(B1268,Reactivos!$A$2:$A$435,0)),""))</f>
        <v/>
      </c>
      <c r="F1268" s="8"/>
      <c r="G1268" s="8"/>
      <c r="H1268" s="13"/>
    </row>
    <row r="1269" spans="1:8" x14ac:dyDescent="0.3">
      <c r="A1269" s="11"/>
      <c r="B1269" s="8"/>
      <c r="C1269" s="7" t="str">
        <f>IF(B1269="","",IFERROR(INDEX(Reactivos!$D$2:$D$435,MATCH(B1269,Reactivos!$A$2:$A$435,0)),"ID no existe"))</f>
        <v/>
      </c>
      <c r="D1269" s="8"/>
      <c r="E1269" s="7" t="str">
        <f>IF(B1269="","",IFERROR(INDEX(Reactivos!$H$2:$H$435,MATCH(B1269,Reactivos!$A$2:$A$435,0)),""))</f>
        <v/>
      </c>
      <c r="F1269" s="8"/>
      <c r="G1269" s="8"/>
      <c r="H1269" s="13"/>
    </row>
    <row r="1270" spans="1:8" x14ac:dyDescent="0.3">
      <c r="A1270" s="11"/>
      <c r="B1270" s="8"/>
      <c r="C1270" s="7" t="str">
        <f>IF(B1270="","",IFERROR(INDEX(Reactivos!$D$2:$D$435,MATCH(B1270,Reactivos!$A$2:$A$435,0)),"ID no existe"))</f>
        <v/>
      </c>
      <c r="D1270" s="8"/>
      <c r="E1270" s="7" t="str">
        <f>IF(B1270="","",IFERROR(INDEX(Reactivos!$H$2:$H$435,MATCH(B1270,Reactivos!$A$2:$A$435,0)),""))</f>
        <v/>
      </c>
      <c r="F1270" s="8"/>
      <c r="G1270" s="8"/>
      <c r="H1270" s="13"/>
    </row>
    <row r="1271" spans="1:8" x14ac:dyDescent="0.3">
      <c r="A1271" s="11"/>
      <c r="B1271" s="8"/>
      <c r="C1271" s="7" t="str">
        <f>IF(B1271="","",IFERROR(INDEX(Reactivos!$D$2:$D$435,MATCH(B1271,Reactivos!$A$2:$A$435,0)),"ID no existe"))</f>
        <v/>
      </c>
      <c r="D1271" s="8"/>
      <c r="E1271" s="7" t="str">
        <f>IF(B1271="","",IFERROR(INDEX(Reactivos!$H$2:$H$435,MATCH(B1271,Reactivos!$A$2:$A$435,0)),""))</f>
        <v/>
      </c>
      <c r="F1271" s="8"/>
      <c r="G1271" s="8"/>
      <c r="H1271" s="13"/>
    </row>
    <row r="1272" spans="1:8" x14ac:dyDescent="0.3">
      <c r="A1272" s="11"/>
      <c r="B1272" s="8"/>
      <c r="C1272" s="7" t="str">
        <f>IF(B1272="","",IFERROR(INDEX(Reactivos!$D$2:$D$435,MATCH(B1272,Reactivos!$A$2:$A$435,0)),"ID no existe"))</f>
        <v/>
      </c>
      <c r="D1272" s="8"/>
      <c r="E1272" s="7" t="str">
        <f>IF(B1272="","",IFERROR(INDEX(Reactivos!$H$2:$H$435,MATCH(B1272,Reactivos!$A$2:$A$435,0)),""))</f>
        <v/>
      </c>
      <c r="F1272" s="8"/>
      <c r="G1272" s="8"/>
      <c r="H1272" s="13"/>
    </row>
    <row r="1273" spans="1:8" x14ac:dyDescent="0.3">
      <c r="A1273" s="11"/>
      <c r="B1273" s="8"/>
      <c r="C1273" s="7" t="str">
        <f>IF(B1273="","",IFERROR(INDEX(Reactivos!$D$2:$D$435,MATCH(B1273,Reactivos!$A$2:$A$435,0)),"ID no existe"))</f>
        <v/>
      </c>
      <c r="D1273" s="8"/>
      <c r="E1273" s="7" t="str">
        <f>IF(B1273="","",IFERROR(INDEX(Reactivos!$H$2:$H$435,MATCH(B1273,Reactivos!$A$2:$A$435,0)),""))</f>
        <v/>
      </c>
      <c r="F1273" s="8"/>
      <c r="G1273" s="8"/>
      <c r="H1273" s="13"/>
    </row>
    <row r="1274" spans="1:8" x14ac:dyDescent="0.3">
      <c r="A1274" s="11"/>
      <c r="B1274" s="8"/>
      <c r="C1274" s="7" t="str">
        <f>IF(B1274="","",IFERROR(INDEX(Reactivos!$D$2:$D$435,MATCH(B1274,Reactivos!$A$2:$A$435,0)),"ID no existe"))</f>
        <v/>
      </c>
      <c r="D1274" s="8"/>
      <c r="E1274" s="7" t="str">
        <f>IF(B1274="","",IFERROR(INDEX(Reactivos!$H$2:$H$435,MATCH(B1274,Reactivos!$A$2:$A$435,0)),""))</f>
        <v/>
      </c>
      <c r="F1274" s="8"/>
      <c r="G1274" s="8"/>
      <c r="H1274" s="13"/>
    </row>
    <row r="1275" spans="1:8" x14ac:dyDescent="0.3">
      <c r="A1275" s="11"/>
      <c r="B1275" s="8"/>
      <c r="C1275" s="7" t="str">
        <f>IF(B1275="","",IFERROR(INDEX(Reactivos!$D$2:$D$435,MATCH(B1275,Reactivos!$A$2:$A$435,0)),"ID no existe"))</f>
        <v/>
      </c>
      <c r="D1275" s="8"/>
      <c r="E1275" s="7" t="str">
        <f>IF(B1275="","",IFERROR(INDEX(Reactivos!$H$2:$H$435,MATCH(B1275,Reactivos!$A$2:$A$435,0)),""))</f>
        <v/>
      </c>
      <c r="F1275" s="8"/>
      <c r="G1275" s="8"/>
      <c r="H1275" s="13"/>
    </row>
    <row r="1276" spans="1:8" x14ac:dyDescent="0.3">
      <c r="A1276" s="11"/>
      <c r="B1276" s="8"/>
      <c r="C1276" s="7" t="str">
        <f>IF(B1276="","",IFERROR(INDEX(Reactivos!$D$2:$D$435,MATCH(B1276,Reactivos!$A$2:$A$435,0)),"ID no existe"))</f>
        <v/>
      </c>
      <c r="D1276" s="8"/>
      <c r="E1276" s="7" t="str">
        <f>IF(B1276="","",IFERROR(INDEX(Reactivos!$H$2:$H$435,MATCH(B1276,Reactivos!$A$2:$A$435,0)),""))</f>
        <v/>
      </c>
      <c r="F1276" s="8"/>
      <c r="G1276" s="8"/>
      <c r="H1276" s="13"/>
    </row>
    <row r="1277" spans="1:8" x14ac:dyDescent="0.3">
      <c r="A1277" s="11"/>
      <c r="B1277" s="8"/>
      <c r="C1277" s="7" t="str">
        <f>IF(B1277="","",IFERROR(INDEX(Reactivos!$D$2:$D$435,MATCH(B1277,Reactivos!$A$2:$A$435,0)),"ID no existe"))</f>
        <v/>
      </c>
      <c r="D1277" s="8"/>
      <c r="E1277" s="7" t="str">
        <f>IF(B1277="","",IFERROR(INDEX(Reactivos!$H$2:$H$435,MATCH(B1277,Reactivos!$A$2:$A$435,0)),""))</f>
        <v/>
      </c>
      <c r="F1277" s="8"/>
      <c r="G1277" s="8"/>
      <c r="H1277" s="13"/>
    </row>
    <row r="1278" spans="1:8" x14ac:dyDescent="0.3">
      <c r="A1278" s="11"/>
      <c r="B1278" s="8"/>
      <c r="C1278" s="7" t="str">
        <f>IF(B1278="","",IFERROR(INDEX(Reactivos!$D$2:$D$435,MATCH(B1278,Reactivos!$A$2:$A$435,0)),"ID no existe"))</f>
        <v/>
      </c>
      <c r="D1278" s="8"/>
      <c r="E1278" s="7" t="str">
        <f>IF(B1278="","",IFERROR(INDEX(Reactivos!$H$2:$H$435,MATCH(B1278,Reactivos!$A$2:$A$435,0)),""))</f>
        <v/>
      </c>
      <c r="F1278" s="8"/>
      <c r="G1278" s="8"/>
      <c r="H1278" s="13"/>
    </row>
    <row r="1279" spans="1:8" x14ac:dyDescent="0.3">
      <c r="A1279" s="11"/>
      <c r="B1279" s="8"/>
      <c r="C1279" s="7" t="str">
        <f>IF(B1279="","",IFERROR(INDEX(Reactivos!$D$2:$D$435,MATCH(B1279,Reactivos!$A$2:$A$435,0)),"ID no existe"))</f>
        <v/>
      </c>
      <c r="D1279" s="8"/>
      <c r="E1279" s="7" t="str">
        <f>IF(B1279="","",IFERROR(INDEX(Reactivos!$H$2:$H$435,MATCH(B1279,Reactivos!$A$2:$A$435,0)),""))</f>
        <v/>
      </c>
      <c r="F1279" s="8"/>
      <c r="G1279" s="8"/>
      <c r="H1279" s="13"/>
    </row>
    <row r="1280" spans="1:8" x14ac:dyDescent="0.3">
      <c r="A1280" s="11"/>
      <c r="B1280" s="8"/>
      <c r="C1280" s="7" t="str">
        <f>IF(B1280="","",IFERROR(INDEX(Reactivos!$D$2:$D$435,MATCH(B1280,Reactivos!$A$2:$A$435,0)),"ID no existe"))</f>
        <v/>
      </c>
      <c r="D1280" s="8"/>
      <c r="E1280" s="7" t="str">
        <f>IF(B1280="","",IFERROR(INDEX(Reactivos!$H$2:$H$435,MATCH(B1280,Reactivos!$A$2:$A$435,0)),""))</f>
        <v/>
      </c>
      <c r="F1280" s="8"/>
      <c r="G1280" s="8"/>
      <c r="H1280" s="13"/>
    </row>
    <row r="1281" spans="1:8" x14ac:dyDescent="0.3">
      <c r="A1281" s="11"/>
      <c r="B1281" s="8"/>
      <c r="C1281" s="7" t="str">
        <f>IF(B1281="","",IFERROR(INDEX(Reactivos!$D$2:$D$435,MATCH(B1281,Reactivos!$A$2:$A$435,0)),"ID no existe"))</f>
        <v/>
      </c>
      <c r="D1281" s="8"/>
      <c r="E1281" s="7" t="str">
        <f>IF(B1281="","",IFERROR(INDEX(Reactivos!$H$2:$H$435,MATCH(B1281,Reactivos!$A$2:$A$435,0)),""))</f>
        <v/>
      </c>
      <c r="F1281" s="8"/>
      <c r="G1281" s="8"/>
      <c r="H1281" s="13"/>
    </row>
    <row r="1282" spans="1:8" x14ac:dyDescent="0.3">
      <c r="A1282" s="11"/>
      <c r="B1282" s="8"/>
      <c r="C1282" s="7" t="str">
        <f>IF(B1282="","",IFERROR(INDEX(Reactivos!$D$2:$D$435,MATCH(B1282,Reactivos!$A$2:$A$435,0)),"ID no existe"))</f>
        <v/>
      </c>
      <c r="D1282" s="8"/>
      <c r="E1282" s="7" t="str">
        <f>IF(B1282="","",IFERROR(INDEX(Reactivos!$H$2:$H$435,MATCH(B1282,Reactivos!$A$2:$A$435,0)),""))</f>
        <v/>
      </c>
      <c r="F1282" s="8"/>
      <c r="G1282" s="8"/>
      <c r="H1282" s="13"/>
    </row>
    <row r="1283" spans="1:8" x14ac:dyDescent="0.3">
      <c r="A1283" s="11"/>
      <c r="B1283" s="8"/>
      <c r="C1283" s="7" t="str">
        <f>IF(B1283="","",IFERROR(INDEX(Reactivos!$D$2:$D$435,MATCH(B1283,Reactivos!$A$2:$A$435,0)),"ID no existe"))</f>
        <v/>
      </c>
      <c r="D1283" s="8"/>
      <c r="E1283" s="7" t="str">
        <f>IF(B1283="","",IFERROR(INDEX(Reactivos!$H$2:$H$435,MATCH(B1283,Reactivos!$A$2:$A$435,0)),""))</f>
        <v/>
      </c>
      <c r="F1283" s="8"/>
      <c r="G1283" s="8"/>
      <c r="H1283" s="13"/>
    </row>
    <row r="1284" spans="1:8" x14ac:dyDescent="0.3">
      <c r="A1284" s="11"/>
      <c r="B1284" s="8"/>
      <c r="C1284" s="7" t="str">
        <f>IF(B1284="","",IFERROR(INDEX(Reactivos!$D$2:$D$435,MATCH(B1284,Reactivos!$A$2:$A$435,0)),"ID no existe"))</f>
        <v/>
      </c>
      <c r="D1284" s="8"/>
      <c r="E1284" s="7" t="str">
        <f>IF(B1284="","",IFERROR(INDEX(Reactivos!$H$2:$H$435,MATCH(B1284,Reactivos!$A$2:$A$435,0)),""))</f>
        <v/>
      </c>
      <c r="F1284" s="8"/>
      <c r="G1284" s="8"/>
      <c r="H1284" s="13"/>
    </row>
    <row r="1285" spans="1:8" x14ac:dyDescent="0.3">
      <c r="A1285" s="11"/>
      <c r="B1285" s="8"/>
      <c r="C1285" s="7" t="str">
        <f>IF(B1285="","",IFERROR(INDEX(Reactivos!$D$2:$D$435,MATCH(B1285,Reactivos!$A$2:$A$435,0)),"ID no existe"))</f>
        <v/>
      </c>
      <c r="D1285" s="8"/>
      <c r="E1285" s="7" t="str">
        <f>IF(B1285="","",IFERROR(INDEX(Reactivos!$H$2:$H$435,MATCH(B1285,Reactivos!$A$2:$A$435,0)),""))</f>
        <v/>
      </c>
      <c r="F1285" s="8"/>
      <c r="G1285" s="8"/>
      <c r="H1285" s="13"/>
    </row>
    <row r="1286" spans="1:8" x14ac:dyDescent="0.3">
      <c r="A1286" s="11"/>
      <c r="B1286" s="8"/>
      <c r="C1286" s="7" t="str">
        <f>IF(B1286="","",IFERROR(INDEX(Reactivos!$D$2:$D$435,MATCH(B1286,Reactivos!$A$2:$A$435,0)),"ID no existe"))</f>
        <v/>
      </c>
      <c r="D1286" s="8"/>
      <c r="E1286" s="7" t="str">
        <f>IF(B1286="","",IFERROR(INDEX(Reactivos!$H$2:$H$435,MATCH(B1286,Reactivos!$A$2:$A$435,0)),""))</f>
        <v/>
      </c>
      <c r="F1286" s="8"/>
      <c r="G1286" s="8"/>
      <c r="H1286" s="13"/>
    </row>
    <row r="1287" spans="1:8" x14ac:dyDescent="0.3">
      <c r="A1287" s="11"/>
      <c r="B1287" s="8"/>
      <c r="C1287" s="7" t="str">
        <f>IF(B1287="","",IFERROR(INDEX(Reactivos!$D$2:$D$435,MATCH(B1287,Reactivos!$A$2:$A$435,0)),"ID no existe"))</f>
        <v/>
      </c>
      <c r="D1287" s="8"/>
      <c r="E1287" s="7" t="str">
        <f>IF(B1287="","",IFERROR(INDEX(Reactivos!$H$2:$H$435,MATCH(B1287,Reactivos!$A$2:$A$435,0)),""))</f>
        <v/>
      </c>
      <c r="F1287" s="8"/>
      <c r="G1287" s="8"/>
      <c r="H1287" s="13"/>
    </row>
    <row r="1288" spans="1:8" x14ac:dyDescent="0.3">
      <c r="A1288" s="11"/>
      <c r="B1288" s="8"/>
      <c r="C1288" s="7" t="str">
        <f>IF(B1288="","",IFERROR(INDEX(Reactivos!$D$2:$D$435,MATCH(B1288,Reactivos!$A$2:$A$435,0)),"ID no existe"))</f>
        <v/>
      </c>
      <c r="D1288" s="8"/>
      <c r="E1288" s="7" t="str">
        <f>IF(B1288="","",IFERROR(INDEX(Reactivos!$H$2:$H$435,MATCH(B1288,Reactivos!$A$2:$A$435,0)),""))</f>
        <v/>
      </c>
      <c r="F1288" s="8"/>
      <c r="G1288" s="8"/>
      <c r="H1288" s="13"/>
    </row>
    <row r="1289" spans="1:8" x14ac:dyDescent="0.3">
      <c r="A1289" s="11"/>
      <c r="B1289" s="8"/>
      <c r="C1289" s="7" t="str">
        <f>IF(B1289="","",IFERROR(INDEX(Reactivos!$D$2:$D$435,MATCH(B1289,Reactivos!$A$2:$A$435,0)),"ID no existe"))</f>
        <v/>
      </c>
      <c r="D1289" s="8"/>
      <c r="E1289" s="7" t="str">
        <f>IF(B1289="","",IFERROR(INDEX(Reactivos!$H$2:$H$435,MATCH(B1289,Reactivos!$A$2:$A$435,0)),""))</f>
        <v/>
      </c>
      <c r="F1289" s="8"/>
      <c r="G1289" s="8"/>
      <c r="H1289" s="13"/>
    </row>
    <row r="1290" spans="1:8" x14ac:dyDescent="0.3">
      <c r="A1290" s="11"/>
      <c r="B1290" s="8"/>
      <c r="C1290" s="7" t="str">
        <f>IF(B1290="","",IFERROR(INDEX(Reactivos!$D$2:$D$435,MATCH(B1290,Reactivos!$A$2:$A$435,0)),"ID no existe"))</f>
        <v/>
      </c>
      <c r="D1290" s="8"/>
      <c r="E1290" s="7" t="str">
        <f>IF(B1290="","",IFERROR(INDEX(Reactivos!$H$2:$H$435,MATCH(B1290,Reactivos!$A$2:$A$435,0)),""))</f>
        <v/>
      </c>
      <c r="F1290" s="8"/>
      <c r="G1290" s="8"/>
      <c r="H1290" s="13"/>
    </row>
    <row r="1291" spans="1:8" x14ac:dyDescent="0.3">
      <c r="A1291" s="11"/>
      <c r="B1291" s="8"/>
      <c r="C1291" s="7" t="str">
        <f>IF(B1291="","",IFERROR(INDEX(Reactivos!$D$2:$D$435,MATCH(B1291,Reactivos!$A$2:$A$435,0)),"ID no existe"))</f>
        <v/>
      </c>
      <c r="D1291" s="8"/>
      <c r="E1291" s="7" t="str">
        <f>IF(B1291="","",IFERROR(INDEX(Reactivos!$H$2:$H$435,MATCH(B1291,Reactivos!$A$2:$A$435,0)),""))</f>
        <v/>
      </c>
      <c r="F1291" s="8"/>
      <c r="G1291" s="8"/>
      <c r="H1291" s="13"/>
    </row>
    <row r="1292" spans="1:8" x14ac:dyDescent="0.3">
      <c r="A1292" s="11"/>
      <c r="B1292" s="8"/>
      <c r="C1292" s="7" t="str">
        <f>IF(B1292="","",IFERROR(INDEX(Reactivos!$D$2:$D$435,MATCH(B1292,Reactivos!$A$2:$A$435,0)),"ID no existe"))</f>
        <v/>
      </c>
      <c r="D1292" s="8"/>
      <c r="E1292" s="7" t="str">
        <f>IF(B1292="","",IFERROR(INDEX(Reactivos!$H$2:$H$435,MATCH(B1292,Reactivos!$A$2:$A$435,0)),""))</f>
        <v/>
      </c>
      <c r="F1292" s="8"/>
      <c r="G1292" s="8"/>
      <c r="H1292" s="13"/>
    </row>
    <row r="1293" spans="1:8" x14ac:dyDescent="0.3">
      <c r="A1293" s="11"/>
      <c r="B1293" s="8"/>
      <c r="C1293" s="7" t="str">
        <f>IF(B1293="","",IFERROR(INDEX(Reactivos!$D$2:$D$435,MATCH(B1293,Reactivos!$A$2:$A$435,0)),"ID no existe"))</f>
        <v/>
      </c>
      <c r="D1293" s="8"/>
      <c r="E1293" s="7" t="str">
        <f>IF(B1293="","",IFERROR(INDEX(Reactivos!$H$2:$H$435,MATCH(B1293,Reactivos!$A$2:$A$435,0)),""))</f>
        <v/>
      </c>
      <c r="F1293" s="8"/>
      <c r="G1293" s="8"/>
      <c r="H1293" s="13"/>
    </row>
    <row r="1294" spans="1:8" x14ac:dyDescent="0.3">
      <c r="A1294" s="11"/>
      <c r="B1294" s="8"/>
      <c r="C1294" s="7" t="str">
        <f>IF(B1294="","",IFERROR(INDEX(Reactivos!$D$2:$D$435,MATCH(B1294,Reactivos!$A$2:$A$435,0)),"ID no existe"))</f>
        <v/>
      </c>
      <c r="D1294" s="8"/>
      <c r="E1294" s="7" t="str">
        <f>IF(B1294="","",IFERROR(INDEX(Reactivos!$H$2:$H$435,MATCH(B1294,Reactivos!$A$2:$A$435,0)),""))</f>
        <v/>
      </c>
      <c r="F1294" s="8"/>
      <c r="G1294" s="8"/>
      <c r="H1294" s="13"/>
    </row>
    <row r="1295" spans="1:8" x14ac:dyDescent="0.3">
      <c r="A1295" s="11"/>
      <c r="B1295" s="8"/>
      <c r="C1295" s="7" t="str">
        <f>IF(B1295="","",IFERROR(INDEX(Reactivos!$D$2:$D$435,MATCH(B1295,Reactivos!$A$2:$A$435,0)),"ID no existe"))</f>
        <v/>
      </c>
      <c r="D1295" s="8"/>
      <c r="E1295" s="7" t="str">
        <f>IF(B1295="","",IFERROR(INDEX(Reactivos!$H$2:$H$435,MATCH(B1295,Reactivos!$A$2:$A$435,0)),""))</f>
        <v/>
      </c>
      <c r="F1295" s="8"/>
      <c r="G1295" s="8"/>
      <c r="H1295" s="13"/>
    </row>
    <row r="1296" spans="1:8" x14ac:dyDescent="0.3">
      <c r="A1296" s="11"/>
      <c r="B1296" s="8"/>
      <c r="C1296" s="7" t="str">
        <f>IF(B1296="","",IFERROR(INDEX(Reactivos!$D$2:$D$435,MATCH(B1296,Reactivos!$A$2:$A$435,0)),"ID no existe"))</f>
        <v/>
      </c>
      <c r="D1296" s="8"/>
      <c r="E1296" s="7" t="str">
        <f>IF(B1296="","",IFERROR(INDEX(Reactivos!$H$2:$H$435,MATCH(B1296,Reactivos!$A$2:$A$435,0)),""))</f>
        <v/>
      </c>
      <c r="F1296" s="8"/>
      <c r="G1296" s="8"/>
      <c r="H1296" s="13"/>
    </row>
    <row r="1297" spans="1:8" x14ac:dyDescent="0.3">
      <c r="A1297" s="11"/>
      <c r="B1297" s="8"/>
      <c r="C1297" s="7" t="str">
        <f>IF(B1297="","",IFERROR(INDEX(Reactivos!$D$2:$D$435,MATCH(B1297,Reactivos!$A$2:$A$435,0)),"ID no existe"))</f>
        <v/>
      </c>
      <c r="D1297" s="8"/>
      <c r="E1297" s="7" t="str">
        <f>IF(B1297="","",IFERROR(INDEX(Reactivos!$H$2:$H$435,MATCH(B1297,Reactivos!$A$2:$A$435,0)),""))</f>
        <v/>
      </c>
      <c r="F1297" s="8"/>
      <c r="G1297" s="8"/>
      <c r="H1297" s="13"/>
    </row>
    <row r="1298" spans="1:8" x14ac:dyDescent="0.3">
      <c r="A1298" s="11"/>
      <c r="B1298" s="8"/>
      <c r="C1298" s="7" t="str">
        <f>IF(B1298="","",IFERROR(INDEX(Reactivos!$D$2:$D$435,MATCH(B1298,Reactivos!$A$2:$A$435,0)),"ID no existe"))</f>
        <v/>
      </c>
      <c r="D1298" s="8"/>
      <c r="E1298" s="7" t="str">
        <f>IF(B1298="","",IFERROR(INDEX(Reactivos!$H$2:$H$435,MATCH(B1298,Reactivos!$A$2:$A$435,0)),""))</f>
        <v/>
      </c>
      <c r="F1298" s="8"/>
      <c r="G1298" s="8"/>
      <c r="H1298" s="13"/>
    </row>
    <row r="1299" spans="1:8" x14ac:dyDescent="0.3">
      <c r="A1299" s="11"/>
      <c r="B1299" s="8"/>
      <c r="C1299" s="7" t="str">
        <f>IF(B1299="","",IFERROR(INDEX(Reactivos!$D$2:$D$435,MATCH(B1299,Reactivos!$A$2:$A$435,0)),"ID no existe"))</f>
        <v/>
      </c>
      <c r="D1299" s="8"/>
      <c r="E1299" s="7" t="str">
        <f>IF(B1299="","",IFERROR(INDEX(Reactivos!$H$2:$H$435,MATCH(B1299,Reactivos!$A$2:$A$435,0)),""))</f>
        <v/>
      </c>
      <c r="F1299" s="8"/>
      <c r="G1299" s="8"/>
      <c r="H1299" s="13"/>
    </row>
    <row r="1300" spans="1:8" x14ac:dyDescent="0.3">
      <c r="A1300" s="11"/>
      <c r="B1300" s="8"/>
      <c r="C1300" s="7" t="str">
        <f>IF(B1300="","",IFERROR(INDEX(Reactivos!$D$2:$D$435,MATCH(B1300,Reactivos!$A$2:$A$435,0)),"ID no existe"))</f>
        <v/>
      </c>
      <c r="D1300" s="8"/>
      <c r="E1300" s="7" t="str">
        <f>IF(B1300="","",IFERROR(INDEX(Reactivos!$H$2:$H$435,MATCH(B1300,Reactivos!$A$2:$A$435,0)),""))</f>
        <v/>
      </c>
      <c r="F1300" s="8"/>
      <c r="G1300" s="8"/>
      <c r="H1300" s="13"/>
    </row>
    <row r="1301" spans="1:8" x14ac:dyDescent="0.3">
      <c r="A1301" s="11"/>
      <c r="B1301" s="8"/>
      <c r="C1301" s="7" t="str">
        <f>IF(B1301="","",IFERROR(INDEX(Reactivos!$D$2:$D$435,MATCH(B1301,Reactivos!$A$2:$A$435,0)),"ID no existe"))</f>
        <v/>
      </c>
      <c r="D1301" s="8"/>
      <c r="E1301" s="7" t="str">
        <f>IF(B1301="","",IFERROR(INDEX(Reactivos!$H$2:$H$435,MATCH(B1301,Reactivos!$A$2:$A$435,0)),""))</f>
        <v/>
      </c>
      <c r="F1301" s="8"/>
      <c r="G1301" s="8"/>
      <c r="H1301" s="13"/>
    </row>
    <row r="1302" spans="1:8" x14ac:dyDescent="0.3">
      <c r="A1302" s="11"/>
      <c r="B1302" s="8"/>
      <c r="C1302" s="7" t="str">
        <f>IF(B1302="","",IFERROR(INDEX(Reactivos!$D$2:$D$435,MATCH(B1302,Reactivos!$A$2:$A$435,0)),"ID no existe"))</f>
        <v/>
      </c>
      <c r="D1302" s="8"/>
      <c r="E1302" s="7" t="str">
        <f>IF(B1302="","",IFERROR(INDEX(Reactivos!$H$2:$H$435,MATCH(B1302,Reactivos!$A$2:$A$435,0)),""))</f>
        <v/>
      </c>
      <c r="F1302" s="8"/>
      <c r="G1302" s="8"/>
      <c r="H1302" s="13"/>
    </row>
    <row r="1303" spans="1:8" x14ac:dyDescent="0.3">
      <c r="A1303" s="11"/>
      <c r="B1303" s="8"/>
      <c r="C1303" s="7" t="str">
        <f>IF(B1303="","",IFERROR(INDEX(Reactivos!$D$2:$D$435,MATCH(B1303,Reactivos!$A$2:$A$435,0)),"ID no existe"))</f>
        <v/>
      </c>
      <c r="D1303" s="8"/>
      <c r="E1303" s="7" t="str">
        <f>IF(B1303="","",IFERROR(INDEX(Reactivos!$H$2:$H$435,MATCH(B1303,Reactivos!$A$2:$A$435,0)),""))</f>
        <v/>
      </c>
      <c r="F1303" s="8"/>
      <c r="G1303" s="8"/>
      <c r="H1303" s="13"/>
    </row>
    <row r="1304" spans="1:8" x14ac:dyDescent="0.3">
      <c r="A1304" s="11"/>
      <c r="B1304" s="8"/>
      <c r="C1304" s="7" t="str">
        <f>IF(B1304="","",IFERROR(INDEX(Reactivos!$D$2:$D$435,MATCH(B1304,Reactivos!$A$2:$A$435,0)),"ID no existe"))</f>
        <v/>
      </c>
      <c r="D1304" s="8"/>
      <c r="E1304" s="7" t="str">
        <f>IF(B1304="","",IFERROR(INDEX(Reactivos!$H$2:$H$435,MATCH(B1304,Reactivos!$A$2:$A$435,0)),""))</f>
        <v/>
      </c>
      <c r="F1304" s="8"/>
      <c r="G1304" s="8"/>
      <c r="H1304" s="13"/>
    </row>
    <row r="1305" spans="1:8" x14ac:dyDescent="0.3">
      <c r="A1305" s="11"/>
      <c r="B1305" s="8"/>
      <c r="C1305" s="7" t="str">
        <f>IF(B1305="","",IFERROR(INDEX(Reactivos!$D$2:$D$435,MATCH(B1305,Reactivos!$A$2:$A$435,0)),"ID no existe"))</f>
        <v/>
      </c>
      <c r="D1305" s="8"/>
      <c r="E1305" s="7" t="str">
        <f>IF(B1305="","",IFERROR(INDEX(Reactivos!$H$2:$H$435,MATCH(B1305,Reactivos!$A$2:$A$435,0)),""))</f>
        <v/>
      </c>
      <c r="F1305" s="8"/>
      <c r="G1305" s="8"/>
      <c r="H1305" s="13"/>
    </row>
    <row r="1306" spans="1:8" x14ac:dyDescent="0.3">
      <c r="A1306" s="11"/>
      <c r="B1306" s="8"/>
      <c r="C1306" s="7" t="str">
        <f>IF(B1306="","",IFERROR(INDEX(Reactivos!$D$2:$D$435,MATCH(B1306,Reactivos!$A$2:$A$435,0)),"ID no existe"))</f>
        <v/>
      </c>
      <c r="D1306" s="8"/>
      <c r="E1306" s="7" t="str">
        <f>IF(B1306="","",IFERROR(INDEX(Reactivos!$H$2:$H$435,MATCH(B1306,Reactivos!$A$2:$A$435,0)),""))</f>
        <v/>
      </c>
      <c r="F1306" s="8"/>
      <c r="G1306" s="8"/>
      <c r="H1306" s="13"/>
    </row>
    <row r="1307" spans="1:8" x14ac:dyDescent="0.3">
      <c r="A1307" s="11"/>
      <c r="B1307" s="8"/>
      <c r="C1307" s="7" t="str">
        <f>IF(B1307="","",IFERROR(INDEX(Reactivos!$D$2:$D$435,MATCH(B1307,Reactivos!$A$2:$A$435,0)),"ID no existe"))</f>
        <v/>
      </c>
      <c r="D1307" s="8"/>
      <c r="E1307" s="7" t="str">
        <f>IF(B1307="","",IFERROR(INDEX(Reactivos!$H$2:$H$435,MATCH(B1307,Reactivos!$A$2:$A$435,0)),""))</f>
        <v/>
      </c>
      <c r="F1307" s="8"/>
      <c r="G1307" s="8"/>
      <c r="H1307" s="13"/>
    </row>
    <row r="1308" spans="1:8" x14ac:dyDescent="0.3">
      <c r="A1308" s="11"/>
      <c r="B1308" s="8"/>
      <c r="C1308" s="7" t="str">
        <f>IF(B1308="","",IFERROR(INDEX(Reactivos!$D$2:$D$435,MATCH(B1308,Reactivos!$A$2:$A$435,0)),"ID no existe"))</f>
        <v/>
      </c>
      <c r="D1308" s="8"/>
      <c r="E1308" s="7" t="str">
        <f>IF(B1308="","",IFERROR(INDEX(Reactivos!$H$2:$H$435,MATCH(B1308,Reactivos!$A$2:$A$435,0)),""))</f>
        <v/>
      </c>
      <c r="F1308" s="8"/>
      <c r="G1308" s="8"/>
      <c r="H1308" s="13"/>
    </row>
    <row r="1309" spans="1:8" x14ac:dyDescent="0.3">
      <c r="A1309" s="11"/>
      <c r="B1309" s="8"/>
      <c r="C1309" s="7" t="str">
        <f>IF(B1309="","",IFERROR(INDEX(Reactivos!$D$2:$D$435,MATCH(B1309,Reactivos!$A$2:$A$435,0)),"ID no existe"))</f>
        <v/>
      </c>
      <c r="D1309" s="8"/>
      <c r="E1309" s="7" t="str">
        <f>IF(B1309="","",IFERROR(INDEX(Reactivos!$H$2:$H$435,MATCH(B1309,Reactivos!$A$2:$A$435,0)),""))</f>
        <v/>
      </c>
      <c r="F1309" s="8"/>
      <c r="G1309" s="8"/>
      <c r="H1309" s="13"/>
    </row>
    <row r="1310" spans="1:8" x14ac:dyDescent="0.3">
      <c r="A1310" s="11"/>
      <c r="B1310" s="8"/>
      <c r="C1310" s="7" t="str">
        <f>IF(B1310="","",IFERROR(INDEX(Reactivos!$D$2:$D$435,MATCH(B1310,Reactivos!$A$2:$A$435,0)),"ID no existe"))</f>
        <v/>
      </c>
      <c r="D1310" s="8"/>
      <c r="E1310" s="7" t="str">
        <f>IF(B1310="","",IFERROR(INDEX(Reactivos!$H$2:$H$435,MATCH(B1310,Reactivos!$A$2:$A$435,0)),""))</f>
        <v/>
      </c>
      <c r="F1310" s="8"/>
      <c r="G1310" s="8"/>
      <c r="H1310" s="13"/>
    </row>
    <row r="1311" spans="1:8" x14ac:dyDescent="0.3">
      <c r="A1311" s="11"/>
      <c r="B1311" s="8"/>
      <c r="C1311" s="7" t="str">
        <f>IF(B1311="","",IFERROR(INDEX(Reactivos!$D$2:$D$435,MATCH(B1311,Reactivos!$A$2:$A$435,0)),"ID no existe"))</f>
        <v/>
      </c>
      <c r="D1311" s="8"/>
      <c r="E1311" s="7" t="str">
        <f>IF(B1311="","",IFERROR(INDEX(Reactivos!$H$2:$H$435,MATCH(B1311,Reactivos!$A$2:$A$435,0)),""))</f>
        <v/>
      </c>
      <c r="F1311" s="8"/>
      <c r="G1311" s="8"/>
      <c r="H1311" s="13"/>
    </row>
    <row r="1312" spans="1:8" x14ac:dyDescent="0.3">
      <c r="A1312" s="11"/>
      <c r="B1312" s="8"/>
      <c r="C1312" s="7" t="str">
        <f>IF(B1312="","",IFERROR(INDEX(Reactivos!$D$2:$D$435,MATCH(B1312,Reactivos!$A$2:$A$435,0)),"ID no existe"))</f>
        <v/>
      </c>
      <c r="D1312" s="8"/>
      <c r="E1312" s="7" t="str">
        <f>IF(B1312="","",IFERROR(INDEX(Reactivos!$H$2:$H$435,MATCH(B1312,Reactivos!$A$2:$A$435,0)),""))</f>
        <v/>
      </c>
      <c r="F1312" s="8"/>
      <c r="G1312" s="8"/>
      <c r="H1312" s="13"/>
    </row>
    <row r="1313" spans="1:8" x14ac:dyDescent="0.3">
      <c r="A1313" s="11"/>
      <c r="B1313" s="8"/>
      <c r="C1313" s="7" t="str">
        <f>IF(B1313="","",IFERROR(INDEX(Reactivos!$D$2:$D$435,MATCH(B1313,Reactivos!$A$2:$A$435,0)),"ID no existe"))</f>
        <v/>
      </c>
      <c r="D1313" s="8"/>
      <c r="E1313" s="7" t="str">
        <f>IF(B1313="","",IFERROR(INDEX(Reactivos!$H$2:$H$435,MATCH(B1313,Reactivos!$A$2:$A$435,0)),""))</f>
        <v/>
      </c>
      <c r="F1313" s="8"/>
      <c r="G1313" s="8"/>
      <c r="H1313" s="13"/>
    </row>
    <row r="1314" spans="1:8" x14ac:dyDescent="0.3">
      <c r="A1314" s="11"/>
      <c r="B1314" s="8"/>
      <c r="C1314" s="7" t="str">
        <f>IF(B1314="","",IFERROR(INDEX(Reactivos!$D$2:$D$435,MATCH(B1314,Reactivos!$A$2:$A$435,0)),"ID no existe"))</f>
        <v/>
      </c>
      <c r="D1314" s="8"/>
      <c r="E1314" s="7" t="str">
        <f>IF(B1314="","",IFERROR(INDEX(Reactivos!$H$2:$H$435,MATCH(B1314,Reactivos!$A$2:$A$435,0)),""))</f>
        <v/>
      </c>
      <c r="F1314" s="8"/>
      <c r="G1314" s="8"/>
      <c r="H1314" s="13"/>
    </row>
    <row r="1315" spans="1:8" x14ac:dyDescent="0.3">
      <c r="A1315" s="11"/>
      <c r="B1315" s="8"/>
      <c r="C1315" s="7" t="str">
        <f>IF(B1315="","",IFERROR(INDEX(Reactivos!$D$2:$D$435,MATCH(B1315,Reactivos!$A$2:$A$435,0)),"ID no existe"))</f>
        <v/>
      </c>
      <c r="D1315" s="8"/>
      <c r="E1315" s="7" t="str">
        <f>IF(B1315="","",IFERROR(INDEX(Reactivos!$H$2:$H$435,MATCH(B1315,Reactivos!$A$2:$A$435,0)),""))</f>
        <v/>
      </c>
      <c r="F1315" s="8"/>
      <c r="G1315" s="8"/>
      <c r="H1315" s="13"/>
    </row>
    <row r="1316" spans="1:8" x14ac:dyDescent="0.3">
      <c r="A1316" s="11"/>
      <c r="B1316" s="8"/>
      <c r="C1316" s="7" t="str">
        <f>IF(B1316="","",IFERROR(INDEX(Reactivos!$D$2:$D$435,MATCH(B1316,Reactivos!$A$2:$A$435,0)),"ID no existe"))</f>
        <v/>
      </c>
      <c r="D1316" s="8"/>
      <c r="E1316" s="7" t="str">
        <f>IF(B1316="","",IFERROR(INDEX(Reactivos!$H$2:$H$435,MATCH(B1316,Reactivos!$A$2:$A$435,0)),""))</f>
        <v/>
      </c>
      <c r="F1316" s="8"/>
      <c r="G1316" s="8"/>
      <c r="H1316" s="13"/>
    </row>
    <row r="1317" spans="1:8" x14ac:dyDescent="0.3">
      <c r="A1317" s="11"/>
      <c r="B1317" s="8"/>
      <c r="C1317" s="7" t="str">
        <f>IF(B1317="","",IFERROR(INDEX(Reactivos!$D$2:$D$435,MATCH(B1317,Reactivos!$A$2:$A$435,0)),"ID no existe"))</f>
        <v/>
      </c>
      <c r="D1317" s="8"/>
      <c r="E1317" s="7" t="str">
        <f>IF(B1317="","",IFERROR(INDEX(Reactivos!$H$2:$H$435,MATCH(B1317,Reactivos!$A$2:$A$435,0)),""))</f>
        <v/>
      </c>
      <c r="F1317" s="8"/>
      <c r="G1317" s="8"/>
      <c r="H1317" s="13"/>
    </row>
    <row r="1318" spans="1:8" x14ac:dyDescent="0.3">
      <c r="A1318" s="11"/>
      <c r="B1318" s="8"/>
      <c r="C1318" s="7" t="str">
        <f>IF(B1318="","",IFERROR(INDEX(Reactivos!$D$2:$D$435,MATCH(B1318,Reactivos!$A$2:$A$435,0)),"ID no existe"))</f>
        <v/>
      </c>
      <c r="D1318" s="8"/>
      <c r="E1318" s="7" t="str">
        <f>IF(B1318="","",IFERROR(INDEX(Reactivos!$H$2:$H$435,MATCH(B1318,Reactivos!$A$2:$A$435,0)),""))</f>
        <v/>
      </c>
      <c r="F1318" s="8"/>
      <c r="G1318" s="8"/>
      <c r="H1318" s="13"/>
    </row>
    <row r="1319" spans="1:8" x14ac:dyDescent="0.3">
      <c r="A1319" s="11"/>
      <c r="B1319" s="8"/>
      <c r="C1319" s="7" t="str">
        <f>IF(B1319="","",IFERROR(INDEX(Reactivos!$D$2:$D$435,MATCH(B1319,Reactivos!$A$2:$A$435,0)),"ID no existe"))</f>
        <v/>
      </c>
      <c r="D1319" s="8"/>
      <c r="E1319" s="7" t="str">
        <f>IF(B1319="","",IFERROR(INDEX(Reactivos!$H$2:$H$435,MATCH(B1319,Reactivos!$A$2:$A$435,0)),""))</f>
        <v/>
      </c>
      <c r="F1319" s="8"/>
      <c r="G1319" s="8"/>
      <c r="H1319" s="13"/>
    </row>
    <row r="1320" spans="1:8" x14ac:dyDescent="0.3">
      <c r="A1320" s="11"/>
      <c r="B1320" s="8"/>
      <c r="C1320" s="7" t="str">
        <f>IF(B1320="","",IFERROR(INDEX(Reactivos!$D$2:$D$435,MATCH(B1320,Reactivos!$A$2:$A$435,0)),"ID no existe"))</f>
        <v/>
      </c>
      <c r="D1320" s="8"/>
      <c r="E1320" s="7" t="str">
        <f>IF(B1320="","",IFERROR(INDEX(Reactivos!$H$2:$H$435,MATCH(B1320,Reactivos!$A$2:$A$435,0)),""))</f>
        <v/>
      </c>
      <c r="F1320" s="8"/>
      <c r="G1320" s="8"/>
      <c r="H1320" s="13"/>
    </row>
    <row r="1321" spans="1:8" x14ac:dyDescent="0.3">
      <c r="A1321" s="11"/>
      <c r="B1321" s="8"/>
      <c r="C1321" s="7" t="str">
        <f>IF(B1321="","",IFERROR(INDEX(Reactivos!$D$2:$D$435,MATCH(B1321,Reactivos!$A$2:$A$435,0)),"ID no existe"))</f>
        <v/>
      </c>
      <c r="D1321" s="8"/>
      <c r="E1321" s="7" t="str">
        <f>IF(B1321="","",IFERROR(INDEX(Reactivos!$H$2:$H$435,MATCH(B1321,Reactivos!$A$2:$A$435,0)),""))</f>
        <v/>
      </c>
      <c r="F1321" s="8"/>
      <c r="G1321" s="8"/>
      <c r="H1321" s="13"/>
    </row>
    <row r="1322" spans="1:8" x14ac:dyDescent="0.3">
      <c r="A1322" s="11"/>
      <c r="B1322" s="8"/>
      <c r="C1322" s="7" t="str">
        <f>IF(B1322="","",IFERROR(INDEX(Reactivos!$D$2:$D$435,MATCH(B1322,Reactivos!$A$2:$A$435,0)),"ID no existe"))</f>
        <v/>
      </c>
      <c r="D1322" s="8"/>
      <c r="E1322" s="7" t="str">
        <f>IF(B1322="","",IFERROR(INDEX(Reactivos!$H$2:$H$435,MATCH(B1322,Reactivos!$A$2:$A$435,0)),""))</f>
        <v/>
      </c>
      <c r="F1322" s="8"/>
      <c r="G1322" s="8"/>
      <c r="H1322" s="13"/>
    </row>
    <row r="1323" spans="1:8" x14ac:dyDescent="0.3">
      <c r="A1323" s="11"/>
      <c r="B1323" s="8"/>
      <c r="C1323" s="7" t="str">
        <f>IF(B1323="","",IFERROR(INDEX(Reactivos!$D$2:$D$435,MATCH(B1323,Reactivos!$A$2:$A$435,0)),"ID no existe"))</f>
        <v/>
      </c>
      <c r="D1323" s="8"/>
      <c r="E1323" s="7" t="str">
        <f>IF(B1323="","",IFERROR(INDEX(Reactivos!$H$2:$H$435,MATCH(B1323,Reactivos!$A$2:$A$435,0)),""))</f>
        <v/>
      </c>
      <c r="F1323" s="8"/>
      <c r="G1323" s="8"/>
      <c r="H1323" s="13"/>
    </row>
    <row r="1324" spans="1:8" x14ac:dyDescent="0.3">
      <c r="A1324" s="11"/>
      <c r="B1324" s="8"/>
      <c r="C1324" s="7" t="str">
        <f>IF(B1324="","",IFERROR(INDEX(Reactivos!$D$2:$D$435,MATCH(B1324,Reactivos!$A$2:$A$435,0)),"ID no existe"))</f>
        <v/>
      </c>
      <c r="D1324" s="8"/>
      <c r="E1324" s="7" t="str">
        <f>IF(B1324="","",IFERROR(INDEX(Reactivos!$H$2:$H$435,MATCH(B1324,Reactivos!$A$2:$A$435,0)),""))</f>
        <v/>
      </c>
      <c r="F1324" s="8"/>
      <c r="G1324" s="8"/>
      <c r="H1324" s="13"/>
    </row>
    <row r="1325" spans="1:8" x14ac:dyDescent="0.3">
      <c r="A1325" s="11"/>
      <c r="B1325" s="8"/>
      <c r="C1325" s="7" t="str">
        <f>IF(B1325="","",IFERROR(INDEX(Reactivos!$D$2:$D$435,MATCH(B1325,Reactivos!$A$2:$A$435,0)),"ID no existe"))</f>
        <v/>
      </c>
      <c r="D1325" s="8"/>
      <c r="E1325" s="7" t="str">
        <f>IF(B1325="","",IFERROR(INDEX(Reactivos!$H$2:$H$435,MATCH(B1325,Reactivos!$A$2:$A$435,0)),""))</f>
        <v/>
      </c>
      <c r="F1325" s="8"/>
      <c r="G1325" s="8"/>
      <c r="H1325" s="13"/>
    </row>
    <row r="1326" spans="1:8" x14ac:dyDescent="0.3">
      <c r="A1326" s="11"/>
      <c r="B1326" s="8"/>
      <c r="C1326" s="7" t="str">
        <f>IF(B1326="","",IFERROR(INDEX(Reactivos!$D$2:$D$435,MATCH(B1326,Reactivos!$A$2:$A$435,0)),"ID no existe"))</f>
        <v/>
      </c>
      <c r="D1326" s="8"/>
      <c r="E1326" s="7" t="str">
        <f>IF(B1326="","",IFERROR(INDEX(Reactivos!$H$2:$H$435,MATCH(B1326,Reactivos!$A$2:$A$435,0)),""))</f>
        <v/>
      </c>
      <c r="F1326" s="8"/>
      <c r="G1326" s="8"/>
      <c r="H1326" s="13"/>
    </row>
    <row r="1327" spans="1:8" x14ac:dyDescent="0.3">
      <c r="A1327" s="11"/>
      <c r="B1327" s="8"/>
      <c r="C1327" s="7" t="str">
        <f>IF(B1327="","",IFERROR(INDEX(Reactivos!$D$2:$D$435,MATCH(B1327,Reactivos!$A$2:$A$435,0)),"ID no existe"))</f>
        <v/>
      </c>
      <c r="D1327" s="8"/>
      <c r="E1327" s="7" t="str">
        <f>IF(B1327="","",IFERROR(INDEX(Reactivos!$H$2:$H$435,MATCH(B1327,Reactivos!$A$2:$A$435,0)),""))</f>
        <v/>
      </c>
      <c r="F1327" s="8"/>
      <c r="G1327" s="8"/>
      <c r="H1327" s="13"/>
    </row>
    <row r="1328" spans="1:8" x14ac:dyDescent="0.3">
      <c r="A1328" s="11"/>
      <c r="B1328" s="8"/>
      <c r="C1328" s="7" t="str">
        <f>IF(B1328="","",IFERROR(INDEX(Reactivos!$D$2:$D$435,MATCH(B1328,Reactivos!$A$2:$A$435,0)),"ID no existe"))</f>
        <v/>
      </c>
      <c r="D1328" s="8"/>
      <c r="E1328" s="7" t="str">
        <f>IF(B1328="","",IFERROR(INDEX(Reactivos!$H$2:$H$435,MATCH(B1328,Reactivos!$A$2:$A$435,0)),""))</f>
        <v/>
      </c>
      <c r="F1328" s="8"/>
      <c r="G1328" s="8"/>
      <c r="H1328" s="13"/>
    </row>
    <row r="1329" spans="1:8" x14ac:dyDescent="0.3">
      <c r="A1329" s="11"/>
      <c r="B1329" s="8"/>
      <c r="C1329" s="7" t="str">
        <f>IF(B1329="","",IFERROR(INDEX(Reactivos!$D$2:$D$435,MATCH(B1329,Reactivos!$A$2:$A$435,0)),"ID no existe"))</f>
        <v/>
      </c>
      <c r="D1329" s="8"/>
      <c r="E1329" s="7" t="str">
        <f>IF(B1329="","",IFERROR(INDEX(Reactivos!$H$2:$H$435,MATCH(B1329,Reactivos!$A$2:$A$435,0)),""))</f>
        <v/>
      </c>
      <c r="F1329" s="8"/>
      <c r="G1329" s="8"/>
      <c r="H1329" s="13"/>
    </row>
    <row r="1330" spans="1:8" x14ac:dyDescent="0.3">
      <c r="A1330" s="11"/>
      <c r="B1330" s="8"/>
      <c r="C1330" s="7" t="str">
        <f>IF(B1330="","",IFERROR(INDEX(Reactivos!$D$2:$D$435,MATCH(B1330,Reactivos!$A$2:$A$435,0)),"ID no existe"))</f>
        <v/>
      </c>
      <c r="D1330" s="8"/>
      <c r="E1330" s="7" t="str">
        <f>IF(B1330="","",IFERROR(INDEX(Reactivos!$H$2:$H$435,MATCH(B1330,Reactivos!$A$2:$A$435,0)),""))</f>
        <v/>
      </c>
      <c r="F1330" s="8"/>
      <c r="G1330" s="8"/>
      <c r="H1330" s="13"/>
    </row>
    <row r="1331" spans="1:8" x14ac:dyDescent="0.3">
      <c r="A1331" s="11"/>
      <c r="B1331" s="8"/>
      <c r="C1331" s="7" t="str">
        <f>IF(B1331="","",IFERROR(INDEX(Reactivos!$D$2:$D$435,MATCH(B1331,Reactivos!$A$2:$A$435,0)),"ID no existe"))</f>
        <v/>
      </c>
      <c r="D1331" s="8"/>
      <c r="E1331" s="7" t="str">
        <f>IF(B1331="","",IFERROR(INDEX(Reactivos!$H$2:$H$435,MATCH(B1331,Reactivos!$A$2:$A$435,0)),""))</f>
        <v/>
      </c>
      <c r="F1331" s="8"/>
      <c r="G1331" s="8"/>
      <c r="H1331" s="13"/>
    </row>
    <row r="1332" spans="1:8" x14ac:dyDescent="0.3">
      <c r="A1332" s="11"/>
      <c r="B1332" s="8"/>
      <c r="C1332" s="7" t="str">
        <f>IF(B1332="","",IFERROR(INDEX(Reactivos!$D$2:$D$435,MATCH(B1332,Reactivos!$A$2:$A$435,0)),"ID no existe"))</f>
        <v/>
      </c>
      <c r="D1332" s="8"/>
      <c r="E1332" s="7" t="str">
        <f>IF(B1332="","",IFERROR(INDEX(Reactivos!$H$2:$H$435,MATCH(B1332,Reactivos!$A$2:$A$435,0)),""))</f>
        <v/>
      </c>
      <c r="F1332" s="8"/>
      <c r="G1332" s="8"/>
      <c r="H1332" s="13"/>
    </row>
    <row r="1333" spans="1:8" x14ac:dyDescent="0.3">
      <c r="A1333" s="11"/>
      <c r="B1333" s="8"/>
      <c r="C1333" s="7" t="str">
        <f>IF(B1333="","",IFERROR(INDEX(Reactivos!$D$2:$D$435,MATCH(B1333,Reactivos!$A$2:$A$435,0)),"ID no existe"))</f>
        <v/>
      </c>
      <c r="D1333" s="8"/>
      <c r="E1333" s="7" t="str">
        <f>IF(B1333="","",IFERROR(INDEX(Reactivos!$H$2:$H$435,MATCH(B1333,Reactivos!$A$2:$A$435,0)),""))</f>
        <v/>
      </c>
      <c r="F1333" s="8"/>
      <c r="G1333" s="8"/>
      <c r="H1333" s="13"/>
    </row>
    <row r="1334" spans="1:8" x14ac:dyDescent="0.3">
      <c r="A1334" s="11"/>
      <c r="B1334" s="8"/>
      <c r="C1334" s="7" t="str">
        <f>IF(B1334="","",IFERROR(INDEX(Reactivos!$D$2:$D$435,MATCH(B1334,Reactivos!$A$2:$A$435,0)),"ID no existe"))</f>
        <v/>
      </c>
      <c r="D1334" s="8"/>
      <c r="E1334" s="7" t="str">
        <f>IF(B1334="","",IFERROR(INDEX(Reactivos!$H$2:$H$435,MATCH(B1334,Reactivos!$A$2:$A$435,0)),""))</f>
        <v/>
      </c>
      <c r="F1334" s="8"/>
      <c r="G1334" s="8"/>
      <c r="H1334" s="13"/>
    </row>
    <row r="1335" spans="1:8" x14ac:dyDescent="0.3">
      <c r="A1335" s="11"/>
      <c r="B1335" s="8"/>
      <c r="C1335" s="7" t="str">
        <f>IF(B1335="","",IFERROR(INDEX(Reactivos!$D$2:$D$435,MATCH(B1335,Reactivos!$A$2:$A$435,0)),"ID no existe"))</f>
        <v/>
      </c>
      <c r="D1335" s="8"/>
      <c r="E1335" s="7" t="str">
        <f>IF(B1335="","",IFERROR(INDEX(Reactivos!$H$2:$H$435,MATCH(B1335,Reactivos!$A$2:$A$435,0)),""))</f>
        <v/>
      </c>
      <c r="F1335" s="8"/>
      <c r="G1335" s="8"/>
      <c r="H1335" s="13"/>
    </row>
    <row r="1336" spans="1:8" x14ac:dyDescent="0.3">
      <c r="A1336" s="11"/>
      <c r="B1336" s="8"/>
      <c r="C1336" s="7" t="str">
        <f>IF(B1336="","",IFERROR(INDEX(Reactivos!$D$2:$D$435,MATCH(B1336,Reactivos!$A$2:$A$435,0)),"ID no existe"))</f>
        <v/>
      </c>
      <c r="D1336" s="8"/>
      <c r="E1336" s="7" t="str">
        <f>IF(B1336="","",IFERROR(INDEX(Reactivos!$H$2:$H$435,MATCH(B1336,Reactivos!$A$2:$A$435,0)),""))</f>
        <v/>
      </c>
      <c r="F1336" s="8"/>
      <c r="G1336" s="8"/>
      <c r="H1336" s="13"/>
    </row>
    <row r="1337" spans="1:8" x14ac:dyDescent="0.3">
      <c r="A1337" s="11"/>
      <c r="B1337" s="8"/>
      <c r="C1337" s="7" t="str">
        <f>IF(B1337="","",IFERROR(INDEX(Reactivos!$D$2:$D$435,MATCH(B1337,Reactivos!$A$2:$A$435,0)),"ID no existe"))</f>
        <v/>
      </c>
      <c r="D1337" s="8"/>
      <c r="E1337" s="7" t="str">
        <f>IF(B1337="","",IFERROR(INDEX(Reactivos!$H$2:$H$435,MATCH(B1337,Reactivos!$A$2:$A$435,0)),""))</f>
        <v/>
      </c>
      <c r="F1337" s="8"/>
      <c r="G1337" s="8"/>
      <c r="H1337" s="13"/>
    </row>
    <row r="1338" spans="1:8" x14ac:dyDescent="0.3">
      <c r="A1338" s="11"/>
      <c r="B1338" s="8"/>
      <c r="C1338" s="7" t="str">
        <f>IF(B1338="","",IFERROR(INDEX(Reactivos!$D$2:$D$435,MATCH(B1338,Reactivos!$A$2:$A$435,0)),"ID no existe"))</f>
        <v/>
      </c>
      <c r="D1338" s="8"/>
      <c r="E1338" s="7" t="str">
        <f>IF(B1338="","",IFERROR(INDEX(Reactivos!$H$2:$H$435,MATCH(B1338,Reactivos!$A$2:$A$435,0)),""))</f>
        <v/>
      </c>
      <c r="F1338" s="8"/>
      <c r="G1338" s="8"/>
      <c r="H1338" s="13"/>
    </row>
    <row r="1339" spans="1:8" x14ac:dyDescent="0.3">
      <c r="A1339" s="11"/>
      <c r="B1339" s="8"/>
      <c r="C1339" s="7" t="str">
        <f>IF(B1339="","",IFERROR(INDEX(Reactivos!$D$2:$D$435,MATCH(B1339,Reactivos!$A$2:$A$435,0)),"ID no existe"))</f>
        <v/>
      </c>
      <c r="D1339" s="8"/>
      <c r="E1339" s="7" t="str">
        <f>IF(B1339="","",IFERROR(INDEX(Reactivos!$H$2:$H$435,MATCH(B1339,Reactivos!$A$2:$A$435,0)),""))</f>
        <v/>
      </c>
      <c r="F1339" s="8"/>
      <c r="G1339" s="8"/>
      <c r="H1339" s="13"/>
    </row>
    <row r="1340" spans="1:8" x14ac:dyDescent="0.3">
      <c r="A1340" s="11"/>
      <c r="B1340" s="8"/>
      <c r="C1340" s="7" t="str">
        <f>IF(B1340="","",IFERROR(INDEX(Reactivos!$D$2:$D$435,MATCH(B1340,Reactivos!$A$2:$A$435,0)),"ID no existe"))</f>
        <v/>
      </c>
      <c r="D1340" s="8"/>
      <c r="E1340" s="7" t="str">
        <f>IF(B1340="","",IFERROR(INDEX(Reactivos!$H$2:$H$435,MATCH(B1340,Reactivos!$A$2:$A$435,0)),""))</f>
        <v/>
      </c>
      <c r="F1340" s="8"/>
      <c r="G1340" s="8"/>
      <c r="H1340" s="13"/>
    </row>
    <row r="1341" spans="1:8" x14ac:dyDescent="0.3">
      <c r="A1341" s="11"/>
      <c r="B1341" s="8"/>
      <c r="C1341" s="7" t="str">
        <f>IF(B1341="","",IFERROR(INDEX(Reactivos!$D$2:$D$435,MATCH(B1341,Reactivos!$A$2:$A$435,0)),"ID no existe"))</f>
        <v/>
      </c>
      <c r="D1341" s="8"/>
      <c r="E1341" s="7" t="str">
        <f>IF(B1341="","",IFERROR(INDEX(Reactivos!$H$2:$H$435,MATCH(B1341,Reactivos!$A$2:$A$435,0)),""))</f>
        <v/>
      </c>
      <c r="F1341" s="8"/>
      <c r="G1341" s="8"/>
      <c r="H1341" s="13"/>
    </row>
    <row r="1342" spans="1:8" x14ac:dyDescent="0.3">
      <c r="A1342" s="11"/>
      <c r="B1342" s="8"/>
      <c r="C1342" s="7" t="str">
        <f>IF(B1342="","",IFERROR(INDEX(Reactivos!$D$2:$D$435,MATCH(B1342,Reactivos!$A$2:$A$435,0)),"ID no existe"))</f>
        <v/>
      </c>
      <c r="D1342" s="8"/>
      <c r="E1342" s="7" t="str">
        <f>IF(B1342="","",IFERROR(INDEX(Reactivos!$H$2:$H$435,MATCH(B1342,Reactivos!$A$2:$A$435,0)),""))</f>
        <v/>
      </c>
      <c r="F1342" s="8"/>
      <c r="G1342" s="8"/>
      <c r="H1342" s="13"/>
    </row>
    <row r="1343" spans="1:8" x14ac:dyDescent="0.3">
      <c r="A1343" s="11"/>
      <c r="B1343" s="8"/>
      <c r="C1343" s="7" t="str">
        <f>IF(B1343="","",IFERROR(INDEX(Reactivos!$D$2:$D$435,MATCH(B1343,Reactivos!$A$2:$A$435,0)),"ID no existe"))</f>
        <v/>
      </c>
      <c r="D1343" s="8"/>
      <c r="E1343" s="7" t="str">
        <f>IF(B1343="","",IFERROR(INDEX(Reactivos!$H$2:$H$435,MATCH(B1343,Reactivos!$A$2:$A$435,0)),""))</f>
        <v/>
      </c>
      <c r="F1343" s="8"/>
      <c r="G1343" s="8"/>
      <c r="H1343" s="13"/>
    </row>
    <row r="1344" spans="1:8" x14ac:dyDescent="0.3">
      <c r="A1344" s="11"/>
      <c r="B1344" s="8"/>
      <c r="C1344" s="7" t="str">
        <f>IF(B1344="","",IFERROR(INDEX(Reactivos!$D$2:$D$435,MATCH(B1344,Reactivos!$A$2:$A$435,0)),"ID no existe"))</f>
        <v/>
      </c>
      <c r="D1344" s="8"/>
      <c r="E1344" s="7" t="str">
        <f>IF(B1344="","",IFERROR(INDEX(Reactivos!$H$2:$H$435,MATCH(B1344,Reactivos!$A$2:$A$435,0)),""))</f>
        <v/>
      </c>
      <c r="F1344" s="8"/>
      <c r="G1344" s="8"/>
      <c r="H1344" s="13"/>
    </row>
    <row r="1345" spans="1:8" x14ac:dyDescent="0.3">
      <c r="A1345" s="11"/>
      <c r="B1345" s="8"/>
      <c r="C1345" s="7" t="str">
        <f>IF(B1345="","",IFERROR(INDEX(Reactivos!$D$2:$D$435,MATCH(B1345,Reactivos!$A$2:$A$435,0)),"ID no existe"))</f>
        <v/>
      </c>
      <c r="D1345" s="8"/>
      <c r="E1345" s="7" t="str">
        <f>IF(B1345="","",IFERROR(INDEX(Reactivos!$H$2:$H$435,MATCH(B1345,Reactivos!$A$2:$A$435,0)),""))</f>
        <v/>
      </c>
      <c r="F1345" s="8"/>
      <c r="G1345" s="8"/>
      <c r="H1345" s="13"/>
    </row>
    <row r="1346" spans="1:8" x14ac:dyDescent="0.3">
      <c r="A1346" s="11"/>
      <c r="B1346" s="8"/>
      <c r="C1346" s="7" t="str">
        <f>IF(B1346="","",IFERROR(INDEX(Reactivos!$D$2:$D$435,MATCH(B1346,Reactivos!$A$2:$A$435,0)),"ID no existe"))</f>
        <v/>
      </c>
      <c r="D1346" s="8"/>
      <c r="E1346" s="7" t="str">
        <f>IF(B1346="","",IFERROR(INDEX(Reactivos!$H$2:$H$435,MATCH(B1346,Reactivos!$A$2:$A$435,0)),""))</f>
        <v/>
      </c>
      <c r="F1346" s="8"/>
      <c r="G1346" s="8"/>
      <c r="H1346" s="13"/>
    </row>
    <row r="1347" spans="1:8" x14ac:dyDescent="0.3">
      <c r="A1347" s="11"/>
      <c r="B1347" s="8"/>
      <c r="C1347" s="7" t="str">
        <f>IF(B1347="","",IFERROR(INDEX(Reactivos!$D$2:$D$435,MATCH(B1347,Reactivos!$A$2:$A$435,0)),"ID no existe"))</f>
        <v/>
      </c>
      <c r="D1347" s="8"/>
      <c r="E1347" s="7" t="str">
        <f>IF(B1347="","",IFERROR(INDEX(Reactivos!$H$2:$H$435,MATCH(B1347,Reactivos!$A$2:$A$435,0)),""))</f>
        <v/>
      </c>
      <c r="F1347" s="8"/>
      <c r="G1347" s="8"/>
      <c r="H1347" s="13"/>
    </row>
    <row r="1348" spans="1:8" x14ac:dyDescent="0.3">
      <c r="A1348" s="11"/>
      <c r="B1348" s="8"/>
      <c r="C1348" s="7" t="str">
        <f>IF(B1348="","",IFERROR(INDEX(Reactivos!$D$2:$D$435,MATCH(B1348,Reactivos!$A$2:$A$435,0)),"ID no existe"))</f>
        <v/>
      </c>
      <c r="D1348" s="8"/>
      <c r="E1348" s="7" t="str">
        <f>IF(B1348="","",IFERROR(INDEX(Reactivos!$H$2:$H$435,MATCH(B1348,Reactivos!$A$2:$A$435,0)),""))</f>
        <v/>
      </c>
      <c r="F1348" s="8"/>
      <c r="G1348" s="8"/>
      <c r="H1348" s="13"/>
    </row>
    <row r="1349" spans="1:8" x14ac:dyDescent="0.3">
      <c r="A1349" s="11"/>
      <c r="B1349" s="8"/>
      <c r="C1349" s="7" t="str">
        <f>IF(B1349="","",IFERROR(INDEX(Reactivos!$D$2:$D$435,MATCH(B1349,Reactivos!$A$2:$A$435,0)),"ID no existe"))</f>
        <v/>
      </c>
      <c r="D1349" s="8"/>
      <c r="E1349" s="7" t="str">
        <f>IF(B1349="","",IFERROR(INDEX(Reactivos!$H$2:$H$435,MATCH(B1349,Reactivos!$A$2:$A$435,0)),""))</f>
        <v/>
      </c>
      <c r="F1349" s="8"/>
      <c r="G1349" s="8"/>
      <c r="H1349" s="13"/>
    </row>
    <row r="1350" spans="1:8" x14ac:dyDescent="0.3">
      <c r="A1350" s="11"/>
      <c r="B1350" s="8"/>
      <c r="C1350" s="7" t="str">
        <f>IF(B1350="","",IFERROR(INDEX(Reactivos!$D$2:$D$435,MATCH(B1350,Reactivos!$A$2:$A$435,0)),"ID no existe"))</f>
        <v/>
      </c>
      <c r="D1350" s="8"/>
      <c r="E1350" s="7" t="str">
        <f>IF(B1350="","",IFERROR(INDEX(Reactivos!$H$2:$H$435,MATCH(B1350,Reactivos!$A$2:$A$435,0)),""))</f>
        <v/>
      </c>
      <c r="F1350" s="8"/>
      <c r="G1350" s="8"/>
      <c r="H1350" s="13"/>
    </row>
    <row r="1351" spans="1:8" x14ac:dyDescent="0.3">
      <c r="A1351" s="11"/>
      <c r="B1351" s="8"/>
      <c r="C1351" s="7" t="str">
        <f>IF(B1351="","",IFERROR(INDEX(Reactivos!$D$2:$D$435,MATCH(B1351,Reactivos!$A$2:$A$435,0)),"ID no existe"))</f>
        <v/>
      </c>
      <c r="D1351" s="8"/>
      <c r="E1351" s="7" t="str">
        <f>IF(B1351="","",IFERROR(INDEX(Reactivos!$H$2:$H$435,MATCH(B1351,Reactivos!$A$2:$A$435,0)),""))</f>
        <v/>
      </c>
      <c r="F1351" s="8"/>
      <c r="G1351" s="8"/>
      <c r="H1351" s="13"/>
    </row>
    <row r="1352" spans="1:8" x14ac:dyDescent="0.3">
      <c r="A1352" s="11"/>
      <c r="B1352" s="8"/>
      <c r="C1352" s="7" t="str">
        <f>IF(B1352="","",IFERROR(INDEX(Reactivos!$D$2:$D$435,MATCH(B1352,Reactivos!$A$2:$A$435,0)),"ID no existe"))</f>
        <v/>
      </c>
      <c r="D1352" s="8"/>
      <c r="E1352" s="7" t="str">
        <f>IF(B1352="","",IFERROR(INDEX(Reactivos!$H$2:$H$435,MATCH(B1352,Reactivos!$A$2:$A$435,0)),""))</f>
        <v/>
      </c>
      <c r="F1352" s="8"/>
      <c r="G1352" s="8"/>
      <c r="H1352" s="13"/>
    </row>
    <row r="1353" spans="1:8" x14ac:dyDescent="0.3">
      <c r="A1353" s="11"/>
      <c r="B1353" s="8"/>
      <c r="C1353" s="7" t="str">
        <f>IF(B1353="","",IFERROR(INDEX(Reactivos!$D$2:$D$435,MATCH(B1353,Reactivos!$A$2:$A$435,0)),"ID no existe"))</f>
        <v/>
      </c>
      <c r="D1353" s="8"/>
      <c r="E1353" s="7" t="str">
        <f>IF(B1353="","",IFERROR(INDEX(Reactivos!$H$2:$H$435,MATCH(B1353,Reactivos!$A$2:$A$435,0)),""))</f>
        <v/>
      </c>
      <c r="F1353" s="8"/>
      <c r="G1353" s="8"/>
      <c r="H1353" s="13"/>
    </row>
    <row r="1354" spans="1:8" x14ac:dyDescent="0.3">
      <c r="A1354" s="11"/>
      <c r="B1354" s="8"/>
      <c r="C1354" s="7" t="str">
        <f>IF(B1354="","",IFERROR(INDEX(Reactivos!$D$2:$D$435,MATCH(B1354,Reactivos!$A$2:$A$435,0)),"ID no existe"))</f>
        <v/>
      </c>
      <c r="D1354" s="8"/>
      <c r="E1354" s="7" t="str">
        <f>IF(B1354="","",IFERROR(INDEX(Reactivos!$H$2:$H$435,MATCH(B1354,Reactivos!$A$2:$A$435,0)),""))</f>
        <v/>
      </c>
      <c r="F1354" s="8"/>
      <c r="G1354" s="8"/>
      <c r="H1354" s="13"/>
    </row>
    <row r="1355" spans="1:8" x14ac:dyDescent="0.3">
      <c r="A1355" s="11"/>
      <c r="B1355" s="8"/>
      <c r="C1355" s="7" t="str">
        <f>IF(B1355="","",IFERROR(INDEX(Reactivos!$D$2:$D$435,MATCH(B1355,Reactivos!$A$2:$A$435,0)),"ID no existe"))</f>
        <v/>
      </c>
      <c r="D1355" s="8"/>
      <c r="E1355" s="7" t="str">
        <f>IF(B1355="","",IFERROR(INDEX(Reactivos!$H$2:$H$435,MATCH(B1355,Reactivos!$A$2:$A$435,0)),""))</f>
        <v/>
      </c>
      <c r="F1355" s="8"/>
      <c r="G1355" s="8"/>
      <c r="H1355" s="13"/>
    </row>
    <row r="1356" spans="1:8" x14ac:dyDescent="0.3">
      <c r="A1356" s="11"/>
      <c r="B1356" s="8"/>
      <c r="C1356" s="7" t="str">
        <f>IF(B1356="","",IFERROR(INDEX(Reactivos!$D$2:$D$435,MATCH(B1356,Reactivos!$A$2:$A$435,0)),"ID no existe"))</f>
        <v/>
      </c>
      <c r="D1356" s="8"/>
      <c r="E1356" s="7" t="str">
        <f>IF(B1356="","",IFERROR(INDEX(Reactivos!$H$2:$H$435,MATCH(B1356,Reactivos!$A$2:$A$435,0)),""))</f>
        <v/>
      </c>
      <c r="F1356" s="8"/>
      <c r="G1356" s="8"/>
      <c r="H1356" s="13"/>
    </row>
    <row r="1357" spans="1:8" x14ac:dyDescent="0.3">
      <c r="A1357" s="11"/>
      <c r="B1357" s="8"/>
      <c r="C1357" s="7" t="str">
        <f>IF(B1357="","",IFERROR(INDEX(Reactivos!$D$2:$D$435,MATCH(B1357,Reactivos!$A$2:$A$435,0)),"ID no existe"))</f>
        <v/>
      </c>
      <c r="D1357" s="8"/>
      <c r="E1357" s="7" t="str">
        <f>IF(B1357="","",IFERROR(INDEX(Reactivos!$H$2:$H$435,MATCH(B1357,Reactivos!$A$2:$A$435,0)),""))</f>
        <v/>
      </c>
      <c r="F1357" s="8"/>
      <c r="G1357" s="8"/>
      <c r="H1357" s="13"/>
    </row>
    <row r="1358" spans="1:8" x14ac:dyDescent="0.3">
      <c r="A1358" s="11"/>
      <c r="B1358" s="8"/>
      <c r="C1358" s="7" t="str">
        <f>IF(B1358="","",IFERROR(INDEX(Reactivos!$D$2:$D$435,MATCH(B1358,Reactivos!$A$2:$A$435,0)),"ID no existe"))</f>
        <v/>
      </c>
      <c r="D1358" s="8"/>
      <c r="E1358" s="7" t="str">
        <f>IF(B1358="","",IFERROR(INDEX(Reactivos!$H$2:$H$435,MATCH(B1358,Reactivos!$A$2:$A$435,0)),""))</f>
        <v/>
      </c>
      <c r="F1358" s="8"/>
      <c r="G1358" s="8"/>
      <c r="H1358" s="13"/>
    </row>
    <row r="1359" spans="1:8" x14ac:dyDescent="0.3">
      <c r="A1359" s="11"/>
      <c r="B1359" s="8"/>
      <c r="C1359" s="7" t="str">
        <f>IF(B1359="","",IFERROR(INDEX(Reactivos!$D$2:$D$435,MATCH(B1359,Reactivos!$A$2:$A$435,0)),"ID no existe"))</f>
        <v/>
      </c>
      <c r="D1359" s="8"/>
      <c r="E1359" s="7" t="str">
        <f>IF(B1359="","",IFERROR(INDEX(Reactivos!$H$2:$H$435,MATCH(B1359,Reactivos!$A$2:$A$435,0)),""))</f>
        <v/>
      </c>
      <c r="F1359" s="8"/>
      <c r="G1359" s="8"/>
      <c r="H1359" s="13"/>
    </row>
    <row r="1360" spans="1:8" x14ac:dyDescent="0.3">
      <c r="A1360" s="11"/>
      <c r="B1360" s="8"/>
      <c r="C1360" s="7" t="str">
        <f>IF(B1360="","",IFERROR(INDEX(Reactivos!$D$2:$D$435,MATCH(B1360,Reactivos!$A$2:$A$435,0)),"ID no existe"))</f>
        <v/>
      </c>
      <c r="D1360" s="8"/>
      <c r="E1360" s="7" t="str">
        <f>IF(B1360="","",IFERROR(INDEX(Reactivos!$H$2:$H$435,MATCH(B1360,Reactivos!$A$2:$A$435,0)),""))</f>
        <v/>
      </c>
      <c r="F1360" s="8"/>
      <c r="G1360" s="8"/>
      <c r="H1360" s="13"/>
    </row>
    <row r="1361" spans="1:8" x14ac:dyDescent="0.3">
      <c r="A1361" s="11"/>
      <c r="B1361" s="8"/>
      <c r="C1361" s="7" t="str">
        <f>IF(B1361="","",IFERROR(INDEX(Reactivos!$D$2:$D$435,MATCH(B1361,Reactivos!$A$2:$A$435,0)),"ID no existe"))</f>
        <v/>
      </c>
      <c r="D1361" s="8"/>
      <c r="E1361" s="7" t="str">
        <f>IF(B1361="","",IFERROR(INDEX(Reactivos!$H$2:$H$435,MATCH(B1361,Reactivos!$A$2:$A$435,0)),""))</f>
        <v/>
      </c>
      <c r="F1361" s="8"/>
      <c r="G1361" s="8"/>
      <c r="H1361" s="13"/>
    </row>
    <row r="1362" spans="1:8" x14ac:dyDescent="0.3">
      <c r="A1362" s="11"/>
      <c r="B1362" s="8"/>
      <c r="C1362" s="7" t="str">
        <f>IF(B1362="","",IFERROR(INDEX(Reactivos!$D$2:$D$435,MATCH(B1362,Reactivos!$A$2:$A$435,0)),"ID no existe"))</f>
        <v/>
      </c>
      <c r="D1362" s="8"/>
      <c r="E1362" s="7" t="str">
        <f>IF(B1362="","",IFERROR(INDEX(Reactivos!$H$2:$H$435,MATCH(B1362,Reactivos!$A$2:$A$435,0)),""))</f>
        <v/>
      </c>
      <c r="F1362" s="8"/>
      <c r="G1362" s="8"/>
      <c r="H1362" s="13"/>
    </row>
    <row r="1363" spans="1:8" x14ac:dyDescent="0.3">
      <c r="A1363" s="11"/>
      <c r="B1363" s="8"/>
      <c r="C1363" s="7" t="str">
        <f>IF(B1363="","",IFERROR(INDEX(Reactivos!$D$2:$D$435,MATCH(B1363,Reactivos!$A$2:$A$435,0)),"ID no existe"))</f>
        <v/>
      </c>
      <c r="D1363" s="8"/>
      <c r="E1363" s="7" t="str">
        <f>IF(B1363="","",IFERROR(INDEX(Reactivos!$H$2:$H$435,MATCH(B1363,Reactivos!$A$2:$A$435,0)),""))</f>
        <v/>
      </c>
      <c r="F1363" s="8"/>
      <c r="G1363" s="8"/>
      <c r="H1363" s="13"/>
    </row>
    <row r="1364" spans="1:8" x14ac:dyDescent="0.3">
      <c r="A1364" s="11"/>
      <c r="B1364" s="8"/>
      <c r="C1364" s="7" t="str">
        <f>IF(B1364="","",IFERROR(INDEX(Reactivos!$D$2:$D$435,MATCH(B1364,Reactivos!$A$2:$A$435,0)),"ID no existe"))</f>
        <v/>
      </c>
      <c r="D1364" s="8"/>
      <c r="E1364" s="7" t="str">
        <f>IF(B1364="","",IFERROR(INDEX(Reactivos!$H$2:$H$435,MATCH(B1364,Reactivos!$A$2:$A$435,0)),""))</f>
        <v/>
      </c>
      <c r="F1364" s="8"/>
      <c r="G1364" s="8"/>
      <c r="H1364" s="13"/>
    </row>
    <row r="1365" spans="1:8" x14ac:dyDescent="0.3">
      <c r="A1365" s="11"/>
      <c r="B1365" s="8"/>
      <c r="C1365" s="7" t="str">
        <f>IF(B1365="","",IFERROR(INDEX(Reactivos!$D$2:$D$435,MATCH(B1365,Reactivos!$A$2:$A$435,0)),"ID no existe"))</f>
        <v/>
      </c>
      <c r="D1365" s="8"/>
      <c r="E1365" s="7" t="str">
        <f>IF(B1365="","",IFERROR(INDEX(Reactivos!$H$2:$H$435,MATCH(B1365,Reactivos!$A$2:$A$435,0)),""))</f>
        <v/>
      </c>
      <c r="F1365" s="8"/>
      <c r="G1365" s="8"/>
      <c r="H1365" s="13"/>
    </row>
    <row r="1366" spans="1:8" x14ac:dyDescent="0.3">
      <c r="A1366" s="11"/>
      <c r="B1366" s="8"/>
      <c r="C1366" s="7" t="str">
        <f>IF(B1366="","",IFERROR(INDEX(Reactivos!$D$2:$D$435,MATCH(B1366,Reactivos!$A$2:$A$435,0)),"ID no existe"))</f>
        <v/>
      </c>
      <c r="D1366" s="8"/>
      <c r="E1366" s="7" t="str">
        <f>IF(B1366="","",IFERROR(INDEX(Reactivos!$H$2:$H$435,MATCH(B1366,Reactivos!$A$2:$A$435,0)),""))</f>
        <v/>
      </c>
      <c r="F1366" s="8"/>
      <c r="G1366" s="8"/>
      <c r="H1366" s="13"/>
    </row>
    <row r="1367" spans="1:8" x14ac:dyDescent="0.3">
      <c r="A1367" s="11"/>
      <c r="B1367" s="8"/>
      <c r="C1367" s="7" t="str">
        <f>IF(B1367="","",IFERROR(INDEX(Reactivos!$D$2:$D$435,MATCH(B1367,Reactivos!$A$2:$A$435,0)),"ID no existe"))</f>
        <v/>
      </c>
      <c r="D1367" s="8"/>
      <c r="E1367" s="7" t="str">
        <f>IF(B1367="","",IFERROR(INDEX(Reactivos!$H$2:$H$435,MATCH(B1367,Reactivos!$A$2:$A$435,0)),""))</f>
        <v/>
      </c>
      <c r="F1367" s="8"/>
      <c r="G1367" s="8"/>
      <c r="H1367" s="13"/>
    </row>
    <row r="1368" spans="1:8" x14ac:dyDescent="0.3">
      <c r="A1368" s="11"/>
      <c r="B1368" s="8"/>
      <c r="C1368" s="7" t="str">
        <f>IF(B1368="","",IFERROR(INDEX(Reactivos!$D$2:$D$435,MATCH(B1368,Reactivos!$A$2:$A$435,0)),"ID no existe"))</f>
        <v/>
      </c>
      <c r="D1368" s="8"/>
      <c r="E1368" s="7" t="str">
        <f>IF(B1368="","",IFERROR(INDEX(Reactivos!$H$2:$H$435,MATCH(B1368,Reactivos!$A$2:$A$435,0)),""))</f>
        <v/>
      </c>
      <c r="F1368" s="8"/>
      <c r="G1368" s="8"/>
      <c r="H1368" s="13"/>
    </row>
    <row r="1369" spans="1:8" x14ac:dyDescent="0.3">
      <c r="A1369" s="11"/>
      <c r="B1369" s="8"/>
      <c r="C1369" s="7" t="str">
        <f>IF(B1369="","",IFERROR(INDEX(Reactivos!$D$2:$D$435,MATCH(B1369,Reactivos!$A$2:$A$435,0)),"ID no existe"))</f>
        <v/>
      </c>
      <c r="D1369" s="8"/>
      <c r="E1369" s="7" t="str">
        <f>IF(B1369="","",IFERROR(INDEX(Reactivos!$H$2:$H$435,MATCH(B1369,Reactivos!$A$2:$A$435,0)),""))</f>
        <v/>
      </c>
      <c r="F1369" s="8"/>
      <c r="G1369" s="8"/>
      <c r="H1369" s="13"/>
    </row>
    <row r="1370" spans="1:8" x14ac:dyDescent="0.3">
      <c r="A1370" s="11"/>
      <c r="B1370" s="8"/>
      <c r="C1370" s="7" t="str">
        <f>IF(B1370="","",IFERROR(INDEX(Reactivos!$D$2:$D$435,MATCH(B1370,Reactivos!$A$2:$A$435,0)),"ID no existe"))</f>
        <v/>
      </c>
      <c r="D1370" s="8"/>
      <c r="E1370" s="7" t="str">
        <f>IF(B1370="","",IFERROR(INDEX(Reactivos!$H$2:$H$435,MATCH(B1370,Reactivos!$A$2:$A$435,0)),""))</f>
        <v/>
      </c>
      <c r="F1370" s="8"/>
      <c r="G1370" s="8"/>
      <c r="H1370" s="13"/>
    </row>
    <row r="1371" spans="1:8" x14ac:dyDescent="0.3">
      <c r="A1371" s="11"/>
      <c r="B1371" s="8"/>
      <c r="C1371" s="7" t="str">
        <f>IF(B1371="","",IFERROR(INDEX(Reactivos!$D$2:$D$435,MATCH(B1371,Reactivos!$A$2:$A$435,0)),"ID no existe"))</f>
        <v/>
      </c>
      <c r="D1371" s="8"/>
      <c r="E1371" s="7" t="str">
        <f>IF(B1371="","",IFERROR(INDEX(Reactivos!$H$2:$H$435,MATCH(B1371,Reactivos!$A$2:$A$435,0)),""))</f>
        <v/>
      </c>
      <c r="F1371" s="8"/>
      <c r="G1371" s="8"/>
      <c r="H1371" s="13"/>
    </row>
    <row r="1372" spans="1:8" x14ac:dyDescent="0.3">
      <c r="A1372" s="11"/>
      <c r="B1372" s="8"/>
      <c r="C1372" s="7" t="str">
        <f>IF(B1372="","",IFERROR(INDEX(Reactivos!$D$2:$D$435,MATCH(B1372,Reactivos!$A$2:$A$435,0)),"ID no existe"))</f>
        <v/>
      </c>
      <c r="D1372" s="8"/>
      <c r="E1372" s="7" t="str">
        <f>IF(B1372="","",IFERROR(INDEX(Reactivos!$H$2:$H$435,MATCH(B1372,Reactivos!$A$2:$A$435,0)),""))</f>
        <v/>
      </c>
      <c r="F1372" s="8"/>
      <c r="G1372" s="8"/>
      <c r="H1372" s="13"/>
    </row>
    <row r="1373" spans="1:8" x14ac:dyDescent="0.3">
      <c r="A1373" s="11"/>
      <c r="B1373" s="8"/>
      <c r="C1373" s="7" t="str">
        <f>IF(B1373="","",IFERROR(INDEX(Reactivos!$D$2:$D$435,MATCH(B1373,Reactivos!$A$2:$A$435,0)),"ID no existe"))</f>
        <v/>
      </c>
      <c r="D1373" s="8"/>
      <c r="E1373" s="7" t="str">
        <f>IF(B1373="","",IFERROR(INDEX(Reactivos!$H$2:$H$435,MATCH(B1373,Reactivos!$A$2:$A$435,0)),""))</f>
        <v/>
      </c>
      <c r="F1373" s="8"/>
      <c r="G1373" s="8"/>
      <c r="H1373" s="13"/>
    </row>
    <row r="1374" spans="1:8" x14ac:dyDescent="0.3">
      <c r="A1374" s="11"/>
      <c r="B1374" s="8"/>
      <c r="C1374" s="7" t="str">
        <f>IF(B1374="","",IFERROR(INDEX(Reactivos!$D$2:$D$435,MATCH(B1374,Reactivos!$A$2:$A$435,0)),"ID no existe"))</f>
        <v/>
      </c>
      <c r="D1374" s="8"/>
      <c r="E1374" s="7" t="str">
        <f>IF(B1374="","",IFERROR(INDEX(Reactivos!$H$2:$H$435,MATCH(B1374,Reactivos!$A$2:$A$435,0)),""))</f>
        <v/>
      </c>
      <c r="F1374" s="8"/>
      <c r="G1374" s="8"/>
      <c r="H1374" s="13"/>
    </row>
    <row r="1375" spans="1:8" x14ac:dyDescent="0.3">
      <c r="A1375" s="11"/>
      <c r="B1375" s="8"/>
      <c r="C1375" s="7" t="str">
        <f>IF(B1375="","",IFERROR(INDEX(Reactivos!$D$2:$D$435,MATCH(B1375,Reactivos!$A$2:$A$435,0)),"ID no existe"))</f>
        <v/>
      </c>
      <c r="D1375" s="8"/>
      <c r="E1375" s="7" t="str">
        <f>IF(B1375="","",IFERROR(INDEX(Reactivos!$H$2:$H$435,MATCH(B1375,Reactivos!$A$2:$A$435,0)),""))</f>
        <v/>
      </c>
      <c r="F1375" s="8"/>
      <c r="G1375" s="8"/>
      <c r="H1375" s="13"/>
    </row>
    <row r="1376" spans="1:8" x14ac:dyDescent="0.3">
      <c r="A1376" s="11"/>
      <c r="B1376" s="8"/>
      <c r="C1376" s="7" t="str">
        <f>IF(B1376="","",IFERROR(INDEX(Reactivos!$D$2:$D$435,MATCH(B1376,Reactivos!$A$2:$A$435,0)),"ID no existe"))</f>
        <v/>
      </c>
      <c r="D1376" s="8"/>
      <c r="E1376" s="7" t="str">
        <f>IF(B1376="","",IFERROR(INDEX(Reactivos!$H$2:$H$435,MATCH(B1376,Reactivos!$A$2:$A$435,0)),""))</f>
        <v/>
      </c>
      <c r="F1376" s="8"/>
      <c r="G1376" s="8"/>
      <c r="H1376" s="13"/>
    </row>
    <row r="1377" spans="1:8" x14ac:dyDescent="0.3">
      <c r="A1377" s="11"/>
      <c r="B1377" s="8"/>
      <c r="C1377" s="7" t="str">
        <f>IF(B1377="","",IFERROR(INDEX(Reactivos!$D$2:$D$435,MATCH(B1377,Reactivos!$A$2:$A$435,0)),"ID no existe"))</f>
        <v/>
      </c>
      <c r="D1377" s="8"/>
      <c r="E1377" s="7" t="str">
        <f>IF(B1377="","",IFERROR(INDEX(Reactivos!$H$2:$H$435,MATCH(B1377,Reactivos!$A$2:$A$435,0)),""))</f>
        <v/>
      </c>
      <c r="F1377" s="8"/>
      <c r="G1377" s="8"/>
      <c r="H1377" s="13"/>
    </row>
    <row r="1378" spans="1:8" x14ac:dyDescent="0.3">
      <c r="A1378" s="11"/>
      <c r="B1378" s="8"/>
      <c r="C1378" s="7" t="str">
        <f>IF(B1378="","",IFERROR(INDEX(Reactivos!$D$2:$D$435,MATCH(B1378,Reactivos!$A$2:$A$435,0)),"ID no existe"))</f>
        <v/>
      </c>
      <c r="D1378" s="8"/>
      <c r="E1378" s="7" t="str">
        <f>IF(B1378="","",IFERROR(INDEX(Reactivos!$H$2:$H$435,MATCH(B1378,Reactivos!$A$2:$A$435,0)),""))</f>
        <v/>
      </c>
      <c r="F1378" s="8"/>
      <c r="G1378" s="8"/>
      <c r="H1378" s="13"/>
    </row>
    <row r="1379" spans="1:8" x14ac:dyDescent="0.3">
      <c r="A1379" s="11"/>
      <c r="B1379" s="8"/>
      <c r="C1379" s="7" t="str">
        <f>IF(B1379="","",IFERROR(INDEX(Reactivos!$D$2:$D$435,MATCH(B1379,Reactivos!$A$2:$A$435,0)),"ID no existe"))</f>
        <v/>
      </c>
      <c r="D1379" s="8"/>
      <c r="E1379" s="7" t="str">
        <f>IF(B1379="","",IFERROR(INDEX(Reactivos!$H$2:$H$435,MATCH(B1379,Reactivos!$A$2:$A$435,0)),""))</f>
        <v/>
      </c>
      <c r="F1379" s="8"/>
      <c r="G1379" s="8"/>
      <c r="H1379" s="13"/>
    </row>
    <row r="1380" spans="1:8" x14ac:dyDescent="0.3">
      <c r="A1380" s="11"/>
      <c r="B1380" s="8"/>
      <c r="C1380" s="7" t="str">
        <f>IF(B1380="","",IFERROR(INDEX(Reactivos!$D$2:$D$435,MATCH(B1380,Reactivos!$A$2:$A$435,0)),"ID no existe"))</f>
        <v/>
      </c>
      <c r="D1380" s="8"/>
      <c r="E1380" s="7" t="str">
        <f>IF(B1380="","",IFERROR(INDEX(Reactivos!$H$2:$H$435,MATCH(B1380,Reactivos!$A$2:$A$435,0)),""))</f>
        <v/>
      </c>
      <c r="F1380" s="8"/>
      <c r="G1380" s="8"/>
      <c r="H1380" s="13"/>
    </row>
    <row r="1381" spans="1:8" x14ac:dyDescent="0.3">
      <c r="A1381" s="11"/>
      <c r="B1381" s="8"/>
      <c r="C1381" s="7" t="str">
        <f>IF(B1381="","",IFERROR(INDEX(Reactivos!$D$2:$D$435,MATCH(B1381,Reactivos!$A$2:$A$435,0)),"ID no existe"))</f>
        <v/>
      </c>
      <c r="D1381" s="8"/>
      <c r="E1381" s="7" t="str">
        <f>IF(B1381="","",IFERROR(INDEX(Reactivos!$H$2:$H$435,MATCH(B1381,Reactivos!$A$2:$A$435,0)),""))</f>
        <v/>
      </c>
      <c r="F1381" s="8"/>
      <c r="G1381" s="8"/>
      <c r="H1381" s="13"/>
    </row>
    <row r="1382" spans="1:8" x14ac:dyDescent="0.3">
      <c r="A1382" s="11"/>
      <c r="B1382" s="8"/>
      <c r="C1382" s="7" t="str">
        <f>IF(B1382="","",IFERROR(INDEX(Reactivos!$D$2:$D$435,MATCH(B1382,Reactivos!$A$2:$A$435,0)),"ID no existe"))</f>
        <v/>
      </c>
      <c r="D1382" s="8"/>
      <c r="E1382" s="7" t="str">
        <f>IF(B1382="","",IFERROR(INDEX(Reactivos!$H$2:$H$435,MATCH(B1382,Reactivos!$A$2:$A$435,0)),""))</f>
        <v/>
      </c>
      <c r="F1382" s="8"/>
      <c r="G1382" s="8"/>
      <c r="H1382" s="13"/>
    </row>
    <row r="1383" spans="1:8" x14ac:dyDescent="0.3">
      <c r="A1383" s="11"/>
      <c r="B1383" s="8"/>
      <c r="C1383" s="7" t="str">
        <f>IF(B1383="","",IFERROR(INDEX(Reactivos!$D$2:$D$435,MATCH(B1383,Reactivos!$A$2:$A$435,0)),"ID no existe"))</f>
        <v/>
      </c>
      <c r="D1383" s="8"/>
      <c r="E1383" s="7" t="str">
        <f>IF(B1383="","",IFERROR(INDEX(Reactivos!$H$2:$H$435,MATCH(B1383,Reactivos!$A$2:$A$435,0)),""))</f>
        <v/>
      </c>
      <c r="F1383" s="8"/>
      <c r="G1383" s="8"/>
      <c r="H1383" s="13"/>
    </row>
    <row r="1384" spans="1:8" x14ac:dyDescent="0.3">
      <c r="A1384" s="11"/>
      <c r="B1384" s="8"/>
      <c r="C1384" s="7" t="str">
        <f>IF(B1384="","",IFERROR(INDEX(Reactivos!$D$2:$D$435,MATCH(B1384,Reactivos!$A$2:$A$435,0)),"ID no existe"))</f>
        <v/>
      </c>
      <c r="D1384" s="8"/>
      <c r="E1384" s="7" t="str">
        <f>IF(B1384="","",IFERROR(INDEX(Reactivos!$H$2:$H$435,MATCH(B1384,Reactivos!$A$2:$A$435,0)),""))</f>
        <v/>
      </c>
      <c r="F1384" s="8"/>
      <c r="G1384" s="8"/>
      <c r="H1384" s="13"/>
    </row>
    <row r="1385" spans="1:8" x14ac:dyDescent="0.3">
      <c r="A1385" s="11"/>
      <c r="B1385" s="8"/>
      <c r="C1385" s="7" t="str">
        <f>IF(B1385="","",IFERROR(INDEX(Reactivos!$D$2:$D$435,MATCH(B1385,Reactivos!$A$2:$A$435,0)),"ID no existe"))</f>
        <v/>
      </c>
      <c r="D1385" s="8"/>
      <c r="E1385" s="7" t="str">
        <f>IF(B1385="","",IFERROR(INDEX(Reactivos!$H$2:$H$435,MATCH(B1385,Reactivos!$A$2:$A$435,0)),""))</f>
        <v/>
      </c>
      <c r="F1385" s="8"/>
      <c r="G1385" s="8"/>
      <c r="H1385" s="13"/>
    </row>
    <row r="1386" spans="1:8" x14ac:dyDescent="0.3">
      <c r="A1386" s="11"/>
      <c r="B1386" s="8"/>
      <c r="C1386" s="7" t="str">
        <f>IF(B1386="","",IFERROR(INDEX(Reactivos!$D$2:$D$435,MATCH(B1386,Reactivos!$A$2:$A$435,0)),"ID no existe"))</f>
        <v/>
      </c>
      <c r="D1386" s="8"/>
      <c r="E1386" s="7" t="str">
        <f>IF(B1386="","",IFERROR(INDEX(Reactivos!$H$2:$H$435,MATCH(B1386,Reactivos!$A$2:$A$435,0)),""))</f>
        <v/>
      </c>
      <c r="F1386" s="8"/>
      <c r="G1386" s="8"/>
      <c r="H1386" s="13"/>
    </row>
    <row r="1387" spans="1:8" x14ac:dyDescent="0.3">
      <c r="A1387" s="11"/>
      <c r="B1387" s="8"/>
      <c r="C1387" s="7" t="str">
        <f>IF(B1387="","",IFERROR(INDEX(Reactivos!$D$2:$D$435,MATCH(B1387,Reactivos!$A$2:$A$435,0)),"ID no existe"))</f>
        <v/>
      </c>
      <c r="D1387" s="8"/>
      <c r="E1387" s="7" t="str">
        <f>IF(B1387="","",IFERROR(INDEX(Reactivos!$H$2:$H$435,MATCH(B1387,Reactivos!$A$2:$A$435,0)),""))</f>
        <v/>
      </c>
      <c r="F1387" s="8"/>
      <c r="G1387" s="8"/>
      <c r="H1387" s="13"/>
    </row>
    <row r="1388" spans="1:8" x14ac:dyDescent="0.3">
      <c r="A1388" s="11"/>
      <c r="B1388" s="8"/>
      <c r="C1388" s="7" t="str">
        <f>IF(B1388="","",IFERROR(INDEX(Reactivos!$D$2:$D$435,MATCH(B1388,Reactivos!$A$2:$A$435,0)),"ID no existe"))</f>
        <v/>
      </c>
      <c r="D1388" s="8"/>
      <c r="E1388" s="7" t="str">
        <f>IF(B1388="","",IFERROR(INDEX(Reactivos!$H$2:$H$435,MATCH(B1388,Reactivos!$A$2:$A$435,0)),""))</f>
        <v/>
      </c>
      <c r="F1388" s="8"/>
      <c r="G1388" s="8"/>
      <c r="H1388" s="13"/>
    </row>
    <row r="1389" spans="1:8" x14ac:dyDescent="0.3">
      <c r="A1389" s="11"/>
      <c r="B1389" s="8"/>
      <c r="C1389" s="7" t="str">
        <f>IF(B1389="","",IFERROR(INDEX(Reactivos!$D$2:$D$435,MATCH(B1389,Reactivos!$A$2:$A$435,0)),"ID no existe"))</f>
        <v/>
      </c>
      <c r="D1389" s="8"/>
      <c r="E1389" s="7" t="str">
        <f>IF(B1389="","",IFERROR(INDEX(Reactivos!$H$2:$H$435,MATCH(B1389,Reactivos!$A$2:$A$435,0)),""))</f>
        <v/>
      </c>
      <c r="F1389" s="8"/>
      <c r="G1389" s="8"/>
      <c r="H1389" s="13"/>
    </row>
    <row r="1390" spans="1:8" x14ac:dyDescent="0.3">
      <c r="A1390" s="11"/>
      <c r="B1390" s="8"/>
      <c r="C1390" s="7" t="str">
        <f>IF(B1390="","",IFERROR(INDEX(Reactivos!$D$2:$D$435,MATCH(B1390,Reactivos!$A$2:$A$435,0)),"ID no existe"))</f>
        <v/>
      </c>
      <c r="D1390" s="8"/>
      <c r="E1390" s="7" t="str">
        <f>IF(B1390="","",IFERROR(INDEX(Reactivos!$H$2:$H$435,MATCH(B1390,Reactivos!$A$2:$A$435,0)),""))</f>
        <v/>
      </c>
      <c r="F1390" s="8"/>
      <c r="G1390" s="8"/>
      <c r="H1390" s="13"/>
    </row>
    <row r="1391" spans="1:8" x14ac:dyDescent="0.3">
      <c r="A1391" s="11"/>
      <c r="B1391" s="8"/>
      <c r="C1391" s="7" t="str">
        <f>IF(B1391="","",IFERROR(INDEX(Reactivos!$D$2:$D$435,MATCH(B1391,Reactivos!$A$2:$A$435,0)),"ID no existe"))</f>
        <v/>
      </c>
      <c r="D1391" s="8"/>
      <c r="E1391" s="7" t="str">
        <f>IF(B1391="","",IFERROR(INDEX(Reactivos!$H$2:$H$435,MATCH(B1391,Reactivos!$A$2:$A$435,0)),""))</f>
        <v/>
      </c>
      <c r="F1391" s="8"/>
      <c r="G1391" s="8"/>
      <c r="H1391" s="13"/>
    </row>
    <row r="1392" spans="1:8" x14ac:dyDescent="0.3">
      <c r="A1392" s="11"/>
      <c r="B1392" s="8"/>
      <c r="C1392" s="7" t="str">
        <f>IF(B1392="","",IFERROR(INDEX(Reactivos!$D$2:$D$435,MATCH(B1392,Reactivos!$A$2:$A$435,0)),"ID no existe"))</f>
        <v/>
      </c>
      <c r="D1392" s="8"/>
      <c r="E1392" s="7" t="str">
        <f>IF(B1392="","",IFERROR(INDEX(Reactivos!$H$2:$H$435,MATCH(B1392,Reactivos!$A$2:$A$435,0)),""))</f>
        <v/>
      </c>
      <c r="F1392" s="8"/>
      <c r="G1392" s="8"/>
      <c r="H1392" s="13"/>
    </row>
    <row r="1393" spans="1:8" x14ac:dyDescent="0.3">
      <c r="A1393" s="11"/>
      <c r="B1393" s="8"/>
      <c r="C1393" s="7" t="str">
        <f>IF(B1393="","",IFERROR(INDEX(Reactivos!$D$2:$D$435,MATCH(B1393,Reactivos!$A$2:$A$435,0)),"ID no existe"))</f>
        <v/>
      </c>
      <c r="D1393" s="8"/>
      <c r="E1393" s="7" t="str">
        <f>IF(B1393="","",IFERROR(INDEX(Reactivos!$H$2:$H$435,MATCH(B1393,Reactivos!$A$2:$A$435,0)),""))</f>
        <v/>
      </c>
      <c r="F1393" s="8"/>
      <c r="G1393" s="8"/>
      <c r="H1393" s="13"/>
    </row>
    <row r="1394" spans="1:8" x14ac:dyDescent="0.3">
      <c r="A1394" s="11"/>
      <c r="B1394" s="8"/>
      <c r="C1394" s="7" t="str">
        <f>IF(B1394="","",IFERROR(INDEX(Reactivos!$D$2:$D$435,MATCH(B1394,Reactivos!$A$2:$A$435,0)),"ID no existe"))</f>
        <v/>
      </c>
      <c r="D1394" s="8"/>
      <c r="E1394" s="7" t="str">
        <f>IF(B1394="","",IFERROR(INDEX(Reactivos!$H$2:$H$435,MATCH(B1394,Reactivos!$A$2:$A$435,0)),""))</f>
        <v/>
      </c>
      <c r="F1394" s="8"/>
      <c r="G1394" s="8"/>
      <c r="H1394" s="13"/>
    </row>
    <row r="1395" spans="1:8" x14ac:dyDescent="0.3">
      <c r="A1395" s="11"/>
      <c r="B1395" s="8"/>
      <c r="C1395" s="7" t="str">
        <f>IF(B1395="","",IFERROR(INDEX(Reactivos!$D$2:$D$435,MATCH(B1395,Reactivos!$A$2:$A$435,0)),"ID no existe"))</f>
        <v/>
      </c>
      <c r="D1395" s="8"/>
      <c r="E1395" s="7" t="str">
        <f>IF(B1395="","",IFERROR(INDEX(Reactivos!$H$2:$H$435,MATCH(B1395,Reactivos!$A$2:$A$435,0)),""))</f>
        <v/>
      </c>
      <c r="F1395" s="8"/>
      <c r="G1395" s="8"/>
      <c r="H1395" s="13"/>
    </row>
    <row r="1396" spans="1:8" x14ac:dyDescent="0.3">
      <c r="A1396" s="11"/>
      <c r="B1396" s="8"/>
      <c r="C1396" s="7" t="str">
        <f>IF(B1396="","",IFERROR(INDEX(Reactivos!$D$2:$D$435,MATCH(B1396,Reactivos!$A$2:$A$435,0)),"ID no existe"))</f>
        <v/>
      </c>
      <c r="D1396" s="8"/>
      <c r="E1396" s="7" t="str">
        <f>IF(B1396="","",IFERROR(INDEX(Reactivos!$H$2:$H$435,MATCH(B1396,Reactivos!$A$2:$A$435,0)),""))</f>
        <v/>
      </c>
      <c r="F1396" s="8"/>
      <c r="G1396" s="8"/>
      <c r="H1396" s="13"/>
    </row>
    <row r="1397" spans="1:8" x14ac:dyDescent="0.3">
      <c r="A1397" s="11"/>
      <c r="B1397" s="8"/>
      <c r="C1397" s="7" t="str">
        <f>IF(B1397="","",IFERROR(INDEX(Reactivos!$D$2:$D$435,MATCH(B1397,Reactivos!$A$2:$A$435,0)),"ID no existe"))</f>
        <v/>
      </c>
      <c r="D1397" s="8"/>
      <c r="E1397" s="7" t="str">
        <f>IF(B1397="","",IFERROR(INDEX(Reactivos!$H$2:$H$435,MATCH(B1397,Reactivos!$A$2:$A$435,0)),""))</f>
        <v/>
      </c>
      <c r="F1397" s="8"/>
      <c r="G1397" s="8"/>
      <c r="H1397" s="13"/>
    </row>
    <row r="1398" spans="1:8" x14ac:dyDescent="0.3">
      <c r="A1398" s="11"/>
      <c r="B1398" s="8"/>
      <c r="C1398" s="7" t="str">
        <f>IF(B1398="","",IFERROR(INDEX(Reactivos!$D$2:$D$435,MATCH(B1398,Reactivos!$A$2:$A$435,0)),"ID no existe"))</f>
        <v/>
      </c>
      <c r="D1398" s="8"/>
      <c r="E1398" s="7" t="str">
        <f>IF(B1398="","",IFERROR(INDEX(Reactivos!$H$2:$H$435,MATCH(B1398,Reactivos!$A$2:$A$435,0)),""))</f>
        <v/>
      </c>
      <c r="F1398" s="8"/>
      <c r="G1398" s="8"/>
      <c r="H1398" s="13"/>
    </row>
    <row r="1399" spans="1:8" x14ac:dyDescent="0.3">
      <c r="A1399" s="11"/>
      <c r="B1399" s="8"/>
      <c r="C1399" s="7" t="str">
        <f>IF(B1399="","",IFERROR(INDEX(Reactivos!$D$2:$D$435,MATCH(B1399,Reactivos!$A$2:$A$435,0)),"ID no existe"))</f>
        <v/>
      </c>
      <c r="D1399" s="8"/>
      <c r="E1399" s="7" t="str">
        <f>IF(B1399="","",IFERROR(INDEX(Reactivos!$H$2:$H$435,MATCH(B1399,Reactivos!$A$2:$A$435,0)),""))</f>
        <v/>
      </c>
      <c r="F1399" s="8"/>
      <c r="G1399" s="8"/>
      <c r="H1399" s="13"/>
    </row>
    <row r="1400" spans="1:8" x14ac:dyDescent="0.3">
      <c r="A1400" s="11"/>
      <c r="B1400" s="8"/>
      <c r="C1400" s="7" t="str">
        <f>IF(B1400="","",IFERROR(INDEX(Reactivos!$D$2:$D$435,MATCH(B1400,Reactivos!$A$2:$A$435,0)),"ID no existe"))</f>
        <v/>
      </c>
      <c r="D1400" s="8"/>
      <c r="E1400" s="7" t="str">
        <f>IF(B1400="","",IFERROR(INDEX(Reactivos!$H$2:$H$435,MATCH(B1400,Reactivos!$A$2:$A$435,0)),""))</f>
        <v/>
      </c>
      <c r="F1400" s="8"/>
      <c r="G1400" s="8"/>
      <c r="H1400" s="13"/>
    </row>
    <row r="1401" spans="1:8" x14ac:dyDescent="0.3">
      <c r="A1401" s="11"/>
      <c r="B1401" s="8"/>
      <c r="C1401" s="7" t="str">
        <f>IF(B1401="","",IFERROR(INDEX(Reactivos!$D$2:$D$435,MATCH(B1401,Reactivos!$A$2:$A$435,0)),"ID no existe"))</f>
        <v/>
      </c>
      <c r="D1401" s="8"/>
      <c r="E1401" s="7" t="str">
        <f>IF(B1401="","",IFERROR(INDEX(Reactivos!$H$2:$H$435,MATCH(B1401,Reactivos!$A$2:$A$435,0)),""))</f>
        <v/>
      </c>
      <c r="F1401" s="8"/>
      <c r="G1401" s="8"/>
      <c r="H1401" s="13"/>
    </row>
    <row r="1402" spans="1:8" x14ac:dyDescent="0.3">
      <c r="A1402" s="11"/>
      <c r="B1402" s="8"/>
      <c r="C1402" s="7" t="str">
        <f>IF(B1402="","",IFERROR(INDEX(Reactivos!$D$2:$D$435,MATCH(B1402,Reactivos!$A$2:$A$435,0)),"ID no existe"))</f>
        <v/>
      </c>
      <c r="D1402" s="8"/>
      <c r="E1402" s="7" t="str">
        <f>IF(B1402="","",IFERROR(INDEX(Reactivos!$H$2:$H$435,MATCH(B1402,Reactivos!$A$2:$A$435,0)),""))</f>
        <v/>
      </c>
      <c r="F1402" s="8"/>
      <c r="G1402" s="8"/>
      <c r="H1402" s="13"/>
    </row>
    <row r="1403" spans="1:8" x14ac:dyDescent="0.3">
      <c r="A1403" s="11"/>
      <c r="B1403" s="8"/>
      <c r="C1403" s="7" t="str">
        <f>IF(B1403="","",IFERROR(INDEX(Reactivos!$D$2:$D$435,MATCH(B1403,Reactivos!$A$2:$A$435,0)),"ID no existe"))</f>
        <v/>
      </c>
      <c r="D1403" s="8"/>
      <c r="E1403" s="7" t="str">
        <f>IF(B1403="","",IFERROR(INDEX(Reactivos!$H$2:$H$435,MATCH(B1403,Reactivos!$A$2:$A$435,0)),""))</f>
        <v/>
      </c>
      <c r="F1403" s="8"/>
      <c r="G1403" s="8"/>
      <c r="H1403" s="13"/>
    </row>
    <row r="1404" spans="1:8" x14ac:dyDescent="0.3">
      <c r="A1404" s="11"/>
      <c r="B1404" s="8"/>
      <c r="C1404" s="7" t="str">
        <f>IF(B1404="","",IFERROR(INDEX(Reactivos!$D$2:$D$435,MATCH(B1404,Reactivos!$A$2:$A$435,0)),"ID no existe"))</f>
        <v/>
      </c>
      <c r="D1404" s="8"/>
      <c r="E1404" s="7" t="str">
        <f>IF(B1404="","",IFERROR(INDEX(Reactivos!$H$2:$H$435,MATCH(B1404,Reactivos!$A$2:$A$435,0)),""))</f>
        <v/>
      </c>
      <c r="F1404" s="8"/>
      <c r="G1404" s="8"/>
      <c r="H1404" s="13"/>
    </row>
    <row r="1405" spans="1:8" x14ac:dyDescent="0.3">
      <c r="A1405" s="11"/>
      <c r="B1405" s="8"/>
      <c r="C1405" s="7" t="str">
        <f>IF(B1405="","",IFERROR(INDEX(Reactivos!$D$2:$D$435,MATCH(B1405,Reactivos!$A$2:$A$435,0)),"ID no existe"))</f>
        <v/>
      </c>
      <c r="D1405" s="8"/>
      <c r="E1405" s="7" t="str">
        <f>IF(B1405="","",IFERROR(INDEX(Reactivos!$H$2:$H$435,MATCH(B1405,Reactivos!$A$2:$A$435,0)),""))</f>
        <v/>
      </c>
      <c r="F1405" s="8"/>
      <c r="G1405" s="8"/>
      <c r="H1405" s="13"/>
    </row>
    <row r="1406" spans="1:8" x14ac:dyDescent="0.3">
      <c r="A1406" s="11"/>
      <c r="B1406" s="8"/>
      <c r="C1406" s="7" t="str">
        <f>IF(B1406="","",IFERROR(INDEX(Reactivos!$D$2:$D$435,MATCH(B1406,Reactivos!$A$2:$A$435,0)),"ID no existe"))</f>
        <v/>
      </c>
      <c r="D1406" s="8"/>
      <c r="E1406" s="7" t="str">
        <f>IF(B1406="","",IFERROR(INDEX(Reactivos!$H$2:$H$435,MATCH(B1406,Reactivos!$A$2:$A$435,0)),""))</f>
        <v/>
      </c>
      <c r="F1406" s="8"/>
      <c r="G1406" s="8"/>
      <c r="H1406" s="13"/>
    </row>
    <row r="1407" spans="1:8" x14ac:dyDescent="0.3">
      <c r="A1407" s="11"/>
      <c r="B1407" s="8"/>
      <c r="C1407" s="7" t="str">
        <f>IF(B1407="","",IFERROR(INDEX(Reactivos!$D$2:$D$435,MATCH(B1407,Reactivos!$A$2:$A$435,0)),"ID no existe"))</f>
        <v/>
      </c>
      <c r="D1407" s="8"/>
      <c r="E1407" s="7" t="str">
        <f>IF(B1407="","",IFERROR(INDEX(Reactivos!$H$2:$H$435,MATCH(B1407,Reactivos!$A$2:$A$435,0)),""))</f>
        <v/>
      </c>
      <c r="F1407" s="8"/>
      <c r="G1407" s="8"/>
      <c r="H1407" s="13"/>
    </row>
    <row r="1408" spans="1:8" x14ac:dyDescent="0.3">
      <c r="A1408" s="11"/>
      <c r="B1408" s="8"/>
      <c r="C1408" s="7" t="str">
        <f>IF(B1408="","",IFERROR(INDEX(Reactivos!$D$2:$D$435,MATCH(B1408,Reactivos!$A$2:$A$435,0)),"ID no existe"))</f>
        <v/>
      </c>
      <c r="D1408" s="8"/>
      <c r="E1408" s="7" t="str">
        <f>IF(B1408="","",IFERROR(INDEX(Reactivos!$H$2:$H$435,MATCH(B1408,Reactivos!$A$2:$A$435,0)),""))</f>
        <v/>
      </c>
      <c r="F1408" s="8"/>
      <c r="G1408" s="8"/>
      <c r="H1408" s="13"/>
    </row>
    <row r="1409" spans="1:8" x14ac:dyDescent="0.3">
      <c r="A1409" s="11"/>
      <c r="B1409" s="8"/>
      <c r="C1409" s="7" t="str">
        <f>IF(B1409="","",IFERROR(INDEX(Reactivos!$D$2:$D$435,MATCH(B1409,Reactivos!$A$2:$A$435,0)),"ID no existe"))</f>
        <v/>
      </c>
      <c r="D1409" s="8"/>
      <c r="E1409" s="7" t="str">
        <f>IF(B1409="","",IFERROR(INDEX(Reactivos!$H$2:$H$435,MATCH(B1409,Reactivos!$A$2:$A$435,0)),""))</f>
        <v/>
      </c>
      <c r="F1409" s="8"/>
      <c r="G1409" s="8"/>
      <c r="H1409" s="13"/>
    </row>
    <row r="1410" spans="1:8" x14ac:dyDescent="0.3">
      <c r="A1410" s="11"/>
      <c r="B1410" s="8"/>
      <c r="C1410" s="7" t="str">
        <f>IF(B1410="","",IFERROR(INDEX(Reactivos!$D$2:$D$435,MATCH(B1410,Reactivos!$A$2:$A$435,0)),"ID no existe"))</f>
        <v/>
      </c>
      <c r="D1410" s="8"/>
      <c r="E1410" s="7" t="str">
        <f>IF(B1410="","",IFERROR(INDEX(Reactivos!$H$2:$H$435,MATCH(B1410,Reactivos!$A$2:$A$435,0)),""))</f>
        <v/>
      </c>
      <c r="F1410" s="8"/>
      <c r="G1410" s="8"/>
      <c r="H1410" s="13"/>
    </row>
    <row r="1411" spans="1:8" x14ac:dyDescent="0.3">
      <c r="A1411" s="11"/>
      <c r="B1411" s="8"/>
      <c r="C1411" s="7" t="str">
        <f>IF(B1411="","",IFERROR(INDEX(Reactivos!$D$2:$D$435,MATCH(B1411,Reactivos!$A$2:$A$435,0)),"ID no existe"))</f>
        <v/>
      </c>
      <c r="D1411" s="8"/>
      <c r="E1411" s="7" t="str">
        <f>IF(B1411="","",IFERROR(INDEX(Reactivos!$H$2:$H$435,MATCH(B1411,Reactivos!$A$2:$A$435,0)),""))</f>
        <v/>
      </c>
      <c r="F1411" s="8"/>
      <c r="G1411" s="8"/>
      <c r="H1411" s="13"/>
    </row>
    <row r="1412" spans="1:8" x14ac:dyDescent="0.3">
      <c r="A1412" s="11"/>
      <c r="B1412" s="8"/>
      <c r="C1412" s="7" t="str">
        <f>IF(B1412="","",IFERROR(INDEX(Reactivos!$D$2:$D$435,MATCH(B1412,Reactivos!$A$2:$A$435,0)),"ID no existe"))</f>
        <v/>
      </c>
      <c r="D1412" s="8"/>
      <c r="E1412" s="7" t="str">
        <f>IF(B1412="","",IFERROR(INDEX(Reactivos!$H$2:$H$435,MATCH(B1412,Reactivos!$A$2:$A$435,0)),""))</f>
        <v/>
      </c>
      <c r="F1412" s="8"/>
      <c r="G1412" s="8"/>
      <c r="H1412" s="13"/>
    </row>
    <row r="1413" spans="1:8" x14ac:dyDescent="0.3">
      <c r="A1413" s="11"/>
      <c r="B1413" s="8"/>
      <c r="C1413" s="7" t="str">
        <f>IF(B1413="","",IFERROR(INDEX(Reactivos!$D$2:$D$435,MATCH(B1413,Reactivos!$A$2:$A$435,0)),"ID no existe"))</f>
        <v/>
      </c>
      <c r="D1413" s="8"/>
      <c r="E1413" s="7" t="str">
        <f>IF(B1413="","",IFERROR(INDEX(Reactivos!$H$2:$H$435,MATCH(B1413,Reactivos!$A$2:$A$435,0)),""))</f>
        <v/>
      </c>
      <c r="F1413" s="8"/>
      <c r="G1413" s="8"/>
      <c r="H1413" s="13"/>
    </row>
    <row r="1414" spans="1:8" x14ac:dyDescent="0.3">
      <c r="A1414" s="11"/>
      <c r="B1414" s="8"/>
      <c r="C1414" s="7" t="str">
        <f>IF(B1414="","",IFERROR(INDEX(Reactivos!$D$2:$D$435,MATCH(B1414,Reactivos!$A$2:$A$435,0)),"ID no existe"))</f>
        <v/>
      </c>
      <c r="D1414" s="8"/>
      <c r="E1414" s="7" t="str">
        <f>IF(B1414="","",IFERROR(INDEX(Reactivos!$H$2:$H$435,MATCH(B1414,Reactivos!$A$2:$A$435,0)),""))</f>
        <v/>
      </c>
      <c r="F1414" s="8"/>
      <c r="G1414" s="8"/>
      <c r="H1414" s="13"/>
    </row>
    <row r="1415" spans="1:8" x14ac:dyDescent="0.3">
      <c r="A1415" s="11"/>
      <c r="B1415" s="8"/>
      <c r="C1415" s="7" t="str">
        <f>IF(B1415="","",IFERROR(INDEX(Reactivos!$D$2:$D$435,MATCH(B1415,Reactivos!$A$2:$A$435,0)),"ID no existe"))</f>
        <v/>
      </c>
      <c r="D1415" s="8"/>
      <c r="E1415" s="7" t="str">
        <f>IF(B1415="","",IFERROR(INDEX(Reactivos!$H$2:$H$435,MATCH(B1415,Reactivos!$A$2:$A$435,0)),""))</f>
        <v/>
      </c>
      <c r="F1415" s="8"/>
      <c r="G1415" s="8"/>
      <c r="H1415" s="13"/>
    </row>
    <row r="1416" spans="1:8" x14ac:dyDescent="0.3">
      <c r="A1416" s="11"/>
      <c r="B1416" s="8"/>
      <c r="C1416" s="7" t="str">
        <f>IF(B1416="","",IFERROR(INDEX(Reactivos!$D$2:$D$435,MATCH(B1416,Reactivos!$A$2:$A$435,0)),"ID no existe"))</f>
        <v/>
      </c>
      <c r="D1416" s="8"/>
      <c r="E1416" s="7" t="str">
        <f>IF(B1416="","",IFERROR(INDEX(Reactivos!$H$2:$H$435,MATCH(B1416,Reactivos!$A$2:$A$435,0)),""))</f>
        <v/>
      </c>
      <c r="F1416" s="8"/>
      <c r="G1416" s="8"/>
      <c r="H1416" s="13"/>
    </row>
    <row r="1417" spans="1:8" x14ac:dyDescent="0.3">
      <c r="A1417" s="11"/>
      <c r="B1417" s="8"/>
      <c r="C1417" s="7" t="str">
        <f>IF(B1417="","",IFERROR(INDEX(Reactivos!$D$2:$D$435,MATCH(B1417,Reactivos!$A$2:$A$435,0)),"ID no existe"))</f>
        <v/>
      </c>
      <c r="D1417" s="8"/>
      <c r="E1417" s="7" t="str">
        <f>IF(B1417="","",IFERROR(INDEX(Reactivos!$H$2:$H$435,MATCH(B1417,Reactivos!$A$2:$A$435,0)),""))</f>
        <v/>
      </c>
      <c r="F1417" s="8"/>
      <c r="G1417" s="8"/>
      <c r="H1417" s="13"/>
    </row>
    <row r="1418" spans="1:8" x14ac:dyDescent="0.3">
      <c r="A1418" s="11"/>
      <c r="B1418" s="8"/>
      <c r="C1418" s="7" t="str">
        <f>IF(B1418="","",IFERROR(INDEX(Reactivos!$D$2:$D$435,MATCH(B1418,Reactivos!$A$2:$A$435,0)),"ID no existe"))</f>
        <v/>
      </c>
      <c r="D1418" s="8"/>
      <c r="E1418" s="7" t="str">
        <f>IF(B1418="","",IFERROR(INDEX(Reactivos!$H$2:$H$435,MATCH(B1418,Reactivos!$A$2:$A$435,0)),""))</f>
        <v/>
      </c>
      <c r="F1418" s="8"/>
      <c r="G1418" s="8"/>
      <c r="H1418" s="13"/>
    </row>
    <row r="1419" spans="1:8" x14ac:dyDescent="0.3">
      <c r="A1419" s="11"/>
      <c r="B1419" s="8"/>
      <c r="C1419" s="7" t="str">
        <f>IF(B1419="","",IFERROR(INDEX(Reactivos!$D$2:$D$435,MATCH(B1419,Reactivos!$A$2:$A$435,0)),"ID no existe"))</f>
        <v/>
      </c>
      <c r="D1419" s="8"/>
      <c r="E1419" s="7" t="str">
        <f>IF(B1419="","",IFERROR(INDEX(Reactivos!$H$2:$H$435,MATCH(B1419,Reactivos!$A$2:$A$435,0)),""))</f>
        <v/>
      </c>
      <c r="F1419" s="8"/>
      <c r="G1419" s="8"/>
      <c r="H1419" s="13"/>
    </row>
    <row r="1420" spans="1:8" x14ac:dyDescent="0.3">
      <c r="A1420" s="11"/>
      <c r="B1420" s="8"/>
      <c r="C1420" s="7" t="str">
        <f>IF(B1420="","",IFERROR(INDEX(Reactivos!$D$2:$D$435,MATCH(B1420,Reactivos!$A$2:$A$435,0)),"ID no existe"))</f>
        <v/>
      </c>
      <c r="D1420" s="8"/>
      <c r="E1420" s="7" t="str">
        <f>IF(B1420="","",IFERROR(INDEX(Reactivos!$H$2:$H$435,MATCH(B1420,Reactivos!$A$2:$A$435,0)),""))</f>
        <v/>
      </c>
      <c r="F1420" s="8"/>
      <c r="G1420" s="8"/>
      <c r="H1420" s="13"/>
    </row>
    <row r="1421" spans="1:8" x14ac:dyDescent="0.3">
      <c r="A1421" s="11"/>
      <c r="B1421" s="8"/>
      <c r="C1421" s="7" t="str">
        <f>IF(B1421="","",IFERROR(INDEX(Reactivos!$D$2:$D$435,MATCH(B1421,Reactivos!$A$2:$A$435,0)),"ID no existe"))</f>
        <v/>
      </c>
      <c r="D1421" s="8"/>
      <c r="E1421" s="7" t="str">
        <f>IF(B1421="","",IFERROR(INDEX(Reactivos!$H$2:$H$435,MATCH(B1421,Reactivos!$A$2:$A$435,0)),""))</f>
        <v/>
      </c>
      <c r="F1421" s="8"/>
      <c r="G1421" s="8"/>
      <c r="H1421" s="13"/>
    </row>
    <row r="1422" spans="1:8" x14ac:dyDescent="0.3">
      <c r="A1422" s="11"/>
      <c r="B1422" s="8"/>
      <c r="C1422" s="7" t="str">
        <f>IF(B1422="","",IFERROR(INDEX(Reactivos!$D$2:$D$435,MATCH(B1422,Reactivos!$A$2:$A$435,0)),"ID no existe"))</f>
        <v/>
      </c>
      <c r="D1422" s="8"/>
      <c r="E1422" s="7" t="str">
        <f>IF(B1422="","",IFERROR(INDEX(Reactivos!$H$2:$H$435,MATCH(B1422,Reactivos!$A$2:$A$435,0)),""))</f>
        <v/>
      </c>
      <c r="F1422" s="8"/>
      <c r="G1422" s="8"/>
      <c r="H1422" s="13"/>
    </row>
    <row r="1423" spans="1:8" x14ac:dyDescent="0.3">
      <c r="A1423" s="11"/>
      <c r="B1423" s="8"/>
      <c r="C1423" s="7" t="str">
        <f>IF(B1423="","",IFERROR(INDEX(Reactivos!$D$2:$D$435,MATCH(B1423,Reactivos!$A$2:$A$435,0)),"ID no existe"))</f>
        <v/>
      </c>
      <c r="D1423" s="8"/>
      <c r="E1423" s="7" t="str">
        <f>IF(B1423="","",IFERROR(INDEX(Reactivos!$H$2:$H$435,MATCH(B1423,Reactivos!$A$2:$A$435,0)),""))</f>
        <v/>
      </c>
      <c r="F1423" s="8"/>
      <c r="G1423" s="8"/>
      <c r="H1423" s="13"/>
    </row>
    <row r="1424" spans="1:8" x14ac:dyDescent="0.3">
      <c r="A1424" s="11"/>
      <c r="B1424" s="8"/>
      <c r="C1424" s="7" t="str">
        <f>IF(B1424="","",IFERROR(INDEX(Reactivos!$D$2:$D$435,MATCH(B1424,Reactivos!$A$2:$A$435,0)),"ID no existe"))</f>
        <v/>
      </c>
      <c r="D1424" s="8"/>
      <c r="E1424" s="7" t="str">
        <f>IF(B1424="","",IFERROR(INDEX(Reactivos!$H$2:$H$435,MATCH(B1424,Reactivos!$A$2:$A$435,0)),""))</f>
        <v/>
      </c>
      <c r="F1424" s="8"/>
      <c r="G1424" s="8"/>
      <c r="H1424" s="13"/>
    </row>
    <row r="1425" spans="1:8" x14ac:dyDescent="0.3">
      <c r="A1425" s="11"/>
      <c r="B1425" s="8"/>
      <c r="C1425" s="7" t="str">
        <f>IF(B1425="","",IFERROR(INDEX(Reactivos!$D$2:$D$435,MATCH(B1425,Reactivos!$A$2:$A$435,0)),"ID no existe"))</f>
        <v/>
      </c>
      <c r="D1425" s="8"/>
      <c r="E1425" s="7" t="str">
        <f>IF(B1425="","",IFERROR(INDEX(Reactivos!$H$2:$H$435,MATCH(B1425,Reactivos!$A$2:$A$435,0)),""))</f>
        <v/>
      </c>
      <c r="F1425" s="8"/>
      <c r="G1425" s="8"/>
      <c r="H1425" s="13"/>
    </row>
    <row r="1426" spans="1:8" x14ac:dyDescent="0.3">
      <c r="A1426" s="11"/>
      <c r="B1426" s="8"/>
      <c r="C1426" s="7" t="str">
        <f>IF(B1426="","",IFERROR(INDEX(Reactivos!$D$2:$D$435,MATCH(B1426,Reactivos!$A$2:$A$435,0)),"ID no existe"))</f>
        <v/>
      </c>
      <c r="D1426" s="8"/>
      <c r="E1426" s="7" t="str">
        <f>IF(B1426="","",IFERROR(INDEX(Reactivos!$H$2:$H$435,MATCH(B1426,Reactivos!$A$2:$A$435,0)),""))</f>
        <v/>
      </c>
      <c r="F1426" s="8"/>
      <c r="G1426" s="8"/>
      <c r="H1426" s="13"/>
    </row>
    <row r="1427" spans="1:8" x14ac:dyDescent="0.3">
      <c r="A1427" s="11"/>
      <c r="B1427" s="8"/>
      <c r="C1427" s="7" t="str">
        <f>IF(B1427="","",IFERROR(INDEX(Reactivos!$D$2:$D$435,MATCH(B1427,Reactivos!$A$2:$A$435,0)),"ID no existe"))</f>
        <v/>
      </c>
      <c r="D1427" s="8"/>
      <c r="E1427" s="7" t="str">
        <f>IF(B1427="","",IFERROR(INDEX(Reactivos!$H$2:$H$435,MATCH(B1427,Reactivos!$A$2:$A$435,0)),""))</f>
        <v/>
      </c>
      <c r="F1427" s="8"/>
      <c r="G1427" s="8"/>
      <c r="H1427" s="13"/>
    </row>
    <row r="1428" spans="1:8" x14ac:dyDescent="0.3">
      <c r="A1428" s="11"/>
      <c r="B1428" s="8"/>
      <c r="C1428" s="7" t="str">
        <f>IF(B1428="","",IFERROR(INDEX(Reactivos!$D$2:$D$435,MATCH(B1428,Reactivos!$A$2:$A$435,0)),"ID no existe"))</f>
        <v/>
      </c>
      <c r="D1428" s="8"/>
      <c r="E1428" s="7" t="str">
        <f>IF(B1428="","",IFERROR(INDEX(Reactivos!$H$2:$H$435,MATCH(B1428,Reactivos!$A$2:$A$435,0)),""))</f>
        <v/>
      </c>
      <c r="F1428" s="8"/>
      <c r="G1428" s="8"/>
      <c r="H1428" s="13"/>
    </row>
    <row r="1429" spans="1:8" x14ac:dyDescent="0.3">
      <c r="A1429" s="11"/>
      <c r="B1429" s="8"/>
      <c r="C1429" s="7" t="str">
        <f>IF(B1429="","",IFERROR(INDEX(Reactivos!$D$2:$D$435,MATCH(B1429,Reactivos!$A$2:$A$435,0)),"ID no existe"))</f>
        <v/>
      </c>
      <c r="D1429" s="8"/>
      <c r="E1429" s="7" t="str">
        <f>IF(B1429="","",IFERROR(INDEX(Reactivos!$H$2:$H$435,MATCH(B1429,Reactivos!$A$2:$A$435,0)),""))</f>
        <v/>
      </c>
      <c r="F1429" s="8"/>
      <c r="G1429" s="8"/>
      <c r="H1429" s="13"/>
    </row>
    <row r="1430" spans="1:8" x14ac:dyDescent="0.3">
      <c r="A1430" s="11"/>
      <c r="B1430" s="8"/>
      <c r="C1430" s="7" t="str">
        <f>IF(B1430="","",IFERROR(INDEX(Reactivos!$D$2:$D$435,MATCH(B1430,Reactivos!$A$2:$A$435,0)),"ID no existe"))</f>
        <v/>
      </c>
      <c r="D1430" s="8"/>
      <c r="E1430" s="7" t="str">
        <f>IF(B1430="","",IFERROR(INDEX(Reactivos!$H$2:$H$435,MATCH(B1430,Reactivos!$A$2:$A$435,0)),""))</f>
        <v/>
      </c>
      <c r="F1430" s="8"/>
      <c r="G1430" s="8"/>
      <c r="H1430" s="13"/>
    </row>
    <row r="1431" spans="1:8" x14ac:dyDescent="0.3">
      <c r="A1431" s="11"/>
      <c r="B1431" s="8"/>
      <c r="C1431" s="7" t="str">
        <f>IF(B1431="","",IFERROR(INDEX(Reactivos!$D$2:$D$435,MATCH(B1431,Reactivos!$A$2:$A$435,0)),"ID no existe"))</f>
        <v/>
      </c>
      <c r="D1431" s="8"/>
      <c r="E1431" s="7" t="str">
        <f>IF(B1431="","",IFERROR(INDEX(Reactivos!$H$2:$H$435,MATCH(B1431,Reactivos!$A$2:$A$435,0)),""))</f>
        <v/>
      </c>
      <c r="F1431" s="8"/>
      <c r="G1431" s="8"/>
      <c r="H1431" s="13"/>
    </row>
    <row r="1432" spans="1:8" x14ac:dyDescent="0.3">
      <c r="A1432" s="11"/>
      <c r="B1432" s="8"/>
      <c r="C1432" s="7" t="str">
        <f>IF(B1432="","",IFERROR(INDEX(Reactivos!$D$2:$D$435,MATCH(B1432,Reactivos!$A$2:$A$435,0)),"ID no existe"))</f>
        <v/>
      </c>
      <c r="D1432" s="8"/>
      <c r="E1432" s="7" t="str">
        <f>IF(B1432="","",IFERROR(INDEX(Reactivos!$H$2:$H$435,MATCH(B1432,Reactivos!$A$2:$A$435,0)),""))</f>
        <v/>
      </c>
      <c r="F1432" s="8"/>
      <c r="G1432" s="8"/>
      <c r="H1432" s="13"/>
    </row>
    <row r="1433" spans="1:8" x14ac:dyDescent="0.3">
      <c r="A1433" s="11"/>
      <c r="B1433" s="8"/>
      <c r="C1433" s="7" t="str">
        <f>IF(B1433="","",IFERROR(INDEX(Reactivos!$D$2:$D$435,MATCH(B1433,Reactivos!$A$2:$A$435,0)),"ID no existe"))</f>
        <v/>
      </c>
      <c r="D1433" s="8"/>
      <c r="E1433" s="7" t="str">
        <f>IF(B1433="","",IFERROR(INDEX(Reactivos!$H$2:$H$435,MATCH(B1433,Reactivos!$A$2:$A$435,0)),""))</f>
        <v/>
      </c>
      <c r="F1433" s="8"/>
      <c r="G1433" s="8"/>
      <c r="H1433" s="13"/>
    </row>
    <row r="1434" spans="1:8" x14ac:dyDescent="0.3">
      <c r="A1434" s="11"/>
      <c r="B1434" s="8"/>
      <c r="C1434" s="7" t="str">
        <f>IF(B1434="","",IFERROR(INDEX(Reactivos!$D$2:$D$435,MATCH(B1434,Reactivos!$A$2:$A$435,0)),"ID no existe"))</f>
        <v/>
      </c>
      <c r="D1434" s="8"/>
      <c r="E1434" s="7" t="str">
        <f>IF(B1434="","",IFERROR(INDEX(Reactivos!$H$2:$H$435,MATCH(B1434,Reactivos!$A$2:$A$435,0)),""))</f>
        <v/>
      </c>
      <c r="F1434" s="8"/>
      <c r="G1434" s="8"/>
      <c r="H1434" s="13"/>
    </row>
    <row r="1435" spans="1:8" x14ac:dyDescent="0.3">
      <c r="A1435" s="11"/>
      <c r="B1435" s="8"/>
      <c r="C1435" s="7" t="str">
        <f>IF(B1435="","",IFERROR(INDEX(Reactivos!$D$2:$D$435,MATCH(B1435,Reactivos!$A$2:$A$435,0)),"ID no existe"))</f>
        <v/>
      </c>
      <c r="D1435" s="8"/>
      <c r="E1435" s="7" t="str">
        <f>IF(B1435="","",IFERROR(INDEX(Reactivos!$H$2:$H$435,MATCH(B1435,Reactivos!$A$2:$A$435,0)),""))</f>
        <v/>
      </c>
      <c r="F1435" s="8"/>
      <c r="G1435" s="8"/>
      <c r="H1435" s="13"/>
    </row>
    <row r="1436" spans="1:8" x14ac:dyDescent="0.3">
      <c r="A1436" s="11"/>
      <c r="B1436" s="8"/>
      <c r="C1436" s="7" t="str">
        <f>IF(B1436="","",IFERROR(INDEX(Reactivos!$D$2:$D$435,MATCH(B1436,Reactivos!$A$2:$A$435,0)),"ID no existe"))</f>
        <v/>
      </c>
      <c r="D1436" s="8"/>
      <c r="E1436" s="7" t="str">
        <f>IF(B1436="","",IFERROR(INDEX(Reactivos!$H$2:$H$435,MATCH(B1436,Reactivos!$A$2:$A$435,0)),""))</f>
        <v/>
      </c>
      <c r="F1436" s="8"/>
      <c r="G1436" s="8"/>
      <c r="H1436" s="13"/>
    </row>
    <row r="1437" spans="1:8" x14ac:dyDescent="0.3">
      <c r="A1437" s="11"/>
      <c r="B1437" s="8"/>
      <c r="C1437" s="7" t="str">
        <f>IF(B1437="","",IFERROR(INDEX(Reactivos!$D$2:$D$435,MATCH(B1437,Reactivos!$A$2:$A$435,0)),"ID no existe"))</f>
        <v/>
      </c>
      <c r="D1437" s="8"/>
      <c r="E1437" s="7" t="str">
        <f>IF(B1437="","",IFERROR(INDEX(Reactivos!$H$2:$H$435,MATCH(B1437,Reactivos!$A$2:$A$435,0)),""))</f>
        <v/>
      </c>
      <c r="F1437" s="8"/>
      <c r="G1437" s="8"/>
      <c r="H1437" s="13"/>
    </row>
    <row r="1438" spans="1:8" x14ac:dyDescent="0.3">
      <c r="A1438" s="11"/>
      <c r="B1438" s="8"/>
      <c r="C1438" s="7" t="str">
        <f>IF(B1438="","",IFERROR(INDEX(Reactivos!$D$2:$D$435,MATCH(B1438,Reactivos!$A$2:$A$435,0)),"ID no existe"))</f>
        <v/>
      </c>
      <c r="D1438" s="8"/>
      <c r="E1438" s="7" t="str">
        <f>IF(B1438="","",IFERROR(INDEX(Reactivos!$H$2:$H$435,MATCH(B1438,Reactivos!$A$2:$A$435,0)),""))</f>
        <v/>
      </c>
      <c r="F1438" s="8"/>
      <c r="G1438" s="8"/>
      <c r="H1438" s="13"/>
    </row>
    <row r="1439" spans="1:8" x14ac:dyDescent="0.3">
      <c r="A1439" s="11"/>
      <c r="B1439" s="8"/>
      <c r="C1439" s="7" t="str">
        <f>IF(B1439="","",IFERROR(INDEX(Reactivos!$D$2:$D$435,MATCH(B1439,Reactivos!$A$2:$A$435,0)),"ID no existe"))</f>
        <v/>
      </c>
      <c r="D1439" s="8"/>
      <c r="E1439" s="7" t="str">
        <f>IF(B1439="","",IFERROR(INDEX(Reactivos!$H$2:$H$435,MATCH(B1439,Reactivos!$A$2:$A$435,0)),""))</f>
        <v/>
      </c>
      <c r="F1439" s="8"/>
      <c r="G1439" s="8"/>
      <c r="H1439" s="13"/>
    </row>
    <row r="1440" spans="1:8" x14ac:dyDescent="0.3">
      <c r="A1440" s="11"/>
      <c r="B1440" s="8"/>
      <c r="C1440" s="7" t="str">
        <f>IF(B1440="","",IFERROR(INDEX(Reactivos!$D$2:$D$435,MATCH(B1440,Reactivos!$A$2:$A$435,0)),"ID no existe"))</f>
        <v/>
      </c>
      <c r="D1440" s="8"/>
      <c r="E1440" s="7" t="str">
        <f>IF(B1440="","",IFERROR(INDEX(Reactivos!$H$2:$H$435,MATCH(B1440,Reactivos!$A$2:$A$435,0)),""))</f>
        <v/>
      </c>
      <c r="F1440" s="8"/>
      <c r="G1440" s="8"/>
      <c r="H1440" s="13"/>
    </row>
    <row r="1441" spans="1:8" x14ac:dyDescent="0.3">
      <c r="A1441" s="11"/>
      <c r="B1441" s="8"/>
      <c r="C1441" s="7" t="str">
        <f>IF(B1441="","",IFERROR(INDEX(Reactivos!$D$2:$D$435,MATCH(B1441,Reactivos!$A$2:$A$435,0)),"ID no existe"))</f>
        <v/>
      </c>
      <c r="D1441" s="8"/>
      <c r="E1441" s="7" t="str">
        <f>IF(B1441="","",IFERROR(INDEX(Reactivos!$H$2:$H$435,MATCH(B1441,Reactivos!$A$2:$A$435,0)),""))</f>
        <v/>
      </c>
      <c r="F1441" s="8"/>
      <c r="G1441" s="8"/>
      <c r="H1441" s="13"/>
    </row>
    <row r="1442" spans="1:8" x14ac:dyDescent="0.3">
      <c r="A1442" s="11"/>
      <c r="B1442" s="8"/>
      <c r="C1442" s="7" t="str">
        <f>IF(B1442="","",IFERROR(INDEX(Reactivos!$D$2:$D$435,MATCH(B1442,Reactivos!$A$2:$A$435,0)),"ID no existe"))</f>
        <v/>
      </c>
      <c r="D1442" s="8"/>
      <c r="E1442" s="7" t="str">
        <f>IF(B1442="","",IFERROR(INDEX(Reactivos!$H$2:$H$435,MATCH(B1442,Reactivos!$A$2:$A$435,0)),""))</f>
        <v/>
      </c>
      <c r="F1442" s="8"/>
      <c r="G1442" s="8"/>
      <c r="H1442" s="13"/>
    </row>
    <row r="1443" spans="1:8" x14ac:dyDescent="0.3">
      <c r="A1443" s="11"/>
      <c r="B1443" s="8"/>
      <c r="C1443" s="7" t="str">
        <f>IF(B1443="","",IFERROR(INDEX(Reactivos!$D$2:$D$435,MATCH(B1443,Reactivos!$A$2:$A$435,0)),"ID no existe"))</f>
        <v/>
      </c>
      <c r="D1443" s="8"/>
      <c r="E1443" s="7" t="str">
        <f>IF(B1443="","",IFERROR(INDEX(Reactivos!$H$2:$H$435,MATCH(B1443,Reactivos!$A$2:$A$435,0)),""))</f>
        <v/>
      </c>
      <c r="F1443" s="8"/>
      <c r="G1443" s="8"/>
      <c r="H1443" s="13"/>
    </row>
    <row r="1444" spans="1:8" x14ac:dyDescent="0.3">
      <c r="A1444" s="11"/>
      <c r="B1444" s="8"/>
      <c r="C1444" s="7" t="str">
        <f>IF(B1444="","",IFERROR(INDEX(Reactivos!$D$2:$D$435,MATCH(B1444,Reactivos!$A$2:$A$435,0)),"ID no existe"))</f>
        <v/>
      </c>
      <c r="D1444" s="8"/>
      <c r="E1444" s="7" t="str">
        <f>IF(B1444="","",IFERROR(INDEX(Reactivos!$H$2:$H$435,MATCH(B1444,Reactivos!$A$2:$A$435,0)),""))</f>
        <v/>
      </c>
      <c r="F1444" s="8"/>
      <c r="G1444" s="8"/>
      <c r="H1444" s="13"/>
    </row>
    <row r="1445" spans="1:8" x14ac:dyDescent="0.3">
      <c r="A1445" s="11"/>
      <c r="B1445" s="8"/>
      <c r="C1445" s="7" t="str">
        <f>IF(B1445="","",IFERROR(INDEX(Reactivos!$D$2:$D$435,MATCH(B1445,Reactivos!$A$2:$A$435,0)),"ID no existe"))</f>
        <v/>
      </c>
      <c r="D1445" s="8"/>
      <c r="E1445" s="7" t="str">
        <f>IF(B1445="","",IFERROR(INDEX(Reactivos!$H$2:$H$435,MATCH(B1445,Reactivos!$A$2:$A$435,0)),""))</f>
        <v/>
      </c>
      <c r="F1445" s="8"/>
      <c r="G1445" s="8"/>
      <c r="H1445" s="13"/>
    </row>
    <row r="1446" spans="1:8" x14ac:dyDescent="0.3">
      <c r="A1446" s="11"/>
      <c r="B1446" s="8"/>
      <c r="C1446" s="7" t="str">
        <f>IF(B1446="","",IFERROR(INDEX(Reactivos!$D$2:$D$435,MATCH(B1446,Reactivos!$A$2:$A$435,0)),"ID no existe"))</f>
        <v/>
      </c>
      <c r="D1446" s="8"/>
      <c r="E1446" s="7" t="str">
        <f>IF(B1446="","",IFERROR(INDEX(Reactivos!$H$2:$H$435,MATCH(B1446,Reactivos!$A$2:$A$435,0)),""))</f>
        <v/>
      </c>
      <c r="F1446" s="8"/>
      <c r="G1446" s="8"/>
      <c r="H1446" s="13"/>
    </row>
    <row r="1447" spans="1:8" x14ac:dyDescent="0.3">
      <c r="A1447" s="11"/>
      <c r="B1447" s="8"/>
      <c r="C1447" s="7" t="str">
        <f>IF(B1447="","",IFERROR(INDEX(Reactivos!$D$2:$D$435,MATCH(B1447,Reactivos!$A$2:$A$435,0)),"ID no existe"))</f>
        <v/>
      </c>
      <c r="D1447" s="8"/>
      <c r="E1447" s="7" t="str">
        <f>IF(B1447="","",IFERROR(INDEX(Reactivos!$H$2:$H$435,MATCH(B1447,Reactivos!$A$2:$A$435,0)),""))</f>
        <v/>
      </c>
      <c r="F1447" s="8"/>
      <c r="G1447" s="8"/>
      <c r="H1447" s="13"/>
    </row>
    <row r="1448" spans="1:8" x14ac:dyDescent="0.3">
      <c r="A1448" s="11"/>
      <c r="B1448" s="8"/>
      <c r="C1448" s="7" t="str">
        <f>IF(B1448="","",IFERROR(INDEX(Reactivos!$D$2:$D$435,MATCH(B1448,Reactivos!$A$2:$A$435,0)),"ID no existe"))</f>
        <v/>
      </c>
      <c r="D1448" s="8"/>
      <c r="E1448" s="7" t="str">
        <f>IF(B1448="","",IFERROR(INDEX(Reactivos!$H$2:$H$435,MATCH(B1448,Reactivos!$A$2:$A$435,0)),""))</f>
        <v/>
      </c>
      <c r="F1448" s="8"/>
      <c r="G1448" s="8"/>
      <c r="H1448" s="13"/>
    </row>
    <row r="1449" spans="1:8" x14ac:dyDescent="0.3">
      <c r="A1449" s="11"/>
      <c r="B1449" s="8"/>
      <c r="C1449" s="7" t="str">
        <f>IF(B1449="","",IFERROR(INDEX(Reactivos!$D$2:$D$435,MATCH(B1449,Reactivos!$A$2:$A$435,0)),"ID no existe"))</f>
        <v/>
      </c>
      <c r="D1449" s="8"/>
      <c r="E1449" s="7" t="str">
        <f>IF(B1449="","",IFERROR(INDEX(Reactivos!$H$2:$H$435,MATCH(B1449,Reactivos!$A$2:$A$435,0)),""))</f>
        <v/>
      </c>
      <c r="F1449" s="8"/>
      <c r="G1449" s="8"/>
      <c r="H1449" s="13"/>
    </row>
    <row r="1450" spans="1:8" x14ac:dyDescent="0.3">
      <c r="A1450" s="11"/>
      <c r="B1450" s="8"/>
      <c r="C1450" s="7" t="str">
        <f>IF(B1450="","",IFERROR(INDEX(Reactivos!$D$2:$D$435,MATCH(B1450,Reactivos!$A$2:$A$435,0)),"ID no existe"))</f>
        <v/>
      </c>
      <c r="D1450" s="8"/>
      <c r="E1450" s="7" t="str">
        <f>IF(B1450="","",IFERROR(INDEX(Reactivos!$H$2:$H$435,MATCH(B1450,Reactivos!$A$2:$A$435,0)),""))</f>
        <v/>
      </c>
      <c r="F1450" s="8"/>
      <c r="G1450" s="8"/>
      <c r="H1450" s="13"/>
    </row>
    <row r="1451" spans="1:8" x14ac:dyDescent="0.3">
      <c r="A1451" s="11"/>
      <c r="B1451" s="8"/>
      <c r="C1451" s="7" t="str">
        <f>IF(B1451="","",IFERROR(INDEX(Reactivos!$D$2:$D$435,MATCH(B1451,Reactivos!$A$2:$A$435,0)),"ID no existe"))</f>
        <v/>
      </c>
      <c r="D1451" s="8"/>
      <c r="E1451" s="7" t="str">
        <f>IF(B1451="","",IFERROR(INDEX(Reactivos!$H$2:$H$435,MATCH(B1451,Reactivos!$A$2:$A$435,0)),""))</f>
        <v/>
      </c>
      <c r="F1451" s="8"/>
      <c r="G1451" s="8"/>
      <c r="H1451" s="13"/>
    </row>
    <row r="1452" spans="1:8" x14ac:dyDescent="0.3">
      <c r="A1452" s="11"/>
      <c r="B1452" s="8"/>
      <c r="C1452" s="7" t="str">
        <f>IF(B1452="","",IFERROR(INDEX(Reactivos!$D$2:$D$435,MATCH(B1452,Reactivos!$A$2:$A$435,0)),"ID no existe"))</f>
        <v/>
      </c>
      <c r="D1452" s="8"/>
      <c r="E1452" s="7" t="str">
        <f>IF(B1452="","",IFERROR(INDEX(Reactivos!$H$2:$H$435,MATCH(B1452,Reactivos!$A$2:$A$435,0)),""))</f>
        <v/>
      </c>
      <c r="F1452" s="8"/>
      <c r="G1452" s="8"/>
      <c r="H1452" s="13"/>
    </row>
    <row r="1453" spans="1:8" x14ac:dyDescent="0.3">
      <c r="A1453" s="11"/>
      <c r="B1453" s="8"/>
      <c r="C1453" s="7" t="str">
        <f>IF(B1453="","",IFERROR(INDEX(Reactivos!$D$2:$D$435,MATCH(B1453,Reactivos!$A$2:$A$435,0)),"ID no existe"))</f>
        <v/>
      </c>
      <c r="D1453" s="8"/>
      <c r="E1453" s="7" t="str">
        <f>IF(B1453="","",IFERROR(INDEX(Reactivos!$H$2:$H$435,MATCH(B1453,Reactivos!$A$2:$A$435,0)),""))</f>
        <v/>
      </c>
      <c r="F1453" s="8"/>
      <c r="G1453" s="8"/>
      <c r="H1453" s="13"/>
    </row>
    <row r="1454" spans="1:8" x14ac:dyDescent="0.3">
      <c r="A1454" s="11"/>
      <c r="B1454" s="8"/>
      <c r="C1454" s="7" t="str">
        <f>IF(B1454="","",IFERROR(INDEX(Reactivos!$D$2:$D$435,MATCH(B1454,Reactivos!$A$2:$A$435,0)),"ID no existe"))</f>
        <v/>
      </c>
      <c r="D1454" s="8"/>
      <c r="E1454" s="7" t="str">
        <f>IF(B1454="","",IFERROR(INDEX(Reactivos!$H$2:$H$435,MATCH(B1454,Reactivos!$A$2:$A$435,0)),""))</f>
        <v/>
      </c>
      <c r="F1454" s="8"/>
      <c r="G1454" s="8"/>
      <c r="H1454" s="13"/>
    </row>
    <row r="1455" spans="1:8" x14ac:dyDescent="0.3">
      <c r="A1455" s="11"/>
      <c r="B1455" s="8"/>
      <c r="C1455" s="7" t="str">
        <f>IF(B1455="","",IFERROR(INDEX(Reactivos!$D$2:$D$435,MATCH(B1455,Reactivos!$A$2:$A$435,0)),"ID no existe"))</f>
        <v/>
      </c>
      <c r="D1455" s="8"/>
      <c r="E1455" s="7" t="str">
        <f>IF(B1455="","",IFERROR(INDEX(Reactivos!$H$2:$H$435,MATCH(B1455,Reactivos!$A$2:$A$435,0)),""))</f>
        <v/>
      </c>
      <c r="F1455" s="8"/>
      <c r="G1455" s="8"/>
      <c r="H1455" s="13"/>
    </row>
    <row r="1456" spans="1:8" x14ac:dyDescent="0.3">
      <c r="A1456" s="11"/>
      <c r="B1456" s="8"/>
      <c r="C1456" s="7" t="str">
        <f>IF(B1456="","",IFERROR(INDEX(Reactivos!$D$2:$D$435,MATCH(B1456,Reactivos!$A$2:$A$435,0)),"ID no existe"))</f>
        <v/>
      </c>
      <c r="D1456" s="8"/>
      <c r="E1456" s="7" t="str">
        <f>IF(B1456="","",IFERROR(INDEX(Reactivos!$H$2:$H$435,MATCH(B1456,Reactivos!$A$2:$A$435,0)),""))</f>
        <v/>
      </c>
      <c r="F1456" s="8"/>
      <c r="G1456" s="8"/>
      <c r="H1456" s="13"/>
    </row>
    <row r="1457" spans="1:8" x14ac:dyDescent="0.3">
      <c r="A1457" s="11"/>
      <c r="B1457" s="8"/>
      <c r="C1457" s="7" t="str">
        <f>IF(B1457="","",IFERROR(INDEX(Reactivos!$D$2:$D$435,MATCH(B1457,Reactivos!$A$2:$A$435,0)),"ID no existe"))</f>
        <v/>
      </c>
      <c r="D1457" s="8"/>
      <c r="E1457" s="7" t="str">
        <f>IF(B1457="","",IFERROR(INDEX(Reactivos!$H$2:$H$435,MATCH(B1457,Reactivos!$A$2:$A$435,0)),""))</f>
        <v/>
      </c>
      <c r="F1457" s="8"/>
      <c r="G1457" s="8"/>
      <c r="H1457" s="13"/>
    </row>
    <row r="1458" spans="1:8" x14ac:dyDescent="0.3">
      <c r="A1458" s="11"/>
      <c r="B1458" s="8"/>
      <c r="C1458" s="7" t="str">
        <f>IF(B1458="","",IFERROR(INDEX(Reactivos!$D$2:$D$435,MATCH(B1458,Reactivos!$A$2:$A$435,0)),"ID no existe"))</f>
        <v/>
      </c>
      <c r="D1458" s="8"/>
      <c r="E1458" s="7" t="str">
        <f>IF(B1458="","",IFERROR(INDEX(Reactivos!$H$2:$H$435,MATCH(B1458,Reactivos!$A$2:$A$435,0)),""))</f>
        <v/>
      </c>
      <c r="F1458" s="8"/>
      <c r="G1458" s="8"/>
      <c r="H1458" s="13"/>
    </row>
    <row r="1459" spans="1:8" x14ac:dyDescent="0.3">
      <c r="A1459" s="11"/>
      <c r="B1459" s="8"/>
      <c r="C1459" s="7" t="str">
        <f>IF(B1459="","",IFERROR(INDEX(Reactivos!$D$2:$D$435,MATCH(B1459,Reactivos!$A$2:$A$435,0)),"ID no existe"))</f>
        <v/>
      </c>
      <c r="D1459" s="8"/>
      <c r="E1459" s="7" t="str">
        <f>IF(B1459="","",IFERROR(INDEX(Reactivos!$H$2:$H$435,MATCH(B1459,Reactivos!$A$2:$A$435,0)),""))</f>
        <v/>
      </c>
      <c r="F1459" s="8"/>
      <c r="G1459" s="8"/>
      <c r="H1459" s="13"/>
    </row>
    <row r="1460" spans="1:8" x14ac:dyDescent="0.3">
      <c r="A1460" s="11"/>
      <c r="B1460" s="8"/>
      <c r="C1460" s="7" t="str">
        <f>IF(B1460="","",IFERROR(INDEX(Reactivos!$D$2:$D$435,MATCH(B1460,Reactivos!$A$2:$A$435,0)),"ID no existe"))</f>
        <v/>
      </c>
      <c r="D1460" s="8"/>
      <c r="E1460" s="7" t="str">
        <f>IF(B1460="","",IFERROR(INDEX(Reactivos!$H$2:$H$435,MATCH(B1460,Reactivos!$A$2:$A$435,0)),""))</f>
        <v/>
      </c>
      <c r="F1460" s="8"/>
      <c r="G1460" s="8"/>
      <c r="H1460" s="13"/>
    </row>
    <row r="1461" spans="1:8" x14ac:dyDescent="0.3">
      <c r="A1461" s="11"/>
      <c r="B1461" s="8"/>
      <c r="C1461" s="7" t="str">
        <f>IF(B1461="","",IFERROR(INDEX(Reactivos!$D$2:$D$435,MATCH(B1461,Reactivos!$A$2:$A$435,0)),"ID no existe"))</f>
        <v/>
      </c>
      <c r="D1461" s="8"/>
      <c r="E1461" s="7" t="str">
        <f>IF(B1461="","",IFERROR(INDEX(Reactivos!$H$2:$H$435,MATCH(B1461,Reactivos!$A$2:$A$435,0)),""))</f>
        <v/>
      </c>
      <c r="F1461" s="8"/>
      <c r="G1461" s="8"/>
      <c r="H1461" s="13"/>
    </row>
    <row r="1462" spans="1:8" x14ac:dyDescent="0.3">
      <c r="A1462" s="11"/>
      <c r="B1462" s="8"/>
      <c r="C1462" s="7" t="str">
        <f>IF(B1462="","",IFERROR(INDEX(Reactivos!$D$2:$D$435,MATCH(B1462,Reactivos!$A$2:$A$435,0)),"ID no existe"))</f>
        <v/>
      </c>
      <c r="D1462" s="8"/>
      <c r="E1462" s="7" t="str">
        <f>IF(B1462="","",IFERROR(INDEX(Reactivos!$H$2:$H$435,MATCH(B1462,Reactivos!$A$2:$A$435,0)),""))</f>
        <v/>
      </c>
      <c r="F1462" s="8"/>
      <c r="G1462" s="8"/>
      <c r="H1462" s="13"/>
    </row>
    <row r="1463" spans="1:8" x14ac:dyDescent="0.3">
      <c r="A1463" s="11"/>
      <c r="B1463" s="8"/>
      <c r="C1463" s="7" t="str">
        <f>IF(B1463="","",IFERROR(INDEX(Reactivos!$D$2:$D$435,MATCH(B1463,Reactivos!$A$2:$A$435,0)),"ID no existe"))</f>
        <v/>
      </c>
      <c r="D1463" s="8"/>
      <c r="E1463" s="7" t="str">
        <f>IF(B1463="","",IFERROR(INDEX(Reactivos!$H$2:$H$435,MATCH(B1463,Reactivos!$A$2:$A$435,0)),""))</f>
        <v/>
      </c>
      <c r="F1463" s="8"/>
      <c r="G1463" s="8"/>
      <c r="H1463" s="13"/>
    </row>
    <row r="1464" spans="1:8" x14ac:dyDescent="0.3">
      <c r="A1464" s="11"/>
      <c r="B1464" s="8"/>
      <c r="C1464" s="7" t="str">
        <f>IF(B1464="","",IFERROR(INDEX(Reactivos!$D$2:$D$435,MATCH(B1464,Reactivos!$A$2:$A$435,0)),"ID no existe"))</f>
        <v/>
      </c>
      <c r="D1464" s="8"/>
      <c r="E1464" s="7" t="str">
        <f>IF(B1464="","",IFERROR(INDEX(Reactivos!$H$2:$H$435,MATCH(B1464,Reactivos!$A$2:$A$435,0)),""))</f>
        <v/>
      </c>
      <c r="F1464" s="8"/>
      <c r="G1464" s="8"/>
      <c r="H1464" s="13"/>
    </row>
    <row r="1465" spans="1:8" x14ac:dyDescent="0.3">
      <c r="A1465" s="11"/>
      <c r="B1465" s="8"/>
      <c r="C1465" s="7" t="str">
        <f>IF(B1465="","",IFERROR(INDEX(Reactivos!$D$2:$D$435,MATCH(B1465,Reactivos!$A$2:$A$435,0)),"ID no existe"))</f>
        <v/>
      </c>
      <c r="D1465" s="8"/>
      <c r="E1465" s="7" t="str">
        <f>IF(B1465="","",IFERROR(INDEX(Reactivos!$H$2:$H$435,MATCH(B1465,Reactivos!$A$2:$A$435,0)),""))</f>
        <v/>
      </c>
      <c r="F1465" s="8"/>
      <c r="G1465" s="8"/>
      <c r="H1465" s="13"/>
    </row>
    <row r="1466" spans="1:8" x14ac:dyDescent="0.3">
      <c r="A1466" s="11"/>
      <c r="B1466" s="8"/>
      <c r="C1466" s="7" t="str">
        <f>IF(B1466="","",IFERROR(INDEX(Reactivos!$D$2:$D$435,MATCH(B1466,Reactivos!$A$2:$A$435,0)),"ID no existe"))</f>
        <v/>
      </c>
      <c r="D1466" s="8"/>
      <c r="E1466" s="7" t="str">
        <f>IF(B1466="","",IFERROR(INDEX(Reactivos!$H$2:$H$435,MATCH(B1466,Reactivos!$A$2:$A$435,0)),""))</f>
        <v/>
      </c>
      <c r="F1466" s="8"/>
      <c r="G1466" s="8"/>
      <c r="H1466" s="13"/>
    </row>
    <row r="1467" spans="1:8" x14ac:dyDescent="0.3">
      <c r="A1467" s="11"/>
      <c r="B1467" s="8"/>
      <c r="C1467" s="7" t="str">
        <f>IF(B1467="","",IFERROR(INDEX(Reactivos!$D$2:$D$435,MATCH(B1467,Reactivos!$A$2:$A$435,0)),"ID no existe"))</f>
        <v/>
      </c>
      <c r="D1467" s="8"/>
      <c r="E1467" s="7" t="str">
        <f>IF(B1467="","",IFERROR(INDEX(Reactivos!$H$2:$H$435,MATCH(B1467,Reactivos!$A$2:$A$435,0)),""))</f>
        <v/>
      </c>
      <c r="F1467" s="8"/>
      <c r="G1467" s="8"/>
      <c r="H1467" s="13"/>
    </row>
    <row r="1468" spans="1:8" x14ac:dyDescent="0.3">
      <c r="A1468" s="11"/>
      <c r="B1468" s="8"/>
      <c r="C1468" s="7" t="str">
        <f>IF(B1468="","",IFERROR(INDEX(Reactivos!$D$2:$D$435,MATCH(B1468,Reactivos!$A$2:$A$435,0)),"ID no existe"))</f>
        <v/>
      </c>
      <c r="D1468" s="8"/>
      <c r="E1468" s="7" t="str">
        <f>IF(B1468="","",IFERROR(INDEX(Reactivos!$H$2:$H$435,MATCH(B1468,Reactivos!$A$2:$A$435,0)),""))</f>
        <v/>
      </c>
      <c r="F1468" s="8"/>
      <c r="G1468" s="8"/>
      <c r="H1468" s="13"/>
    </row>
    <row r="1469" spans="1:8" x14ac:dyDescent="0.3">
      <c r="A1469" s="11"/>
      <c r="B1469" s="8"/>
      <c r="C1469" s="7" t="str">
        <f>IF(B1469="","",IFERROR(INDEX(Reactivos!$D$2:$D$435,MATCH(B1469,Reactivos!$A$2:$A$435,0)),"ID no existe"))</f>
        <v/>
      </c>
      <c r="D1469" s="8"/>
      <c r="E1469" s="7" t="str">
        <f>IF(B1469="","",IFERROR(INDEX(Reactivos!$H$2:$H$435,MATCH(B1469,Reactivos!$A$2:$A$435,0)),""))</f>
        <v/>
      </c>
      <c r="F1469" s="8"/>
      <c r="G1469" s="8"/>
      <c r="H1469" s="13"/>
    </row>
    <row r="1470" spans="1:8" x14ac:dyDescent="0.3">
      <c r="A1470" s="11"/>
      <c r="B1470" s="8"/>
      <c r="C1470" s="7" t="str">
        <f>IF(B1470="","",IFERROR(INDEX(Reactivos!$D$2:$D$435,MATCH(B1470,Reactivos!$A$2:$A$435,0)),"ID no existe"))</f>
        <v/>
      </c>
      <c r="D1470" s="8"/>
      <c r="E1470" s="7" t="str">
        <f>IF(B1470="","",IFERROR(INDEX(Reactivos!$H$2:$H$435,MATCH(B1470,Reactivos!$A$2:$A$435,0)),""))</f>
        <v/>
      </c>
      <c r="F1470" s="8"/>
      <c r="G1470" s="8"/>
      <c r="H1470" s="13"/>
    </row>
    <row r="1471" spans="1:8" x14ac:dyDescent="0.3">
      <c r="A1471" s="11"/>
      <c r="B1471" s="8"/>
      <c r="C1471" s="7" t="str">
        <f>IF(B1471="","",IFERROR(INDEX(Reactivos!$D$2:$D$435,MATCH(B1471,Reactivos!$A$2:$A$435,0)),"ID no existe"))</f>
        <v/>
      </c>
      <c r="D1471" s="8"/>
      <c r="E1471" s="7" t="str">
        <f>IF(B1471="","",IFERROR(INDEX(Reactivos!$H$2:$H$435,MATCH(B1471,Reactivos!$A$2:$A$435,0)),""))</f>
        <v/>
      </c>
      <c r="F1471" s="8"/>
      <c r="G1471" s="8"/>
      <c r="H1471" s="13"/>
    </row>
    <row r="1472" spans="1:8" x14ac:dyDescent="0.3">
      <c r="A1472" s="11"/>
      <c r="B1472" s="8"/>
      <c r="C1472" s="7" t="str">
        <f>IF(B1472="","",IFERROR(INDEX(Reactivos!$D$2:$D$435,MATCH(B1472,Reactivos!$A$2:$A$435,0)),"ID no existe"))</f>
        <v/>
      </c>
      <c r="D1472" s="8"/>
      <c r="E1472" s="7" t="str">
        <f>IF(B1472="","",IFERROR(INDEX(Reactivos!$H$2:$H$435,MATCH(B1472,Reactivos!$A$2:$A$435,0)),""))</f>
        <v/>
      </c>
      <c r="F1472" s="8"/>
      <c r="G1472" s="8"/>
      <c r="H1472" s="13"/>
    </row>
    <row r="1473" spans="1:8" x14ac:dyDescent="0.3">
      <c r="A1473" s="11"/>
      <c r="B1473" s="8"/>
      <c r="C1473" s="7" t="str">
        <f>IF(B1473="","",IFERROR(INDEX(Reactivos!$D$2:$D$435,MATCH(B1473,Reactivos!$A$2:$A$435,0)),"ID no existe"))</f>
        <v/>
      </c>
      <c r="D1473" s="8"/>
      <c r="E1473" s="7" t="str">
        <f>IF(B1473="","",IFERROR(INDEX(Reactivos!$H$2:$H$435,MATCH(B1473,Reactivos!$A$2:$A$435,0)),""))</f>
        <v/>
      </c>
      <c r="F1473" s="8"/>
      <c r="G1473" s="8"/>
      <c r="H1473" s="13"/>
    </row>
    <row r="1474" spans="1:8" x14ac:dyDescent="0.3">
      <c r="A1474" s="11"/>
      <c r="B1474" s="8"/>
      <c r="C1474" s="7" t="str">
        <f>IF(B1474="","",IFERROR(INDEX(Reactivos!$D$2:$D$435,MATCH(B1474,Reactivos!$A$2:$A$435,0)),"ID no existe"))</f>
        <v/>
      </c>
      <c r="D1474" s="8"/>
      <c r="E1474" s="7" t="str">
        <f>IF(B1474="","",IFERROR(INDEX(Reactivos!$H$2:$H$435,MATCH(B1474,Reactivos!$A$2:$A$435,0)),""))</f>
        <v/>
      </c>
      <c r="F1474" s="8"/>
      <c r="G1474" s="8"/>
      <c r="H1474" s="13"/>
    </row>
    <row r="1475" spans="1:8" x14ac:dyDescent="0.3">
      <c r="A1475" s="11"/>
      <c r="B1475" s="8"/>
      <c r="C1475" s="7" t="str">
        <f>IF(B1475="","",IFERROR(INDEX(Reactivos!$D$2:$D$435,MATCH(B1475,Reactivos!$A$2:$A$435,0)),"ID no existe"))</f>
        <v/>
      </c>
      <c r="D1475" s="8"/>
      <c r="E1475" s="7" t="str">
        <f>IF(B1475="","",IFERROR(INDEX(Reactivos!$H$2:$H$435,MATCH(B1475,Reactivos!$A$2:$A$435,0)),""))</f>
        <v/>
      </c>
      <c r="F1475" s="8"/>
      <c r="G1475" s="8"/>
      <c r="H1475" s="13"/>
    </row>
    <row r="1476" spans="1:8" x14ac:dyDescent="0.3">
      <c r="A1476" s="11"/>
      <c r="B1476" s="8"/>
      <c r="C1476" s="7" t="str">
        <f>IF(B1476="","",IFERROR(INDEX(Reactivos!$D$2:$D$435,MATCH(B1476,Reactivos!$A$2:$A$435,0)),"ID no existe"))</f>
        <v/>
      </c>
      <c r="D1476" s="8"/>
      <c r="E1476" s="7" t="str">
        <f>IF(B1476="","",IFERROR(INDEX(Reactivos!$H$2:$H$435,MATCH(B1476,Reactivos!$A$2:$A$435,0)),""))</f>
        <v/>
      </c>
      <c r="F1476" s="8"/>
      <c r="G1476" s="8"/>
      <c r="H1476" s="13"/>
    </row>
    <row r="1477" spans="1:8" x14ac:dyDescent="0.3">
      <c r="A1477" s="11"/>
      <c r="B1477" s="8"/>
      <c r="C1477" s="7" t="str">
        <f>IF(B1477="","",IFERROR(INDEX(Reactivos!$D$2:$D$435,MATCH(B1477,Reactivos!$A$2:$A$435,0)),"ID no existe"))</f>
        <v/>
      </c>
      <c r="D1477" s="8"/>
      <c r="E1477" s="7" t="str">
        <f>IF(B1477="","",IFERROR(INDEX(Reactivos!$H$2:$H$435,MATCH(B1477,Reactivos!$A$2:$A$435,0)),""))</f>
        <v/>
      </c>
      <c r="F1477" s="8"/>
      <c r="G1477" s="8"/>
      <c r="H1477" s="13"/>
    </row>
    <row r="1478" spans="1:8" x14ac:dyDescent="0.3">
      <c r="A1478" s="11"/>
      <c r="B1478" s="8"/>
      <c r="C1478" s="7" t="str">
        <f>IF(B1478="","",IFERROR(INDEX(Reactivos!$D$2:$D$435,MATCH(B1478,Reactivos!$A$2:$A$435,0)),"ID no existe"))</f>
        <v/>
      </c>
      <c r="D1478" s="8"/>
      <c r="E1478" s="7" t="str">
        <f>IF(B1478="","",IFERROR(INDEX(Reactivos!$H$2:$H$435,MATCH(B1478,Reactivos!$A$2:$A$435,0)),""))</f>
        <v/>
      </c>
      <c r="F1478" s="8"/>
      <c r="G1478" s="8"/>
      <c r="H1478" s="13"/>
    </row>
    <row r="1479" spans="1:8" x14ac:dyDescent="0.3">
      <c r="A1479" s="11"/>
      <c r="B1479" s="8"/>
      <c r="C1479" s="7" t="str">
        <f>IF(B1479="","",IFERROR(INDEX(Reactivos!$D$2:$D$435,MATCH(B1479,Reactivos!$A$2:$A$435,0)),"ID no existe"))</f>
        <v/>
      </c>
      <c r="D1479" s="8"/>
      <c r="E1479" s="7" t="str">
        <f>IF(B1479="","",IFERROR(INDEX(Reactivos!$H$2:$H$435,MATCH(B1479,Reactivos!$A$2:$A$435,0)),""))</f>
        <v/>
      </c>
      <c r="F1479" s="8"/>
      <c r="G1479" s="8"/>
      <c r="H1479" s="13"/>
    </row>
    <row r="1480" spans="1:8" x14ac:dyDescent="0.3">
      <c r="A1480" s="11"/>
      <c r="B1480" s="8"/>
      <c r="C1480" s="7" t="str">
        <f>IF(B1480="","",IFERROR(INDEX(Reactivos!$D$2:$D$435,MATCH(B1480,Reactivos!$A$2:$A$435,0)),"ID no existe"))</f>
        <v/>
      </c>
      <c r="D1480" s="8"/>
      <c r="E1480" s="7" t="str">
        <f>IF(B1480="","",IFERROR(INDEX(Reactivos!$H$2:$H$435,MATCH(B1480,Reactivos!$A$2:$A$435,0)),""))</f>
        <v/>
      </c>
      <c r="F1480" s="8"/>
      <c r="G1480" s="8"/>
      <c r="H1480" s="13"/>
    </row>
    <row r="1481" spans="1:8" x14ac:dyDescent="0.3">
      <c r="A1481" s="11"/>
      <c r="B1481" s="8"/>
      <c r="C1481" s="7" t="str">
        <f>IF(B1481="","",IFERROR(INDEX(Reactivos!$D$2:$D$435,MATCH(B1481,Reactivos!$A$2:$A$435,0)),"ID no existe"))</f>
        <v/>
      </c>
      <c r="D1481" s="8"/>
      <c r="E1481" s="7" t="str">
        <f>IF(B1481="","",IFERROR(INDEX(Reactivos!$H$2:$H$435,MATCH(B1481,Reactivos!$A$2:$A$435,0)),""))</f>
        <v/>
      </c>
      <c r="F1481" s="8"/>
      <c r="G1481" s="8"/>
      <c r="H1481" s="13"/>
    </row>
    <row r="1482" spans="1:8" x14ac:dyDescent="0.3">
      <c r="A1482" s="11"/>
      <c r="B1482" s="8"/>
      <c r="C1482" s="7" t="str">
        <f>IF(B1482="","",IFERROR(INDEX(Reactivos!$D$2:$D$435,MATCH(B1482,Reactivos!$A$2:$A$435,0)),"ID no existe"))</f>
        <v/>
      </c>
      <c r="D1482" s="8"/>
      <c r="E1482" s="7" t="str">
        <f>IF(B1482="","",IFERROR(INDEX(Reactivos!$H$2:$H$435,MATCH(B1482,Reactivos!$A$2:$A$435,0)),""))</f>
        <v/>
      </c>
      <c r="F1482" s="8"/>
      <c r="G1482" s="8"/>
      <c r="H1482" s="13"/>
    </row>
    <row r="1483" spans="1:8" x14ac:dyDescent="0.3">
      <c r="A1483" s="11"/>
      <c r="B1483" s="8"/>
      <c r="C1483" s="7" t="str">
        <f>IF(B1483="","",IFERROR(INDEX(Reactivos!$D$2:$D$435,MATCH(B1483,Reactivos!$A$2:$A$435,0)),"ID no existe"))</f>
        <v/>
      </c>
      <c r="D1483" s="8"/>
      <c r="E1483" s="7" t="str">
        <f>IF(B1483="","",IFERROR(INDEX(Reactivos!$H$2:$H$435,MATCH(B1483,Reactivos!$A$2:$A$435,0)),""))</f>
        <v/>
      </c>
      <c r="F1483" s="8"/>
      <c r="G1483" s="8"/>
      <c r="H1483" s="13"/>
    </row>
    <row r="1484" spans="1:8" x14ac:dyDescent="0.3">
      <c r="A1484" s="11"/>
      <c r="B1484" s="8"/>
      <c r="C1484" s="7" t="str">
        <f>IF(B1484="","",IFERROR(INDEX(Reactivos!$D$2:$D$435,MATCH(B1484,Reactivos!$A$2:$A$435,0)),"ID no existe"))</f>
        <v/>
      </c>
      <c r="D1484" s="8"/>
      <c r="E1484" s="7" t="str">
        <f>IF(B1484="","",IFERROR(INDEX(Reactivos!$H$2:$H$435,MATCH(B1484,Reactivos!$A$2:$A$435,0)),""))</f>
        <v/>
      </c>
      <c r="F1484" s="8"/>
      <c r="G1484" s="8"/>
      <c r="H1484" s="13"/>
    </row>
    <row r="1485" spans="1:8" x14ac:dyDescent="0.3">
      <c r="A1485" s="11"/>
      <c r="B1485" s="8"/>
      <c r="C1485" s="7" t="str">
        <f>IF(B1485="","",IFERROR(INDEX(Reactivos!$D$2:$D$435,MATCH(B1485,Reactivos!$A$2:$A$435,0)),"ID no existe"))</f>
        <v/>
      </c>
      <c r="D1485" s="8"/>
      <c r="E1485" s="7" t="str">
        <f>IF(B1485="","",IFERROR(INDEX(Reactivos!$H$2:$H$435,MATCH(B1485,Reactivos!$A$2:$A$435,0)),""))</f>
        <v/>
      </c>
      <c r="F1485" s="8"/>
      <c r="G1485" s="8"/>
      <c r="H1485" s="13"/>
    </row>
    <row r="1486" spans="1:8" x14ac:dyDescent="0.3">
      <c r="A1486" s="11"/>
      <c r="B1486" s="8"/>
      <c r="C1486" s="7" t="str">
        <f>IF(B1486="","",IFERROR(INDEX(Reactivos!$D$2:$D$435,MATCH(B1486,Reactivos!$A$2:$A$435,0)),"ID no existe"))</f>
        <v/>
      </c>
      <c r="D1486" s="8"/>
      <c r="E1486" s="7" t="str">
        <f>IF(B1486="","",IFERROR(INDEX(Reactivos!$H$2:$H$435,MATCH(B1486,Reactivos!$A$2:$A$435,0)),""))</f>
        <v/>
      </c>
      <c r="F1486" s="8"/>
      <c r="G1486" s="8"/>
      <c r="H1486" s="13"/>
    </row>
    <row r="1487" spans="1:8" x14ac:dyDescent="0.3">
      <c r="A1487" s="11"/>
      <c r="B1487" s="8"/>
      <c r="C1487" s="7" t="str">
        <f>IF(B1487="","",IFERROR(INDEX(Reactivos!$D$2:$D$435,MATCH(B1487,Reactivos!$A$2:$A$435,0)),"ID no existe"))</f>
        <v/>
      </c>
      <c r="D1487" s="8"/>
      <c r="E1487" s="7" t="str">
        <f>IF(B1487="","",IFERROR(INDEX(Reactivos!$H$2:$H$435,MATCH(B1487,Reactivos!$A$2:$A$435,0)),""))</f>
        <v/>
      </c>
      <c r="F1487" s="8"/>
      <c r="G1487" s="8"/>
      <c r="H1487" s="13"/>
    </row>
    <row r="1488" spans="1:8" x14ac:dyDescent="0.3">
      <c r="A1488" s="11"/>
      <c r="B1488" s="8"/>
      <c r="C1488" s="7" t="str">
        <f>IF(B1488="","",IFERROR(INDEX(Reactivos!$D$2:$D$435,MATCH(B1488,Reactivos!$A$2:$A$435,0)),"ID no existe"))</f>
        <v/>
      </c>
      <c r="D1488" s="8"/>
      <c r="E1488" s="7" t="str">
        <f>IF(B1488="","",IFERROR(INDEX(Reactivos!$H$2:$H$435,MATCH(B1488,Reactivos!$A$2:$A$435,0)),""))</f>
        <v/>
      </c>
      <c r="F1488" s="8"/>
      <c r="G1488" s="8"/>
      <c r="H1488" s="13"/>
    </row>
    <row r="1489" spans="1:8" x14ac:dyDescent="0.3">
      <c r="A1489" s="11"/>
      <c r="B1489" s="8"/>
      <c r="C1489" s="7" t="str">
        <f>IF(B1489="","",IFERROR(INDEX(Reactivos!$D$2:$D$435,MATCH(B1489,Reactivos!$A$2:$A$435,0)),"ID no existe"))</f>
        <v/>
      </c>
      <c r="D1489" s="8"/>
      <c r="E1489" s="7" t="str">
        <f>IF(B1489="","",IFERROR(INDEX(Reactivos!$H$2:$H$435,MATCH(B1489,Reactivos!$A$2:$A$435,0)),""))</f>
        <v/>
      </c>
      <c r="F1489" s="8"/>
      <c r="G1489" s="8"/>
      <c r="H1489" s="13"/>
    </row>
    <row r="1490" spans="1:8" x14ac:dyDescent="0.3">
      <c r="A1490" s="11"/>
      <c r="B1490" s="8"/>
      <c r="C1490" s="7" t="str">
        <f>IF(B1490="","",IFERROR(INDEX(Reactivos!$D$2:$D$435,MATCH(B1490,Reactivos!$A$2:$A$435,0)),"ID no existe"))</f>
        <v/>
      </c>
      <c r="D1490" s="8"/>
      <c r="E1490" s="7" t="str">
        <f>IF(B1490="","",IFERROR(INDEX(Reactivos!$H$2:$H$435,MATCH(B1490,Reactivos!$A$2:$A$435,0)),""))</f>
        <v/>
      </c>
      <c r="F1490" s="8"/>
      <c r="G1490" s="8"/>
      <c r="H1490" s="13"/>
    </row>
    <row r="1491" spans="1:8" x14ac:dyDescent="0.3">
      <c r="A1491" s="11"/>
      <c r="B1491" s="8"/>
      <c r="C1491" s="7" t="str">
        <f>IF(B1491="","",IFERROR(INDEX(Reactivos!$D$2:$D$435,MATCH(B1491,Reactivos!$A$2:$A$435,0)),"ID no existe"))</f>
        <v/>
      </c>
      <c r="D1491" s="8"/>
      <c r="E1491" s="7" t="str">
        <f>IF(B1491="","",IFERROR(INDEX(Reactivos!$H$2:$H$435,MATCH(B1491,Reactivos!$A$2:$A$435,0)),""))</f>
        <v/>
      </c>
      <c r="F1491" s="8"/>
      <c r="G1491" s="8"/>
      <c r="H1491" s="13"/>
    </row>
    <row r="1492" spans="1:8" x14ac:dyDescent="0.3">
      <c r="A1492" s="11"/>
      <c r="B1492" s="8"/>
      <c r="C1492" s="7" t="str">
        <f>IF(B1492="","",IFERROR(INDEX(Reactivos!$D$2:$D$435,MATCH(B1492,Reactivos!$A$2:$A$435,0)),"ID no existe"))</f>
        <v/>
      </c>
      <c r="D1492" s="8"/>
      <c r="E1492" s="7" t="str">
        <f>IF(B1492="","",IFERROR(INDEX(Reactivos!$H$2:$H$435,MATCH(B1492,Reactivos!$A$2:$A$435,0)),""))</f>
        <v/>
      </c>
      <c r="F1492" s="8"/>
      <c r="G1492" s="8"/>
      <c r="H1492" s="13"/>
    </row>
    <row r="1493" spans="1:8" x14ac:dyDescent="0.3">
      <c r="A1493" s="11"/>
      <c r="B1493" s="8"/>
      <c r="C1493" s="7" t="str">
        <f>IF(B1493="","",IFERROR(INDEX(Reactivos!$D$2:$D$435,MATCH(B1493,Reactivos!$A$2:$A$435,0)),"ID no existe"))</f>
        <v/>
      </c>
      <c r="D1493" s="8"/>
      <c r="E1493" s="7" t="str">
        <f>IF(B1493="","",IFERROR(INDEX(Reactivos!$H$2:$H$435,MATCH(B1493,Reactivos!$A$2:$A$435,0)),""))</f>
        <v/>
      </c>
      <c r="F1493" s="8"/>
      <c r="G1493" s="8"/>
      <c r="H1493" s="13"/>
    </row>
    <row r="1494" spans="1:8" x14ac:dyDescent="0.3">
      <c r="A1494" s="11"/>
      <c r="B1494" s="8"/>
      <c r="C1494" s="7" t="str">
        <f>IF(B1494="","",IFERROR(INDEX(Reactivos!$D$2:$D$435,MATCH(B1494,Reactivos!$A$2:$A$435,0)),"ID no existe"))</f>
        <v/>
      </c>
      <c r="D1494" s="8"/>
      <c r="E1494" s="7" t="str">
        <f>IF(B1494="","",IFERROR(INDEX(Reactivos!$H$2:$H$435,MATCH(B1494,Reactivos!$A$2:$A$435,0)),""))</f>
        <v/>
      </c>
      <c r="F1494" s="8"/>
      <c r="G1494" s="8"/>
      <c r="H1494" s="13"/>
    </row>
    <row r="1495" spans="1:8" x14ac:dyDescent="0.3">
      <c r="A1495" s="11"/>
      <c r="B1495" s="8"/>
      <c r="C1495" s="7" t="str">
        <f>IF(B1495="","",IFERROR(INDEX(Reactivos!$D$2:$D$435,MATCH(B1495,Reactivos!$A$2:$A$435,0)),"ID no existe"))</f>
        <v/>
      </c>
      <c r="D1495" s="8"/>
      <c r="E1495" s="7" t="str">
        <f>IF(B1495="","",IFERROR(INDEX(Reactivos!$H$2:$H$435,MATCH(B1495,Reactivos!$A$2:$A$435,0)),""))</f>
        <v/>
      </c>
      <c r="F1495" s="8"/>
      <c r="G1495" s="8"/>
      <c r="H1495" s="13"/>
    </row>
    <row r="1496" spans="1:8" x14ac:dyDescent="0.3">
      <c r="A1496" s="11"/>
      <c r="B1496" s="8"/>
      <c r="C1496" s="7" t="str">
        <f>IF(B1496="","",IFERROR(INDEX(Reactivos!$D$2:$D$435,MATCH(B1496,Reactivos!$A$2:$A$435,0)),"ID no existe"))</f>
        <v/>
      </c>
      <c r="D1496" s="8"/>
      <c r="E1496" s="7" t="str">
        <f>IF(B1496="","",IFERROR(INDEX(Reactivos!$H$2:$H$435,MATCH(B1496,Reactivos!$A$2:$A$435,0)),""))</f>
        <v/>
      </c>
      <c r="F1496" s="8"/>
      <c r="G1496" s="8"/>
      <c r="H1496" s="13"/>
    </row>
    <row r="1497" spans="1:8" x14ac:dyDescent="0.3">
      <c r="A1497" s="11"/>
      <c r="B1497" s="8"/>
      <c r="C1497" s="7" t="str">
        <f>IF(B1497="","",IFERROR(INDEX(Reactivos!$D$2:$D$435,MATCH(B1497,Reactivos!$A$2:$A$435,0)),"ID no existe"))</f>
        <v/>
      </c>
      <c r="D1497" s="8"/>
      <c r="E1497" s="7" t="str">
        <f>IF(B1497="","",IFERROR(INDEX(Reactivos!$H$2:$H$435,MATCH(B1497,Reactivos!$A$2:$A$435,0)),""))</f>
        <v/>
      </c>
      <c r="F1497" s="8"/>
      <c r="G1497" s="8"/>
      <c r="H1497" s="13"/>
    </row>
    <row r="1498" spans="1:8" x14ac:dyDescent="0.3">
      <c r="A1498" s="11"/>
      <c r="B1498" s="8"/>
      <c r="C1498" s="7" t="str">
        <f>IF(B1498="","",IFERROR(INDEX(Reactivos!$D$2:$D$435,MATCH(B1498,Reactivos!$A$2:$A$435,0)),"ID no existe"))</f>
        <v/>
      </c>
      <c r="D1498" s="8"/>
      <c r="E1498" s="7" t="str">
        <f>IF(B1498="","",IFERROR(INDEX(Reactivos!$H$2:$H$435,MATCH(B1498,Reactivos!$A$2:$A$435,0)),""))</f>
        <v/>
      </c>
      <c r="F1498" s="8"/>
      <c r="G1498" s="8"/>
      <c r="H1498" s="13"/>
    </row>
    <row r="1499" spans="1:8" x14ac:dyDescent="0.3">
      <c r="A1499" s="11"/>
      <c r="B1499" s="8"/>
      <c r="C1499" s="7" t="str">
        <f>IF(B1499="","",IFERROR(INDEX(Reactivos!$D$2:$D$435,MATCH(B1499,Reactivos!$A$2:$A$435,0)),"ID no existe"))</f>
        <v/>
      </c>
      <c r="D1499" s="8"/>
      <c r="E1499" s="7" t="str">
        <f>IF(B1499="","",IFERROR(INDEX(Reactivos!$H$2:$H$435,MATCH(B1499,Reactivos!$A$2:$A$435,0)),""))</f>
        <v/>
      </c>
      <c r="F1499" s="8"/>
      <c r="G1499" s="8"/>
      <c r="H1499" s="13"/>
    </row>
    <row r="1500" spans="1:8" x14ac:dyDescent="0.3">
      <c r="A1500" s="11"/>
      <c r="B1500" s="8"/>
      <c r="C1500" s="7" t="str">
        <f>IF(B1500="","",IFERROR(INDEX(Reactivos!$D$2:$D$435,MATCH(B1500,Reactivos!$A$2:$A$435,0)),"ID no existe"))</f>
        <v/>
      </c>
      <c r="D1500" s="8"/>
      <c r="E1500" s="7" t="str">
        <f>IF(B1500="","",IFERROR(INDEX(Reactivos!$H$2:$H$435,MATCH(B1500,Reactivos!$A$2:$A$435,0)),""))</f>
        <v/>
      </c>
      <c r="F1500" s="8"/>
      <c r="G1500" s="8"/>
      <c r="H1500" s="13"/>
    </row>
    <row r="1501" spans="1:8" x14ac:dyDescent="0.3">
      <c r="A1501" s="11"/>
      <c r="B1501" s="8"/>
      <c r="C1501" s="7" t="str">
        <f>IF(B1501="","",IFERROR(INDEX(Reactivos!$D$2:$D$435,MATCH(B1501,Reactivos!$A$2:$A$435,0)),"ID no existe"))</f>
        <v/>
      </c>
      <c r="D1501" s="8"/>
      <c r="E1501" s="7" t="str">
        <f>IF(B1501="","",IFERROR(INDEX(Reactivos!$H$2:$H$435,MATCH(B1501,Reactivos!$A$2:$A$435,0)),""))</f>
        <v/>
      </c>
      <c r="F1501" s="8"/>
      <c r="G1501" s="8"/>
      <c r="H1501" s="13"/>
    </row>
    <row r="1502" spans="1:8" x14ac:dyDescent="0.3">
      <c r="A1502" s="11"/>
      <c r="B1502" s="8"/>
      <c r="C1502" s="7" t="str">
        <f>IF(B1502="","",IFERROR(INDEX(Reactivos!$D$2:$D$435,MATCH(B1502,Reactivos!$A$2:$A$435,0)),"ID no existe"))</f>
        <v/>
      </c>
      <c r="D1502" s="8"/>
      <c r="E1502" s="7" t="str">
        <f>IF(B1502="","",IFERROR(INDEX(Reactivos!$H$2:$H$435,MATCH(B1502,Reactivos!$A$2:$A$435,0)),""))</f>
        <v/>
      </c>
      <c r="F1502" s="8"/>
      <c r="G1502" s="8"/>
      <c r="H1502" s="13"/>
    </row>
    <row r="1503" spans="1:8" x14ac:dyDescent="0.3">
      <c r="A1503" s="11"/>
      <c r="B1503" s="8"/>
      <c r="C1503" s="7" t="str">
        <f>IF(B1503="","",IFERROR(INDEX(Reactivos!$D$2:$D$435,MATCH(B1503,Reactivos!$A$2:$A$435,0)),"ID no existe"))</f>
        <v/>
      </c>
      <c r="D1503" s="8"/>
      <c r="E1503" s="7" t="str">
        <f>IF(B1503="","",IFERROR(INDEX(Reactivos!$H$2:$H$435,MATCH(B1503,Reactivos!$A$2:$A$435,0)),""))</f>
        <v/>
      </c>
      <c r="F1503" s="8"/>
      <c r="G1503" s="8"/>
      <c r="H1503" s="13"/>
    </row>
    <row r="1504" spans="1:8" x14ac:dyDescent="0.3">
      <c r="A1504" s="11"/>
      <c r="B1504" s="8"/>
      <c r="C1504" s="7" t="str">
        <f>IF(B1504="","",IFERROR(INDEX(Reactivos!$D$2:$D$435,MATCH(B1504,Reactivos!$A$2:$A$435,0)),"ID no existe"))</f>
        <v/>
      </c>
      <c r="D1504" s="8"/>
      <c r="E1504" s="7" t="str">
        <f>IF(B1504="","",IFERROR(INDEX(Reactivos!$H$2:$H$435,MATCH(B1504,Reactivos!$A$2:$A$435,0)),""))</f>
        <v/>
      </c>
      <c r="F1504" s="8"/>
      <c r="G1504" s="8"/>
      <c r="H1504" s="13"/>
    </row>
    <row r="1505" spans="1:8" x14ac:dyDescent="0.3">
      <c r="A1505" s="11"/>
      <c r="B1505" s="8"/>
      <c r="C1505" s="7" t="str">
        <f>IF(B1505="","",IFERROR(INDEX(Reactivos!$D$2:$D$435,MATCH(B1505,Reactivos!$A$2:$A$435,0)),"ID no existe"))</f>
        <v/>
      </c>
      <c r="D1505" s="8"/>
      <c r="E1505" s="7" t="str">
        <f>IF(B1505="","",IFERROR(INDEX(Reactivos!$H$2:$H$435,MATCH(B1505,Reactivos!$A$2:$A$435,0)),""))</f>
        <v/>
      </c>
      <c r="F1505" s="8"/>
      <c r="G1505" s="8"/>
      <c r="H1505" s="13"/>
    </row>
    <row r="1506" spans="1:8" x14ac:dyDescent="0.3">
      <c r="A1506" s="11"/>
      <c r="B1506" s="8"/>
      <c r="C1506" s="7" t="str">
        <f>IF(B1506="","",IFERROR(INDEX(Reactivos!$D$2:$D$435,MATCH(B1506,Reactivos!$A$2:$A$435,0)),"ID no existe"))</f>
        <v/>
      </c>
      <c r="D1506" s="8"/>
      <c r="E1506" s="7" t="str">
        <f>IF(B1506="","",IFERROR(INDEX(Reactivos!$H$2:$H$435,MATCH(B1506,Reactivos!$A$2:$A$435,0)),""))</f>
        <v/>
      </c>
      <c r="F1506" s="8"/>
      <c r="G1506" s="8"/>
      <c r="H1506" s="13"/>
    </row>
    <row r="1507" spans="1:8" x14ac:dyDescent="0.3">
      <c r="A1507" s="11"/>
      <c r="B1507" s="8"/>
      <c r="C1507" s="7" t="str">
        <f>IF(B1507="","",IFERROR(INDEX(Reactivos!$D$2:$D$435,MATCH(B1507,Reactivos!$A$2:$A$435,0)),"ID no existe"))</f>
        <v/>
      </c>
      <c r="D1507" s="8"/>
      <c r="E1507" s="7" t="str">
        <f>IF(B1507="","",IFERROR(INDEX(Reactivos!$H$2:$H$435,MATCH(B1507,Reactivos!$A$2:$A$435,0)),""))</f>
        <v/>
      </c>
      <c r="F1507" s="8"/>
      <c r="G1507" s="8"/>
      <c r="H1507" s="13"/>
    </row>
    <row r="1508" spans="1:8" x14ac:dyDescent="0.3">
      <c r="A1508" s="11"/>
      <c r="B1508" s="8"/>
      <c r="C1508" s="7" t="str">
        <f>IF(B1508="","",IFERROR(INDEX(Reactivos!$D$2:$D$435,MATCH(B1508,Reactivos!$A$2:$A$435,0)),"ID no existe"))</f>
        <v/>
      </c>
      <c r="D1508" s="8"/>
      <c r="E1508" s="7" t="str">
        <f>IF(B1508="","",IFERROR(INDEX(Reactivos!$H$2:$H$435,MATCH(B1508,Reactivos!$A$2:$A$435,0)),""))</f>
        <v/>
      </c>
      <c r="F1508" s="8"/>
      <c r="G1508" s="8"/>
      <c r="H1508" s="13"/>
    </row>
    <row r="1509" spans="1:8" x14ac:dyDescent="0.3">
      <c r="A1509" s="11"/>
      <c r="B1509" s="8"/>
      <c r="C1509" s="7" t="str">
        <f>IF(B1509="","",IFERROR(INDEX(Reactivos!$D$2:$D$435,MATCH(B1509,Reactivos!$A$2:$A$435,0)),"ID no existe"))</f>
        <v/>
      </c>
      <c r="D1509" s="8"/>
      <c r="E1509" s="7" t="str">
        <f>IF(B1509="","",IFERROR(INDEX(Reactivos!$H$2:$H$435,MATCH(B1509,Reactivos!$A$2:$A$435,0)),""))</f>
        <v/>
      </c>
      <c r="F1509" s="8"/>
      <c r="G1509" s="8"/>
      <c r="H1509" s="13"/>
    </row>
    <row r="1510" spans="1:8" x14ac:dyDescent="0.3">
      <c r="A1510" s="11"/>
      <c r="B1510" s="8"/>
      <c r="C1510" s="7" t="str">
        <f>IF(B1510="","",IFERROR(INDEX(Reactivos!$D$2:$D$435,MATCH(B1510,Reactivos!$A$2:$A$435,0)),"ID no existe"))</f>
        <v/>
      </c>
      <c r="D1510" s="8"/>
      <c r="E1510" s="7" t="str">
        <f>IF(B1510="","",IFERROR(INDEX(Reactivos!$H$2:$H$435,MATCH(B1510,Reactivos!$A$2:$A$435,0)),""))</f>
        <v/>
      </c>
      <c r="F1510" s="8"/>
      <c r="G1510" s="8"/>
      <c r="H1510" s="13"/>
    </row>
    <row r="1511" spans="1:8" x14ac:dyDescent="0.3">
      <c r="A1511" s="11"/>
      <c r="B1511" s="8"/>
      <c r="C1511" s="7" t="str">
        <f>IF(B1511="","",IFERROR(INDEX(Reactivos!$D$2:$D$435,MATCH(B1511,Reactivos!$A$2:$A$435,0)),"ID no existe"))</f>
        <v/>
      </c>
      <c r="D1511" s="8"/>
      <c r="E1511" s="7" t="str">
        <f>IF(B1511="","",IFERROR(INDEX(Reactivos!$H$2:$H$435,MATCH(B1511,Reactivos!$A$2:$A$435,0)),""))</f>
        <v/>
      </c>
      <c r="F1511" s="8"/>
      <c r="G1511" s="8"/>
      <c r="H1511" s="13"/>
    </row>
    <row r="1512" spans="1:8" x14ac:dyDescent="0.3">
      <c r="A1512" s="11"/>
      <c r="B1512" s="8"/>
      <c r="C1512" s="7" t="str">
        <f>IF(B1512="","",IFERROR(INDEX(Reactivos!$D$2:$D$435,MATCH(B1512,Reactivos!$A$2:$A$435,0)),"ID no existe"))</f>
        <v/>
      </c>
      <c r="D1512" s="8"/>
      <c r="E1512" s="7" t="str">
        <f>IF(B1512="","",IFERROR(INDEX(Reactivos!$H$2:$H$435,MATCH(B1512,Reactivos!$A$2:$A$435,0)),""))</f>
        <v/>
      </c>
      <c r="F1512" s="8"/>
      <c r="G1512" s="8"/>
      <c r="H1512" s="13"/>
    </row>
    <row r="1513" spans="1:8" x14ac:dyDescent="0.3">
      <c r="A1513" s="11"/>
      <c r="B1513" s="8"/>
      <c r="C1513" s="7" t="str">
        <f>IF(B1513="","",IFERROR(INDEX(Reactivos!$D$2:$D$435,MATCH(B1513,Reactivos!$A$2:$A$435,0)),"ID no existe"))</f>
        <v/>
      </c>
      <c r="D1513" s="8"/>
      <c r="E1513" s="7" t="str">
        <f>IF(B1513="","",IFERROR(INDEX(Reactivos!$H$2:$H$435,MATCH(B1513,Reactivos!$A$2:$A$435,0)),""))</f>
        <v/>
      </c>
      <c r="F1513" s="8"/>
      <c r="G1513" s="8"/>
      <c r="H1513" s="13"/>
    </row>
    <row r="1514" spans="1:8" x14ac:dyDescent="0.3">
      <c r="A1514" s="11"/>
      <c r="B1514" s="8"/>
      <c r="C1514" s="7" t="str">
        <f>IF(B1514="","",IFERROR(INDEX(Reactivos!$D$2:$D$435,MATCH(B1514,Reactivos!$A$2:$A$435,0)),"ID no existe"))</f>
        <v/>
      </c>
      <c r="D1514" s="8"/>
      <c r="E1514" s="7" t="str">
        <f>IF(B1514="","",IFERROR(INDEX(Reactivos!$H$2:$H$435,MATCH(B1514,Reactivos!$A$2:$A$435,0)),""))</f>
        <v/>
      </c>
      <c r="F1514" s="8"/>
      <c r="G1514" s="8"/>
      <c r="H1514" s="13"/>
    </row>
    <row r="1515" spans="1:8" x14ac:dyDescent="0.3">
      <c r="A1515" s="11"/>
      <c r="B1515" s="8"/>
      <c r="C1515" s="7" t="str">
        <f>IF(B1515="","",IFERROR(INDEX(Reactivos!$D$2:$D$435,MATCH(B1515,Reactivos!$A$2:$A$435,0)),"ID no existe"))</f>
        <v/>
      </c>
      <c r="D1515" s="8"/>
      <c r="E1515" s="7" t="str">
        <f>IF(B1515="","",IFERROR(INDEX(Reactivos!$H$2:$H$435,MATCH(B1515,Reactivos!$A$2:$A$435,0)),""))</f>
        <v/>
      </c>
      <c r="F1515" s="8"/>
      <c r="G1515" s="8"/>
      <c r="H1515" s="13"/>
    </row>
    <row r="1516" spans="1:8" x14ac:dyDescent="0.3">
      <c r="A1516" s="11"/>
      <c r="B1516" s="8"/>
      <c r="C1516" s="7" t="str">
        <f>IF(B1516="","",IFERROR(INDEX(Reactivos!$D$2:$D$435,MATCH(B1516,Reactivos!$A$2:$A$435,0)),"ID no existe"))</f>
        <v/>
      </c>
      <c r="D1516" s="8"/>
      <c r="E1516" s="7" t="str">
        <f>IF(B1516="","",IFERROR(INDEX(Reactivos!$H$2:$H$435,MATCH(B1516,Reactivos!$A$2:$A$435,0)),""))</f>
        <v/>
      </c>
      <c r="F1516" s="8"/>
      <c r="G1516" s="8"/>
      <c r="H1516" s="13"/>
    </row>
    <row r="1517" spans="1:8" x14ac:dyDescent="0.3">
      <c r="A1517" s="11"/>
      <c r="B1517" s="8"/>
      <c r="C1517" s="7" t="str">
        <f>IF(B1517="","",IFERROR(INDEX(Reactivos!$D$2:$D$435,MATCH(B1517,Reactivos!$A$2:$A$435,0)),"ID no existe"))</f>
        <v/>
      </c>
      <c r="D1517" s="8"/>
      <c r="E1517" s="7" t="str">
        <f>IF(B1517="","",IFERROR(INDEX(Reactivos!$H$2:$H$435,MATCH(B1517,Reactivos!$A$2:$A$435,0)),""))</f>
        <v/>
      </c>
      <c r="F1517" s="8"/>
      <c r="G1517" s="8"/>
      <c r="H1517" s="13"/>
    </row>
    <row r="1518" spans="1:8" x14ac:dyDescent="0.3">
      <c r="A1518" s="11"/>
      <c r="B1518" s="8"/>
      <c r="C1518" s="7" t="str">
        <f>IF(B1518="","",IFERROR(INDEX(Reactivos!$D$2:$D$435,MATCH(B1518,Reactivos!$A$2:$A$435,0)),"ID no existe"))</f>
        <v/>
      </c>
      <c r="D1518" s="8"/>
      <c r="E1518" s="7" t="str">
        <f>IF(B1518="","",IFERROR(INDEX(Reactivos!$H$2:$H$435,MATCH(B1518,Reactivos!$A$2:$A$435,0)),""))</f>
        <v/>
      </c>
      <c r="F1518" s="8"/>
      <c r="G1518" s="8"/>
      <c r="H1518" s="13"/>
    </row>
    <row r="1519" spans="1:8" x14ac:dyDescent="0.3">
      <c r="A1519" s="11"/>
      <c r="B1519" s="8"/>
      <c r="C1519" s="7" t="str">
        <f>IF(B1519="","",IFERROR(INDEX(Reactivos!$D$2:$D$435,MATCH(B1519,Reactivos!$A$2:$A$435,0)),"ID no existe"))</f>
        <v/>
      </c>
      <c r="D1519" s="8"/>
      <c r="E1519" s="7" t="str">
        <f>IF(B1519="","",IFERROR(INDEX(Reactivos!$H$2:$H$435,MATCH(B1519,Reactivos!$A$2:$A$435,0)),""))</f>
        <v/>
      </c>
      <c r="F1519" s="8"/>
      <c r="G1519" s="8"/>
      <c r="H1519" s="13"/>
    </row>
    <row r="1520" spans="1:8" x14ac:dyDescent="0.3">
      <c r="A1520" s="11"/>
      <c r="B1520" s="8"/>
      <c r="C1520" s="7" t="str">
        <f>IF(B1520="","",IFERROR(INDEX(Reactivos!$D$2:$D$435,MATCH(B1520,Reactivos!$A$2:$A$435,0)),"ID no existe"))</f>
        <v/>
      </c>
      <c r="D1520" s="8"/>
      <c r="E1520" s="7" t="str">
        <f>IF(B1520="","",IFERROR(INDEX(Reactivos!$H$2:$H$435,MATCH(B1520,Reactivos!$A$2:$A$435,0)),""))</f>
        <v/>
      </c>
      <c r="F1520" s="8"/>
      <c r="G1520" s="8"/>
      <c r="H1520" s="13"/>
    </row>
    <row r="1521" spans="1:8" x14ac:dyDescent="0.3">
      <c r="A1521" s="11"/>
      <c r="B1521" s="8"/>
      <c r="C1521" s="7" t="str">
        <f>IF(B1521="","",IFERROR(INDEX(Reactivos!$D$2:$D$435,MATCH(B1521,Reactivos!$A$2:$A$435,0)),"ID no existe"))</f>
        <v/>
      </c>
      <c r="D1521" s="8"/>
      <c r="E1521" s="7" t="str">
        <f>IF(B1521="","",IFERROR(INDEX(Reactivos!$H$2:$H$435,MATCH(B1521,Reactivos!$A$2:$A$435,0)),""))</f>
        <v/>
      </c>
      <c r="F1521" s="8"/>
      <c r="G1521" s="8"/>
      <c r="H1521" s="13"/>
    </row>
    <row r="1522" spans="1:8" x14ac:dyDescent="0.3">
      <c r="A1522" s="11"/>
      <c r="B1522" s="8"/>
      <c r="C1522" s="7" t="str">
        <f>IF(B1522="","",IFERROR(INDEX(Reactivos!$D$2:$D$435,MATCH(B1522,Reactivos!$A$2:$A$435,0)),"ID no existe"))</f>
        <v/>
      </c>
      <c r="D1522" s="8"/>
      <c r="E1522" s="7" t="str">
        <f>IF(B1522="","",IFERROR(INDEX(Reactivos!$H$2:$H$435,MATCH(B1522,Reactivos!$A$2:$A$435,0)),""))</f>
        <v/>
      </c>
      <c r="F1522" s="8"/>
      <c r="G1522" s="8"/>
      <c r="H1522" s="13"/>
    </row>
    <row r="1523" spans="1:8" x14ac:dyDescent="0.3">
      <c r="A1523" s="11"/>
      <c r="B1523" s="8"/>
      <c r="C1523" s="7" t="str">
        <f>IF(B1523="","",IFERROR(INDEX(Reactivos!$D$2:$D$435,MATCH(B1523,Reactivos!$A$2:$A$435,0)),"ID no existe"))</f>
        <v/>
      </c>
      <c r="D1523" s="8"/>
      <c r="E1523" s="7" t="str">
        <f>IF(B1523="","",IFERROR(INDEX(Reactivos!$H$2:$H$435,MATCH(B1523,Reactivos!$A$2:$A$435,0)),""))</f>
        <v/>
      </c>
      <c r="F1523" s="8"/>
      <c r="G1523" s="8"/>
      <c r="H1523" s="13"/>
    </row>
    <row r="1524" spans="1:8" x14ac:dyDescent="0.3">
      <c r="A1524" s="11"/>
      <c r="B1524" s="8"/>
      <c r="C1524" s="7" t="str">
        <f>IF(B1524="","",IFERROR(INDEX(Reactivos!$D$2:$D$435,MATCH(B1524,Reactivos!$A$2:$A$435,0)),"ID no existe"))</f>
        <v/>
      </c>
      <c r="D1524" s="8"/>
      <c r="E1524" s="7" t="str">
        <f>IF(B1524="","",IFERROR(INDEX(Reactivos!$H$2:$H$435,MATCH(B1524,Reactivos!$A$2:$A$435,0)),""))</f>
        <v/>
      </c>
      <c r="F1524" s="8"/>
      <c r="G1524" s="8"/>
      <c r="H1524" s="13"/>
    </row>
    <row r="1525" spans="1:8" x14ac:dyDescent="0.3">
      <c r="A1525" s="11"/>
      <c r="B1525" s="8"/>
      <c r="C1525" s="7" t="str">
        <f>IF(B1525="","",IFERROR(INDEX(Reactivos!$D$2:$D$435,MATCH(B1525,Reactivos!$A$2:$A$435,0)),"ID no existe"))</f>
        <v/>
      </c>
      <c r="D1525" s="8"/>
      <c r="E1525" s="7" t="str">
        <f>IF(B1525="","",IFERROR(INDEX(Reactivos!$H$2:$H$435,MATCH(B1525,Reactivos!$A$2:$A$435,0)),""))</f>
        <v/>
      </c>
      <c r="F1525" s="8"/>
      <c r="G1525" s="8"/>
      <c r="H1525" s="13"/>
    </row>
    <row r="1526" spans="1:8" x14ac:dyDescent="0.3">
      <c r="A1526" s="11"/>
      <c r="B1526" s="8"/>
      <c r="C1526" s="7" t="str">
        <f>IF(B1526="","",IFERROR(INDEX(Reactivos!$D$2:$D$435,MATCH(B1526,Reactivos!$A$2:$A$435,0)),"ID no existe"))</f>
        <v/>
      </c>
      <c r="D1526" s="8"/>
      <c r="E1526" s="7" t="str">
        <f>IF(B1526="","",IFERROR(INDEX(Reactivos!$H$2:$H$435,MATCH(B1526,Reactivos!$A$2:$A$435,0)),""))</f>
        <v/>
      </c>
      <c r="F1526" s="8"/>
      <c r="G1526" s="8"/>
      <c r="H1526" s="13"/>
    </row>
    <row r="1527" spans="1:8" x14ac:dyDescent="0.3">
      <c r="A1527" s="11"/>
      <c r="B1527" s="8"/>
      <c r="C1527" s="7" t="str">
        <f>IF(B1527="","",IFERROR(INDEX(Reactivos!$D$2:$D$435,MATCH(B1527,Reactivos!$A$2:$A$435,0)),"ID no existe"))</f>
        <v/>
      </c>
      <c r="D1527" s="8"/>
      <c r="E1527" s="7" t="str">
        <f>IF(B1527="","",IFERROR(INDEX(Reactivos!$H$2:$H$435,MATCH(B1527,Reactivos!$A$2:$A$435,0)),""))</f>
        <v/>
      </c>
      <c r="F1527" s="8"/>
      <c r="G1527" s="8"/>
      <c r="H1527" s="13"/>
    </row>
    <row r="1528" spans="1:8" x14ac:dyDescent="0.3">
      <c r="A1528" s="11"/>
      <c r="B1528" s="8"/>
      <c r="C1528" s="7" t="str">
        <f>IF(B1528="","",IFERROR(INDEX(Reactivos!$D$2:$D$435,MATCH(B1528,Reactivos!$A$2:$A$435,0)),"ID no existe"))</f>
        <v/>
      </c>
      <c r="D1528" s="8"/>
      <c r="E1528" s="7" t="str">
        <f>IF(B1528="","",IFERROR(INDEX(Reactivos!$H$2:$H$435,MATCH(B1528,Reactivos!$A$2:$A$435,0)),""))</f>
        <v/>
      </c>
      <c r="F1528" s="8"/>
      <c r="G1528" s="8"/>
      <c r="H1528" s="13"/>
    </row>
    <row r="1529" spans="1:8" x14ac:dyDescent="0.3">
      <c r="A1529" s="11"/>
      <c r="B1529" s="8"/>
      <c r="C1529" s="7" t="str">
        <f>IF(B1529="","",IFERROR(INDEX(Reactivos!$D$2:$D$435,MATCH(B1529,Reactivos!$A$2:$A$435,0)),"ID no existe"))</f>
        <v/>
      </c>
      <c r="D1529" s="8"/>
      <c r="E1529" s="7" t="str">
        <f>IF(B1529="","",IFERROR(INDEX(Reactivos!$H$2:$H$435,MATCH(B1529,Reactivos!$A$2:$A$435,0)),""))</f>
        <v/>
      </c>
      <c r="F1529" s="8"/>
      <c r="G1529" s="8"/>
      <c r="H1529" s="13"/>
    </row>
    <row r="1530" spans="1:8" x14ac:dyDescent="0.3">
      <c r="A1530" s="11"/>
      <c r="B1530" s="8"/>
      <c r="C1530" s="7" t="str">
        <f>IF(B1530="","",IFERROR(INDEX(Reactivos!$D$2:$D$435,MATCH(B1530,Reactivos!$A$2:$A$435,0)),"ID no existe"))</f>
        <v/>
      </c>
      <c r="D1530" s="8"/>
      <c r="E1530" s="7" t="str">
        <f>IF(B1530="","",IFERROR(INDEX(Reactivos!$H$2:$H$435,MATCH(B1530,Reactivos!$A$2:$A$435,0)),""))</f>
        <v/>
      </c>
      <c r="F1530" s="8"/>
      <c r="G1530" s="8"/>
      <c r="H1530" s="13"/>
    </row>
    <row r="1531" spans="1:8" x14ac:dyDescent="0.3">
      <c r="A1531" s="11"/>
      <c r="B1531" s="8"/>
      <c r="C1531" s="7" t="str">
        <f>IF(B1531="","",IFERROR(INDEX(Reactivos!$D$2:$D$435,MATCH(B1531,Reactivos!$A$2:$A$435,0)),"ID no existe"))</f>
        <v/>
      </c>
      <c r="D1531" s="8"/>
      <c r="E1531" s="7" t="str">
        <f>IF(B1531="","",IFERROR(INDEX(Reactivos!$H$2:$H$435,MATCH(B1531,Reactivos!$A$2:$A$435,0)),""))</f>
        <v/>
      </c>
      <c r="F1531" s="8"/>
      <c r="G1531" s="8"/>
      <c r="H1531" s="13"/>
    </row>
    <row r="1532" spans="1:8" x14ac:dyDescent="0.3">
      <c r="A1532" s="11"/>
      <c r="B1532" s="8"/>
      <c r="C1532" s="7" t="str">
        <f>IF(B1532="","",IFERROR(INDEX(Reactivos!$D$2:$D$435,MATCH(B1532,Reactivos!$A$2:$A$435,0)),"ID no existe"))</f>
        <v/>
      </c>
      <c r="D1532" s="8"/>
      <c r="E1532" s="7" t="str">
        <f>IF(B1532="","",IFERROR(INDEX(Reactivos!$H$2:$H$435,MATCH(B1532,Reactivos!$A$2:$A$435,0)),""))</f>
        <v/>
      </c>
      <c r="F1532" s="8"/>
      <c r="G1532" s="8"/>
      <c r="H1532" s="13"/>
    </row>
    <row r="1533" spans="1:8" x14ac:dyDescent="0.3">
      <c r="A1533" s="11"/>
      <c r="B1533" s="8"/>
      <c r="C1533" s="7" t="str">
        <f>IF(B1533="","",IFERROR(INDEX(Reactivos!$D$2:$D$435,MATCH(B1533,Reactivos!$A$2:$A$435,0)),"ID no existe"))</f>
        <v/>
      </c>
      <c r="D1533" s="8"/>
      <c r="E1533" s="7" t="str">
        <f>IF(B1533="","",IFERROR(INDEX(Reactivos!$H$2:$H$435,MATCH(B1533,Reactivos!$A$2:$A$435,0)),""))</f>
        <v/>
      </c>
      <c r="F1533" s="8"/>
      <c r="G1533" s="8"/>
      <c r="H1533" s="13"/>
    </row>
    <row r="1534" spans="1:8" x14ac:dyDescent="0.3">
      <c r="A1534" s="11"/>
      <c r="B1534" s="8"/>
      <c r="C1534" s="7" t="str">
        <f>IF(B1534="","",IFERROR(INDEX(Reactivos!$D$2:$D$435,MATCH(B1534,Reactivos!$A$2:$A$435,0)),"ID no existe"))</f>
        <v/>
      </c>
      <c r="D1534" s="8"/>
      <c r="E1534" s="7" t="str">
        <f>IF(B1534="","",IFERROR(INDEX(Reactivos!$H$2:$H$435,MATCH(B1534,Reactivos!$A$2:$A$435,0)),""))</f>
        <v/>
      </c>
      <c r="F1534" s="8"/>
      <c r="G1534" s="8"/>
      <c r="H1534" s="13"/>
    </row>
    <row r="1535" spans="1:8" x14ac:dyDescent="0.3">
      <c r="A1535" s="11"/>
      <c r="B1535" s="8"/>
      <c r="C1535" s="7" t="str">
        <f>IF(B1535="","",IFERROR(INDEX(Reactivos!$D$2:$D$435,MATCH(B1535,Reactivos!$A$2:$A$435,0)),"ID no existe"))</f>
        <v/>
      </c>
      <c r="D1535" s="8"/>
      <c r="E1535" s="7" t="str">
        <f>IF(B1535="","",IFERROR(INDEX(Reactivos!$H$2:$H$435,MATCH(B1535,Reactivos!$A$2:$A$435,0)),""))</f>
        <v/>
      </c>
      <c r="F1535" s="8"/>
      <c r="G1535" s="8"/>
      <c r="H1535" s="13"/>
    </row>
    <row r="1536" spans="1:8" x14ac:dyDescent="0.3">
      <c r="A1536" s="11"/>
      <c r="B1536" s="8"/>
      <c r="C1536" s="7" t="str">
        <f>IF(B1536="","",IFERROR(INDEX(Reactivos!$D$2:$D$435,MATCH(B1536,Reactivos!$A$2:$A$435,0)),"ID no existe"))</f>
        <v/>
      </c>
      <c r="D1536" s="8"/>
      <c r="E1536" s="7" t="str">
        <f>IF(B1536="","",IFERROR(INDEX(Reactivos!$H$2:$H$435,MATCH(B1536,Reactivos!$A$2:$A$435,0)),""))</f>
        <v/>
      </c>
      <c r="F1536" s="8"/>
      <c r="G1536" s="8"/>
      <c r="H1536" s="13"/>
    </row>
    <row r="1537" spans="1:8" x14ac:dyDescent="0.3">
      <c r="A1537" s="11"/>
      <c r="B1537" s="8"/>
      <c r="C1537" s="7" t="str">
        <f>IF(B1537="","",IFERROR(INDEX(Reactivos!$D$2:$D$435,MATCH(B1537,Reactivos!$A$2:$A$435,0)),"ID no existe"))</f>
        <v/>
      </c>
      <c r="D1537" s="8"/>
      <c r="E1537" s="7" t="str">
        <f>IF(B1537="","",IFERROR(INDEX(Reactivos!$H$2:$H$435,MATCH(B1537,Reactivos!$A$2:$A$435,0)),""))</f>
        <v/>
      </c>
      <c r="F1537" s="8"/>
      <c r="G1537" s="8"/>
      <c r="H1537" s="13"/>
    </row>
    <row r="1538" spans="1:8" x14ac:dyDescent="0.3">
      <c r="A1538" s="11"/>
      <c r="B1538" s="8"/>
      <c r="C1538" s="7" t="str">
        <f>IF(B1538="","",IFERROR(INDEX(Reactivos!$D$2:$D$435,MATCH(B1538,Reactivos!$A$2:$A$435,0)),"ID no existe"))</f>
        <v/>
      </c>
      <c r="D1538" s="8"/>
      <c r="E1538" s="7" t="str">
        <f>IF(B1538="","",IFERROR(INDEX(Reactivos!$H$2:$H$435,MATCH(B1538,Reactivos!$A$2:$A$435,0)),""))</f>
        <v/>
      </c>
      <c r="F1538" s="8"/>
      <c r="G1538" s="8"/>
      <c r="H1538" s="13"/>
    </row>
    <row r="1539" spans="1:8" x14ac:dyDescent="0.3">
      <c r="A1539" s="11"/>
      <c r="B1539" s="8"/>
      <c r="C1539" s="7" t="str">
        <f>IF(B1539="","",IFERROR(INDEX(Reactivos!$D$2:$D$435,MATCH(B1539,Reactivos!$A$2:$A$435,0)),"ID no existe"))</f>
        <v/>
      </c>
      <c r="D1539" s="8"/>
      <c r="E1539" s="7" t="str">
        <f>IF(B1539="","",IFERROR(INDEX(Reactivos!$H$2:$H$435,MATCH(B1539,Reactivos!$A$2:$A$435,0)),""))</f>
        <v/>
      </c>
      <c r="F1539" s="8"/>
      <c r="G1539" s="8"/>
      <c r="H1539" s="13"/>
    </row>
    <row r="1540" spans="1:8" x14ac:dyDescent="0.3">
      <c r="A1540" s="11"/>
      <c r="B1540" s="8"/>
      <c r="C1540" s="7" t="str">
        <f>IF(B1540="","",IFERROR(INDEX(Reactivos!$D$2:$D$435,MATCH(B1540,Reactivos!$A$2:$A$435,0)),"ID no existe"))</f>
        <v/>
      </c>
      <c r="D1540" s="8"/>
      <c r="E1540" s="7" t="str">
        <f>IF(B1540="","",IFERROR(INDEX(Reactivos!$H$2:$H$435,MATCH(B1540,Reactivos!$A$2:$A$435,0)),""))</f>
        <v/>
      </c>
      <c r="F1540" s="8"/>
      <c r="G1540" s="8"/>
      <c r="H1540" s="13"/>
    </row>
    <row r="1541" spans="1:8" x14ac:dyDescent="0.3">
      <c r="A1541" s="11"/>
      <c r="B1541" s="8"/>
      <c r="C1541" s="7" t="str">
        <f>IF(B1541="","",IFERROR(INDEX(Reactivos!$D$2:$D$435,MATCH(B1541,Reactivos!$A$2:$A$435,0)),"ID no existe"))</f>
        <v/>
      </c>
      <c r="D1541" s="8"/>
      <c r="E1541" s="7" t="str">
        <f>IF(B1541="","",IFERROR(INDEX(Reactivos!$H$2:$H$435,MATCH(B1541,Reactivos!$A$2:$A$435,0)),""))</f>
        <v/>
      </c>
      <c r="F1541" s="8"/>
      <c r="G1541" s="8"/>
      <c r="H1541" s="13"/>
    </row>
    <row r="1542" spans="1:8" x14ac:dyDescent="0.3">
      <c r="A1542" s="11"/>
      <c r="B1542" s="8"/>
      <c r="C1542" s="7" t="str">
        <f>IF(B1542="","",IFERROR(INDEX(Reactivos!$D$2:$D$435,MATCH(B1542,Reactivos!$A$2:$A$435,0)),"ID no existe"))</f>
        <v/>
      </c>
      <c r="D1542" s="8"/>
      <c r="E1542" s="7" t="str">
        <f>IF(B1542="","",IFERROR(INDEX(Reactivos!$H$2:$H$435,MATCH(B1542,Reactivos!$A$2:$A$435,0)),""))</f>
        <v/>
      </c>
      <c r="F1542" s="8"/>
      <c r="G1542" s="8"/>
      <c r="H1542" s="13"/>
    </row>
    <row r="1543" spans="1:8" x14ac:dyDescent="0.3">
      <c r="A1543" s="11"/>
      <c r="B1543" s="8"/>
      <c r="C1543" s="7" t="str">
        <f>IF(B1543="","",IFERROR(INDEX(Reactivos!$D$2:$D$435,MATCH(B1543,Reactivos!$A$2:$A$435,0)),"ID no existe"))</f>
        <v/>
      </c>
      <c r="D1543" s="8"/>
      <c r="E1543" s="7" t="str">
        <f>IF(B1543="","",IFERROR(INDEX(Reactivos!$H$2:$H$435,MATCH(B1543,Reactivos!$A$2:$A$435,0)),""))</f>
        <v/>
      </c>
      <c r="F1543" s="8"/>
      <c r="G1543" s="8"/>
      <c r="H1543" s="13"/>
    </row>
    <row r="1544" spans="1:8" x14ac:dyDescent="0.3">
      <c r="A1544" s="11"/>
      <c r="B1544" s="8"/>
      <c r="C1544" s="7" t="str">
        <f>IF(B1544="","",IFERROR(INDEX(Reactivos!$D$2:$D$435,MATCH(B1544,Reactivos!$A$2:$A$435,0)),"ID no existe"))</f>
        <v/>
      </c>
      <c r="D1544" s="8"/>
      <c r="E1544" s="7" t="str">
        <f>IF(B1544="","",IFERROR(INDEX(Reactivos!$H$2:$H$435,MATCH(B1544,Reactivos!$A$2:$A$435,0)),""))</f>
        <v/>
      </c>
      <c r="F1544" s="8"/>
      <c r="G1544" s="8"/>
      <c r="H1544" s="13"/>
    </row>
    <row r="1545" spans="1:8" x14ac:dyDescent="0.3">
      <c r="A1545" s="11"/>
      <c r="B1545" s="8"/>
      <c r="C1545" s="7" t="str">
        <f>IF(B1545="","",IFERROR(INDEX(Reactivos!$D$2:$D$435,MATCH(B1545,Reactivos!$A$2:$A$435,0)),"ID no existe"))</f>
        <v/>
      </c>
      <c r="D1545" s="8"/>
      <c r="E1545" s="7" t="str">
        <f>IF(B1545="","",IFERROR(INDEX(Reactivos!$H$2:$H$435,MATCH(B1545,Reactivos!$A$2:$A$435,0)),""))</f>
        <v/>
      </c>
      <c r="F1545" s="8"/>
      <c r="G1545" s="8"/>
      <c r="H1545" s="13"/>
    </row>
    <row r="1546" spans="1:8" x14ac:dyDescent="0.3">
      <c r="A1546" s="11"/>
      <c r="B1546" s="8"/>
      <c r="C1546" s="7" t="str">
        <f>IF(B1546="","",IFERROR(INDEX(Reactivos!$D$2:$D$435,MATCH(B1546,Reactivos!$A$2:$A$435,0)),"ID no existe"))</f>
        <v/>
      </c>
      <c r="D1546" s="8"/>
      <c r="E1546" s="7" t="str">
        <f>IF(B1546="","",IFERROR(INDEX(Reactivos!$H$2:$H$435,MATCH(B1546,Reactivos!$A$2:$A$435,0)),""))</f>
        <v/>
      </c>
      <c r="F1546" s="8"/>
      <c r="G1546" s="8"/>
      <c r="H1546" s="13"/>
    </row>
    <row r="1547" spans="1:8" x14ac:dyDescent="0.3">
      <c r="A1547" s="11"/>
      <c r="B1547" s="8"/>
      <c r="C1547" s="7" t="str">
        <f>IF(B1547="","",IFERROR(INDEX(Reactivos!$D$2:$D$435,MATCH(B1547,Reactivos!$A$2:$A$435,0)),"ID no existe"))</f>
        <v/>
      </c>
      <c r="D1547" s="8"/>
      <c r="E1547" s="7" t="str">
        <f>IF(B1547="","",IFERROR(INDEX(Reactivos!$H$2:$H$435,MATCH(B1547,Reactivos!$A$2:$A$435,0)),""))</f>
        <v/>
      </c>
      <c r="F1547" s="8"/>
      <c r="G1547" s="8"/>
      <c r="H1547" s="13"/>
    </row>
    <row r="1548" spans="1:8" x14ac:dyDescent="0.3">
      <c r="A1548" s="11"/>
      <c r="B1548" s="8"/>
      <c r="C1548" s="7" t="str">
        <f>IF(B1548="","",IFERROR(INDEX(Reactivos!$D$2:$D$435,MATCH(B1548,Reactivos!$A$2:$A$435,0)),"ID no existe"))</f>
        <v/>
      </c>
      <c r="D1548" s="8"/>
      <c r="E1548" s="7" t="str">
        <f>IF(B1548="","",IFERROR(INDEX(Reactivos!$H$2:$H$435,MATCH(B1548,Reactivos!$A$2:$A$435,0)),""))</f>
        <v/>
      </c>
      <c r="F1548" s="8"/>
      <c r="G1548" s="8"/>
      <c r="H1548" s="13"/>
    </row>
    <row r="1549" spans="1:8" x14ac:dyDescent="0.3">
      <c r="A1549" s="11"/>
      <c r="B1549" s="8"/>
      <c r="C1549" s="7" t="str">
        <f>IF(B1549="","",IFERROR(INDEX(Reactivos!$D$2:$D$435,MATCH(B1549,Reactivos!$A$2:$A$435,0)),"ID no existe"))</f>
        <v/>
      </c>
      <c r="D1549" s="8"/>
      <c r="E1549" s="7" t="str">
        <f>IF(B1549="","",IFERROR(INDEX(Reactivos!$H$2:$H$435,MATCH(B1549,Reactivos!$A$2:$A$435,0)),""))</f>
        <v/>
      </c>
      <c r="F1549" s="8"/>
      <c r="G1549" s="8"/>
      <c r="H1549" s="13"/>
    </row>
    <row r="1550" spans="1:8" x14ac:dyDescent="0.3">
      <c r="A1550" s="11"/>
      <c r="B1550" s="8"/>
      <c r="C1550" s="7" t="str">
        <f>IF(B1550="","",IFERROR(INDEX(Reactivos!$D$2:$D$435,MATCH(B1550,Reactivos!$A$2:$A$435,0)),"ID no existe"))</f>
        <v/>
      </c>
      <c r="D1550" s="8"/>
      <c r="E1550" s="7" t="str">
        <f>IF(B1550="","",IFERROR(INDEX(Reactivos!$H$2:$H$435,MATCH(B1550,Reactivos!$A$2:$A$435,0)),""))</f>
        <v/>
      </c>
      <c r="F1550" s="8"/>
      <c r="G1550" s="8"/>
      <c r="H1550" s="13"/>
    </row>
    <row r="1551" spans="1:8" x14ac:dyDescent="0.3">
      <c r="A1551" s="11"/>
      <c r="B1551" s="8"/>
      <c r="C1551" s="7" t="str">
        <f>IF(B1551="","",IFERROR(INDEX(Reactivos!$D$2:$D$435,MATCH(B1551,Reactivos!$A$2:$A$435,0)),"ID no existe"))</f>
        <v/>
      </c>
      <c r="D1551" s="8"/>
      <c r="E1551" s="7" t="str">
        <f>IF(B1551="","",IFERROR(INDEX(Reactivos!$H$2:$H$435,MATCH(B1551,Reactivos!$A$2:$A$435,0)),""))</f>
        <v/>
      </c>
      <c r="F1551" s="8"/>
      <c r="G1551" s="8"/>
      <c r="H1551" s="13"/>
    </row>
    <row r="1552" spans="1:8" x14ac:dyDescent="0.3">
      <c r="A1552" s="11"/>
      <c r="B1552" s="8"/>
      <c r="C1552" s="7" t="str">
        <f>IF(B1552="","",IFERROR(INDEX(Reactivos!$D$2:$D$435,MATCH(B1552,Reactivos!$A$2:$A$435,0)),"ID no existe"))</f>
        <v/>
      </c>
      <c r="D1552" s="8"/>
      <c r="E1552" s="7" t="str">
        <f>IF(B1552="","",IFERROR(INDEX(Reactivos!$H$2:$H$435,MATCH(B1552,Reactivos!$A$2:$A$435,0)),""))</f>
        <v/>
      </c>
      <c r="F1552" s="8"/>
      <c r="G1552" s="8"/>
      <c r="H1552" s="13"/>
    </row>
    <row r="1553" spans="1:8" x14ac:dyDescent="0.3">
      <c r="A1553" s="11"/>
      <c r="B1553" s="8"/>
      <c r="C1553" s="7" t="str">
        <f>IF(B1553="","",IFERROR(INDEX(Reactivos!$D$2:$D$435,MATCH(B1553,Reactivos!$A$2:$A$435,0)),"ID no existe"))</f>
        <v/>
      </c>
      <c r="D1553" s="8"/>
      <c r="E1553" s="7" t="str">
        <f>IF(B1553="","",IFERROR(INDEX(Reactivos!$H$2:$H$435,MATCH(B1553,Reactivos!$A$2:$A$435,0)),""))</f>
        <v/>
      </c>
      <c r="F1553" s="8"/>
      <c r="G1553" s="8"/>
      <c r="H1553" s="13"/>
    </row>
    <row r="1554" spans="1:8" x14ac:dyDescent="0.3">
      <c r="A1554" s="11"/>
      <c r="B1554" s="8"/>
      <c r="C1554" s="7" t="str">
        <f>IF(B1554="","",IFERROR(INDEX(Reactivos!$D$2:$D$435,MATCH(B1554,Reactivos!$A$2:$A$435,0)),"ID no existe"))</f>
        <v/>
      </c>
      <c r="D1554" s="8"/>
      <c r="E1554" s="7" t="str">
        <f>IF(B1554="","",IFERROR(INDEX(Reactivos!$H$2:$H$435,MATCH(B1554,Reactivos!$A$2:$A$435,0)),""))</f>
        <v/>
      </c>
      <c r="F1554" s="8"/>
      <c r="G1554" s="8"/>
      <c r="H1554" s="13"/>
    </row>
    <row r="1555" spans="1:8" x14ac:dyDescent="0.3">
      <c r="A1555" s="11"/>
      <c r="B1555" s="8"/>
      <c r="C1555" s="7" t="str">
        <f>IF(B1555="","",IFERROR(INDEX(Reactivos!$D$2:$D$435,MATCH(B1555,Reactivos!$A$2:$A$435,0)),"ID no existe"))</f>
        <v/>
      </c>
      <c r="D1555" s="8"/>
      <c r="E1555" s="7" t="str">
        <f>IF(B1555="","",IFERROR(INDEX(Reactivos!$H$2:$H$435,MATCH(B1555,Reactivos!$A$2:$A$435,0)),""))</f>
        <v/>
      </c>
      <c r="F1555" s="8"/>
      <c r="G1555" s="8"/>
      <c r="H1555" s="13"/>
    </row>
    <row r="1556" spans="1:8" x14ac:dyDescent="0.3">
      <c r="A1556" s="11"/>
      <c r="B1556" s="8"/>
      <c r="C1556" s="7" t="str">
        <f>IF(B1556="","",IFERROR(INDEX(Reactivos!$D$2:$D$435,MATCH(B1556,Reactivos!$A$2:$A$435,0)),"ID no existe"))</f>
        <v/>
      </c>
      <c r="D1556" s="8"/>
      <c r="E1556" s="7" t="str">
        <f>IF(B1556="","",IFERROR(INDEX(Reactivos!$H$2:$H$435,MATCH(B1556,Reactivos!$A$2:$A$435,0)),""))</f>
        <v/>
      </c>
      <c r="F1556" s="8"/>
      <c r="G1556" s="8"/>
      <c r="H1556" s="13"/>
    </row>
    <row r="1557" spans="1:8" x14ac:dyDescent="0.3">
      <c r="A1557" s="11"/>
      <c r="B1557" s="8"/>
      <c r="C1557" s="7" t="str">
        <f>IF(B1557="","",IFERROR(INDEX(Reactivos!$D$2:$D$435,MATCH(B1557,Reactivos!$A$2:$A$435,0)),"ID no existe"))</f>
        <v/>
      </c>
      <c r="D1557" s="8"/>
      <c r="E1557" s="7" t="str">
        <f>IF(B1557="","",IFERROR(INDEX(Reactivos!$H$2:$H$435,MATCH(B1557,Reactivos!$A$2:$A$435,0)),""))</f>
        <v/>
      </c>
      <c r="F1557" s="8"/>
      <c r="G1557" s="8"/>
      <c r="H1557" s="13"/>
    </row>
    <row r="1558" spans="1:8" x14ac:dyDescent="0.3">
      <c r="A1558" s="11"/>
      <c r="B1558" s="8"/>
      <c r="C1558" s="7" t="str">
        <f>IF(B1558="","",IFERROR(INDEX(Reactivos!$D$2:$D$435,MATCH(B1558,Reactivos!$A$2:$A$435,0)),"ID no existe"))</f>
        <v/>
      </c>
      <c r="D1558" s="8"/>
      <c r="E1558" s="7" t="str">
        <f>IF(B1558="","",IFERROR(INDEX(Reactivos!$H$2:$H$435,MATCH(B1558,Reactivos!$A$2:$A$435,0)),""))</f>
        <v/>
      </c>
      <c r="F1558" s="8"/>
      <c r="G1558" s="8"/>
      <c r="H1558" s="13"/>
    </row>
    <row r="1559" spans="1:8" x14ac:dyDescent="0.3">
      <c r="A1559" s="11"/>
      <c r="B1559" s="8"/>
      <c r="C1559" s="7" t="str">
        <f>IF(B1559="","",IFERROR(INDEX(Reactivos!$D$2:$D$435,MATCH(B1559,Reactivos!$A$2:$A$435,0)),"ID no existe"))</f>
        <v/>
      </c>
      <c r="D1559" s="8"/>
      <c r="E1559" s="7" t="str">
        <f>IF(B1559="","",IFERROR(INDEX(Reactivos!$H$2:$H$435,MATCH(B1559,Reactivos!$A$2:$A$435,0)),""))</f>
        <v/>
      </c>
      <c r="F1559" s="8"/>
      <c r="G1559" s="8"/>
      <c r="H1559" s="13"/>
    </row>
    <row r="1560" spans="1:8" x14ac:dyDescent="0.3">
      <c r="A1560" s="11"/>
      <c r="B1560" s="8"/>
      <c r="C1560" s="7" t="str">
        <f>IF(B1560="","",IFERROR(INDEX(Reactivos!$D$2:$D$435,MATCH(B1560,Reactivos!$A$2:$A$435,0)),"ID no existe"))</f>
        <v/>
      </c>
      <c r="D1560" s="8"/>
      <c r="E1560" s="7" t="str">
        <f>IF(B1560="","",IFERROR(INDEX(Reactivos!$H$2:$H$435,MATCH(B1560,Reactivos!$A$2:$A$435,0)),""))</f>
        <v/>
      </c>
      <c r="F1560" s="8"/>
      <c r="G1560" s="8"/>
      <c r="H1560" s="13"/>
    </row>
    <row r="1561" spans="1:8" x14ac:dyDescent="0.3">
      <c r="A1561" s="11"/>
      <c r="B1561" s="8"/>
      <c r="C1561" s="7" t="str">
        <f>IF(B1561="","",IFERROR(INDEX(Reactivos!$D$2:$D$435,MATCH(B1561,Reactivos!$A$2:$A$435,0)),"ID no existe"))</f>
        <v/>
      </c>
      <c r="D1561" s="8"/>
      <c r="E1561" s="7" t="str">
        <f>IF(B1561="","",IFERROR(INDEX(Reactivos!$H$2:$H$435,MATCH(B1561,Reactivos!$A$2:$A$435,0)),""))</f>
        <v/>
      </c>
      <c r="F1561" s="8"/>
      <c r="G1561" s="8"/>
      <c r="H1561" s="13"/>
    </row>
    <row r="1562" spans="1:8" x14ac:dyDescent="0.3">
      <c r="A1562" s="11"/>
      <c r="B1562" s="8"/>
      <c r="C1562" s="7" t="str">
        <f>IF(B1562="","",IFERROR(INDEX(Reactivos!$D$2:$D$435,MATCH(B1562,Reactivos!$A$2:$A$435,0)),"ID no existe"))</f>
        <v/>
      </c>
      <c r="D1562" s="8"/>
      <c r="E1562" s="7" t="str">
        <f>IF(B1562="","",IFERROR(INDEX(Reactivos!$H$2:$H$435,MATCH(B1562,Reactivos!$A$2:$A$435,0)),""))</f>
        <v/>
      </c>
      <c r="F1562" s="8"/>
      <c r="G1562" s="8"/>
      <c r="H1562" s="13"/>
    </row>
    <row r="1563" spans="1:8" x14ac:dyDescent="0.3">
      <c r="A1563" s="11"/>
      <c r="B1563" s="8"/>
      <c r="C1563" s="7" t="str">
        <f>IF(B1563="","",IFERROR(INDEX(Reactivos!$D$2:$D$435,MATCH(B1563,Reactivos!$A$2:$A$435,0)),"ID no existe"))</f>
        <v/>
      </c>
      <c r="D1563" s="8"/>
      <c r="E1563" s="7" t="str">
        <f>IF(B1563="","",IFERROR(INDEX(Reactivos!$H$2:$H$435,MATCH(B1563,Reactivos!$A$2:$A$435,0)),""))</f>
        <v/>
      </c>
      <c r="F1563" s="8"/>
      <c r="G1563" s="8"/>
      <c r="H1563" s="13"/>
    </row>
    <row r="1564" spans="1:8" x14ac:dyDescent="0.3">
      <c r="A1564" s="11"/>
      <c r="B1564" s="8"/>
      <c r="C1564" s="7" t="str">
        <f>IF(B1564="","",IFERROR(INDEX(Reactivos!$D$2:$D$435,MATCH(B1564,Reactivos!$A$2:$A$435,0)),"ID no existe"))</f>
        <v/>
      </c>
      <c r="D1564" s="8"/>
      <c r="E1564" s="7" t="str">
        <f>IF(B1564="","",IFERROR(INDEX(Reactivos!$H$2:$H$435,MATCH(B1564,Reactivos!$A$2:$A$435,0)),""))</f>
        <v/>
      </c>
      <c r="F1564" s="8"/>
      <c r="G1564" s="8"/>
      <c r="H1564" s="13"/>
    </row>
    <row r="1565" spans="1:8" x14ac:dyDescent="0.3">
      <c r="A1565" s="11"/>
      <c r="B1565" s="8"/>
      <c r="C1565" s="7" t="str">
        <f>IF(B1565="","",IFERROR(INDEX(Reactivos!$D$2:$D$435,MATCH(B1565,Reactivos!$A$2:$A$435,0)),"ID no existe"))</f>
        <v/>
      </c>
      <c r="D1565" s="8"/>
      <c r="E1565" s="7" t="str">
        <f>IF(B1565="","",IFERROR(INDEX(Reactivos!$H$2:$H$435,MATCH(B1565,Reactivos!$A$2:$A$435,0)),""))</f>
        <v/>
      </c>
      <c r="F1565" s="8"/>
      <c r="G1565" s="8"/>
      <c r="H1565" s="13"/>
    </row>
    <row r="1566" spans="1:8" x14ac:dyDescent="0.3">
      <c r="A1566" s="11"/>
      <c r="B1566" s="8"/>
      <c r="C1566" s="7" t="str">
        <f>IF(B1566="","",IFERROR(INDEX(Reactivos!$D$2:$D$435,MATCH(B1566,Reactivos!$A$2:$A$435,0)),"ID no existe"))</f>
        <v/>
      </c>
      <c r="D1566" s="8"/>
      <c r="E1566" s="7" t="str">
        <f>IF(B1566="","",IFERROR(INDEX(Reactivos!$H$2:$H$435,MATCH(B1566,Reactivos!$A$2:$A$435,0)),""))</f>
        <v/>
      </c>
      <c r="F1566" s="8"/>
      <c r="G1566" s="8"/>
      <c r="H1566" s="13"/>
    </row>
    <row r="1567" spans="1:8" x14ac:dyDescent="0.3">
      <c r="A1567" s="11"/>
      <c r="B1567" s="8"/>
      <c r="C1567" s="7" t="str">
        <f>IF(B1567="","",IFERROR(INDEX(Reactivos!$D$2:$D$435,MATCH(B1567,Reactivos!$A$2:$A$435,0)),"ID no existe"))</f>
        <v/>
      </c>
      <c r="D1567" s="8"/>
      <c r="E1567" s="7" t="str">
        <f>IF(B1567="","",IFERROR(INDEX(Reactivos!$H$2:$H$435,MATCH(B1567,Reactivos!$A$2:$A$435,0)),""))</f>
        <v/>
      </c>
      <c r="F1567" s="8"/>
      <c r="G1567" s="8"/>
      <c r="H1567" s="13"/>
    </row>
    <row r="1568" spans="1:8" x14ac:dyDescent="0.3">
      <c r="A1568" s="11"/>
      <c r="B1568" s="8"/>
      <c r="C1568" s="7" t="str">
        <f>IF(B1568="","",IFERROR(INDEX(Reactivos!$D$2:$D$435,MATCH(B1568,Reactivos!$A$2:$A$435,0)),"ID no existe"))</f>
        <v/>
      </c>
      <c r="D1568" s="8"/>
      <c r="E1568" s="7" t="str">
        <f>IF(B1568="","",IFERROR(INDEX(Reactivos!$H$2:$H$435,MATCH(B1568,Reactivos!$A$2:$A$435,0)),""))</f>
        <v/>
      </c>
      <c r="F1568" s="8"/>
      <c r="G1568" s="8"/>
      <c r="H1568" s="13"/>
    </row>
    <row r="1569" spans="1:8" x14ac:dyDescent="0.3">
      <c r="A1569" s="11"/>
      <c r="B1569" s="8"/>
      <c r="C1569" s="7" t="str">
        <f>IF(B1569="","",IFERROR(INDEX(Reactivos!$D$2:$D$435,MATCH(B1569,Reactivos!$A$2:$A$435,0)),"ID no existe"))</f>
        <v/>
      </c>
      <c r="D1569" s="8"/>
      <c r="E1569" s="7" t="str">
        <f>IF(B1569="","",IFERROR(INDEX(Reactivos!$H$2:$H$435,MATCH(B1569,Reactivos!$A$2:$A$435,0)),""))</f>
        <v/>
      </c>
      <c r="F1569" s="8"/>
      <c r="G1569" s="8"/>
      <c r="H1569" s="13"/>
    </row>
    <row r="1570" spans="1:8" x14ac:dyDescent="0.3">
      <c r="A1570" s="11"/>
      <c r="B1570" s="8"/>
      <c r="C1570" s="7" t="str">
        <f>IF(B1570="","",IFERROR(INDEX(Reactivos!$D$2:$D$435,MATCH(B1570,Reactivos!$A$2:$A$435,0)),"ID no existe"))</f>
        <v/>
      </c>
      <c r="D1570" s="8"/>
      <c r="E1570" s="7" t="str">
        <f>IF(B1570="","",IFERROR(INDEX(Reactivos!$H$2:$H$435,MATCH(B1570,Reactivos!$A$2:$A$435,0)),""))</f>
        <v/>
      </c>
      <c r="F1570" s="8"/>
      <c r="G1570" s="8"/>
      <c r="H1570" s="13"/>
    </row>
    <row r="1571" spans="1:8" x14ac:dyDescent="0.3">
      <c r="A1571" s="11"/>
      <c r="B1571" s="8"/>
      <c r="C1571" s="7" t="str">
        <f>IF(B1571="","",IFERROR(INDEX(Reactivos!$D$2:$D$435,MATCH(B1571,Reactivos!$A$2:$A$435,0)),"ID no existe"))</f>
        <v/>
      </c>
      <c r="D1571" s="8"/>
      <c r="E1571" s="7" t="str">
        <f>IF(B1571="","",IFERROR(INDEX(Reactivos!$H$2:$H$435,MATCH(B1571,Reactivos!$A$2:$A$435,0)),""))</f>
        <v/>
      </c>
      <c r="F1571" s="8"/>
      <c r="G1571" s="8"/>
      <c r="H1571" s="13"/>
    </row>
    <row r="1572" spans="1:8" x14ac:dyDescent="0.3">
      <c r="A1572" s="11"/>
      <c r="B1572" s="8"/>
      <c r="C1572" s="7" t="str">
        <f>IF(B1572="","",IFERROR(INDEX(Reactivos!$D$2:$D$435,MATCH(B1572,Reactivos!$A$2:$A$435,0)),"ID no existe"))</f>
        <v/>
      </c>
      <c r="D1572" s="8"/>
      <c r="E1572" s="7" t="str">
        <f>IF(B1572="","",IFERROR(INDEX(Reactivos!$H$2:$H$435,MATCH(B1572,Reactivos!$A$2:$A$435,0)),""))</f>
        <v/>
      </c>
      <c r="F1572" s="8"/>
      <c r="G1572" s="8"/>
      <c r="H1572" s="13"/>
    </row>
    <row r="1573" spans="1:8" x14ac:dyDescent="0.3">
      <c r="A1573" s="11"/>
      <c r="B1573" s="8"/>
      <c r="C1573" s="7" t="str">
        <f>IF(B1573="","",IFERROR(INDEX(Reactivos!$D$2:$D$435,MATCH(B1573,Reactivos!$A$2:$A$435,0)),"ID no existe"))</f>
        <v/>
      </c>
      <c r="D1573" s="8"/>
      <c r="E1573" s="7" t="str">
        <f>IF(B1573="","",IFERROR(INDEX(Reactivos!$H$2:$H$435,MATCH(B1573,Reactivos!$A$2:$A$435,0)),""))</f>
        <v/>
      </c>
      <c r="F1573" s="8"/>
      <c r="G1573" s="8"/>
      <c r="H1573" s="13"/>
    </row>
    <row r="1574" spans="1:8" x14ac:dyDescent="0.3">
      <c r="A1574" s="11"/>
      <c r="B1574" s="8"/>
      <c r="C1574" s="7" t="str">
        <f>IF(B1574="","",IFERROR(INDEX(Reactivos!$D$2:$D$435,MATCH(B1574,Reactivos!$A$2:$A$435,0)),"ID no existe"))</f>
        <v/>
      </c>
      <c r="D1574" s="8"/>
      <c r="E1574" s="7" t="str">
        <f>IF(B1574="","",IFERROR(INDEX(Reactivos!$H$2:$H$435,MATCH(B1574,Reactivos!$A$2:$A$435,0)),""))</f>
        <v/>
      </c>
      <c r="F1574" s="8"/>
      <c r="G1574" s="8"/>
      <c r="H1574" s="13"/>
    </row>
    <row r="1575" spans="1:8" x14ac:dyDescent="0.3">
      <c r="A1575" s="11"/>
      <c r="B1575" s="8"/>
      <c r="C1575" s="7" t="str">
        <f>IF(B1575="","",IFERROR(INDEX(Reactivos!$D$2:$D$435,MATCH(B1575,Reactivos!$A$2:$A$435,0)),"ID no existe"))</f>
        <v/>
      </c>
      <c r="D1575" s="8"/>
      <c r="E1575" s="7" t="str">
        <f>IF(B1575="","",IFERROR(INDEX(Reactivos!$H$2:$H$435,MATCH(B1575,Reactivos!$A$2:$A$435,0)),""))</f>
        <v/>
      </c>
      <c r="F1575" s="8"/>
      <c r="G1575" s="8"/>
      <c r="H1575" s="13"/>
    </row>
    <row r="1576" spans="1:8" x14ac:dyDescent="0.3">
      <c r="A1576" s="11"/>
      <c r="B1576" s="8"/>
      <c r="C1576" s="7" t="str">
        <f>IF(B1576="","",IFERROR(INDEX(Reactivos!$D$2:$D$435,MATCH(B1576,Reactivos!$A$2:$A$435,0)),"ID no existe"))</f>
        <v/>
      </c>
      <c r="D1576" s="8"/>
      <c r="E1576" s="7" t="str">
        <f>IF(B1576="","",IFERROR(INDEX(Reactivos!$H$2:$H$435,MATCH(B1576,Reactivos!$A$2:$A$435,0)),""))</f>
        <v/>
      </c>
      <c r="F1576" s="8"/>
      <c r="G1576" s="8"/>
      <c r="H1576" s="13"/>
    </row>
    <row r="1577" spans="1:8" x14ac:dyDescent="0.3">
      <c r="A1577" s="11"/>
      <c r="B1577" s="8"/>
      <c r="C1577" s="7" t="str">
        <f>IF(B1577="","",IFERROR(INDEX(Reactivos!$D$2:$D$435,MATCH(B1577,Reactivos!$A$2:$A$435,0)),"ID no existe"))</f>
        <v/>
      </c>
      <c r="D1577" s="8"/>
      <c r="E1577" s="7" t="str">
        <f>IF(B1577="","",IFERROR(INDEX(Reactivos!$H$2:$H$435,MATCH(B1577,Reactivos!$A$2:$A$435,0)),""))</f>
        <v/>
      </c>
      <c r="F1577" s="8"/>
      <c r="G1577" s="8"/>
      <c r="H1577" s="13"/>
    </row>
    <row r="1578" spans="1:8" x14ac:dyDescent="0.3">
      <c r="A1578" s="11"/>
      <c r="B1578" s="8"/>
      <c r="C1578" s="7" t="str">
        <f>IF(B1578="","",IFERROR(INDEX(Reactivos!$D$2:$D$435,MATCH(B1578,Reactivos!$A$2:$A$435,0)),"ID no existe"))</f>
        <v/>
      </c>
      <c r="D1578" s="8"/>
      <c r="E1578" s="7" t="str">
        <f>IF(B1578="","",IFERROR(INDEX(Reactivos!$H$2:$H$435,MATCH(B1578,Reactivos!$A$2:$A$435,0)),""))</f>
        <v/>
      </c>
      <c r="F1578" s="8"/>
      <c r="G1578" s="8"/>
      <c r="H1578" s="13"/>
    </row>
    <row r="1579" spans="1:8" x14ac:dyDescent="0.3">
      <c r="A1579" s="11"/>
      <c r="B1579" s="8"/>
      <c r="C1579" s="7" t="str">
        <f>IF(B1579="","",IFERROR(INDEX(Reactivos!$D$2:$D$435,MATCH(B1579,Reactivos!$A$2:$A$435,0)),"ID no existe"))</f>
        <v/>
      </c>
      <c r="D1579" s="8"/>
      <c r="E1579" s="7" t="str">
        <f>IF(B1579="","",IFERROR(INDEX(Reactivos!$H$2:$H$435,MATCH(B1579,Reactivos!$A$2:$A$435,0)),""))</f>
        <v/>
      </c>
      <c r="F1579" s="8"/>
      <c r="G1579" s="8"/>
      <c r="H1579" s="13"/>
    </row>
    <row r="1580" spans="1:8" x14ac:dyDescent="0.3">
      <c r="A1580" s="11"/>
      <c r="B1580" s="8"/>
      <c r="C1580" s="7" t="str">
        <f>IF(B1580="","",IFERROR(INDEX(Reactivos!$D$2:$D$435,MATCH(B1580,Reactivos!$A$2:$A$435,0)),"ID no existe"))</f>
        <v/>
      </c>
      <c r="D1580" s="8"/>
      <c r="E1580" s="7" t="str">
        <f>IF(B1580="","",IFERROR(INDEX(Reactivos!$H$2:$H$435,MATCH(B1580,Reactivos!$A$2:$A$435,0)),""))</f>
        <v/>
      </c>
      <c r="F1580" s="8"/>
      <c r="G1580" s="8"/>
      <c r="H1580" s="13"/>
    </row>
    <row r="1581" spans="1:8" x14ac:dyDescent="0.3">
      <c r="A1581" s="11"/>
      <c r="B1581" s="8"/>
      <c r="C1581" s="7" t="str">
        <f>IF(B1581="","",IFERROR(INDEX(Reactivos!$D$2:$D$435,MATCH(B1581,Reactivos!$A$2:$A$435,0)),"ID no existe"))</f>
        <v/>
      </c>
      <c r="D1581" s="8"/>
      <c r="E1581" s="7" t="str">
        <f>IF(B1581="","",IFERROR(INDEX(Reactivos!$H$2:$H$435,MATCH(B1581,Reactivos!$A$2:$A$435,0)),""))</f>
        <v/>
      </c>
      <c r="F1581" s="8"/>
      <c r="G1581" s="8"/>
      <c r="H1581" s="13"/>
    </row>
    <row r="1582" spans="1:8" x14ac:dyDescent="0.3">
      <c r="A1582" s="11"/>
      <c r="B1582" s="8"/>
      <c r="C1582" s="7" t="str">
        <f>IF(B1582="","",IFERROR(INDEX(Reactivos!$D$2:$D$435,MATCH(B1582,Reactivos!$A$2:$A$435,0)),"ID no existe"))</f>
        <v/>
      </c>
      <c r="D1582" s="8"/>
      <c r="E1582" s="7" t="str">
        <f>IF(B1582="","",IFERROR(INDEX(Reactivos!$H$2:$H$435,MATCH(B1582,Reactivos!$A$2:$A$435,0)),""))</f>
        <v/>
      </c>
      <c r="F1582" s="8"/>
      <c r="G1582" s="8"/>
      <c r="H1582" s="13"/>
    </row>
    <row r="1583" spans="1:8" x14ac:dyDescent="0.3">
      <c r="A1583" s="11"/>
      <c r="B1583" s="8"/>
      <c r="C1583" s="7" t="str">
        <f>IF(B1583="","",IFERROR(INDEX(Reactivos!$D$2:$D$435,MATCH(B1583,Reactivos!$A$2:$A$435,0)),"ID no existe"))</f>
        <v/>
      </c>
      <c r="D1583" s="8"/>
      <c r="E1583" s="7" t="str">
        <f>IF(B1583="","",IFERROR(INDEX(Reactivos!$H$2:$H$435,MATCH(B1583,Reactivos!$A$2:$A$435,0)),""))</f>
        <v/>
      </c>
      <c r="F1583" s="8"/>
      <c r="G1583" s="8"/>
      <c r="H1583" s="13"/>
    </row>
    <row r="1584" spans="1:8" x14ac:dyDescent="0.3">
      <c r="A1584" s="11"/>
      <c r="B1584" s="8"/>
      <c r="C1584" s="7" t="str">
        <f>IF(B1584="","",IFERROR(INDEX(Reactivos!$D$2:$D$435,MATCH(B1584,Reactivos!$A$2:$A$435,0)),"ID no existe"))</f>
        <v/>
      </c>
      <c r="D1584" s="8"/>
      <c r="E1584" s="7" t="str">
        <f>IF(B1584="","",IFERROR(INDEX(Reactivos!$H$2:$H$435,MATCH(B1584,Reactivos!$A$2:$A$435,0)),""))</f>
        <v/>
      </c>
      <c r="F1584" s="8"/>
      <c r="G1584" s="8"/>
      <c r="H1584" s="13"/>
    </row>
    <row r="1585" spans="1:8" x14ac:dyDescent="0.3">
      <c r="A1585" s="11"/>
      <c r="B1585" s="8"/>
      <c r="C1585" s="7" t="str">
        <f>IF(B1585="","",IFERROR(INDEX(Reactivos!$D$2:$D$435,MATCH(B1585,Reactivos!$A$2:$A$435,0)),"ID no existe"))</f>
        <v/>
      </c>
      <c r="D1585" s="8"/>
      <c r="E1585" s="7" t="str">
        <f>IF(B1585="","",IFERROR(INDEX(Reactivos!$H$2:$H$435,MATCH(B1585,Reactivos!$A$2:$A$435,0)),""))</f>
        <v/>
      </c>
      <c r="F1585" s="8"/>
      <c r="G1585" s="8"/>
      <c r="H1585" s="13"/>
    </row>
    <row r="1586" spans="1:8" x14ac:dyDescent="0.3">
      <c r="A1586" s="11"/>
      <c r="B1586" s="8"/>
      <c r="C1586" s="7" t="str">
        <f>IF(B1586="","",IFERROR(INDEX(Reactivos!$D$2:$D$435,MATCH(B1586,Reactivos!$A$2:$A$435,0)),"ID no existe"))</f>
        <v/>
      </c>
      <c r="D1586" s="8"/>
      <c r="E1586" s="7" t="str">
        <f>IF(B1586="","",IFERROR(INDEX(Reactivos!$H$2:$H$435,MATCH(B1586,Reactivos!$A$2:$A$435,0)),""))</f>
        <v/>
      </c>
      <c r="F1586" s="8"/>
      <c r="G1586" s="8"/>
      <c r="H1586" s="13"/>
    </row>
    <row r="1587" spans="1:8" x14ac:dyDescent="0.3">
      <c r="A1587" s="11"/>
      <c r="B1587" s="8"/>
      <c r="C1587" s="7" t="str">
        <f>IF(B1587="","",IFERROR(INDEX(Reactivos!$D$2:$D$435,MATCH(B1587,Reactivos!$A$2:$A$435,0)),"ID no existe"))</f>
        <v/>
      </c>
      <c r="D1587" s="8"/>
      <c r="E1587" s="7" t="str">
        <f>IF(B1587="","",IFERROR(INDEX(Reactivos!$H$2:$H$435,MATCH(B1587,Reactivos!$A$2:$A$435,0)),""))</f>
        <v/>
      </c>
      <c r="F1587" s="8"/>
      <c r="G1587" s="8"/>
      <c r="H1587" s="13"/>
    </row>
    <row r="1588" spans="1:8" x14ac:dyDescent="0.3">
      <c r="A1588" s="11"/>
      <c r="B1588" s="8"/>
      <c r="C1588" s="7" t="str">
        <f>IF(B1588="","",IFERROR(INDEX(Reactivos!$D$2:$D$435,MATCH(B1588,Reactivos!$A$2:$A$435,0)),"ID no existe"))</f>
        <v/>
      </c>
      <c r="D1588" s="8"/>
      <c r="E1588" s="7" t="str">
        <f>IF(B1588="","",IFERROR(INDEX(Reactivos!$H$2:$H$435,MATCH(B1588,Reactivos!$A$2:$A$435,0)),""))</f>
        <v/>
      </c>
      <c r="F1588" s="8"/>
      <c r="G1588" s="8"/>
      <c r="H1588" s="13"/>
    </row>
    <row r="1589" spans="1:8" x14ac:dyDescent="0.3">
      <c r="A1589" s="11"/>
      <c r="B1589" s="8"/>
      <c r="C1589" s="7" t="str">
        <f>IF(B1589="","",IFERROR(INDEX(Reactivos!$D$2:$D$435,MATCH(B1589,Reactivos!$A$2:$A$435,0)),"ID no existe"))</f>
        <v/>
      </c>
      <c r="D1589" s="8"/>
      <c r="E1589" s="7" t="str">
        <f>IF(B1589="","",IFERROR(INDEX(Reactivos!$H$2:$H$435,MATCH(B1589,Reactivos!$A$2:$A$435,0)),""))</f>
        <v/>
      </c>
      <c r="F1589" s="8"/>
      <c r="G1589" s="8"/>
      <c r="H1589" s="13"/>
    </row>
    <row r="1590" spans="1:8" x14ac:dyDescent="0.3">
      <c r="A1590" s="11"/>
      <c r="B1590" s="8"/>
      <c r="C1590" s="7" t="str">
        <f>IF(B1590="","",IFERROR(INDEX(Reactivos!$D$2:$D$435,MATCH(B1590,Reactivos!$A$2:$A$435,0)),"ID no existe"))</f>
        <v/>
      </c>
      <c r="D1590" s="8"/>
      <c r="E1590" s="7" t="str">
        <f>IF(B1590="","",IFERROR(INDEX(Reactivos!$H$2:$H$435,MATCH(B1590,Reactivos!$A$2:$A$435,0)),""))</f>
        <v/>
      </c>
      <c r="F1590" s="8"/>
      <c r="G1590" s="8"/>
      <c r="H1590" s="13"/>
    </row>
    <row r="1591" spans="1:8" x14ac:dyDescent="0.3">
      <c r="A1591" s="11"/>
      <c r="B1591" s="8"/>
      <c r="C1591" s="7" t="str">
        <f>IF(B1591="","",IFERROR(INDEX(Reactivos!$D$2:$D$435,MATCH(B1591,Reactivos!$A$2:$A$435,0)),"ID no existe"))</f>
        <v/>
      </c>
      <c r="D1591" s="8"/>
      <c r="E1591" s="7" t="str">
        <f>IF(B1591="","",IFERROR(INDEX(Reactivos!$H$2:$H$435,MATCH(B1591,Reactivos!$A$2:$A$435,0)),""))</f>
        <v/>
      </c>
      <c r="F1591" s="8"/>
      <c r="G1591" s="8"/>
      <c r="H1591" s="13"/>
    </row>
    <row r="1592" spans="1:8" x14ac:dyDescent="0.3">
      <c r="A1592" s="11"/>
      <c r="B1592" s="8"/>
      <c r="C1592" s="7" t="str">
        <f>IF(B1592="","",IFERROR(INDEX(Reactivos!$D$2:$D$435,MATCH(B1592,Reactivos!$A$2:$A$435,0)),"ID no existe"))</f>
        <v/>
      </c>
      <c r="D1592" s="8"/>
      <c r="E1592" s="7" t="str">
        <f>IF(B1592="","",IFERROR(INDEX(Reactivos!$H$2:$H$435,MATCH(B1592,Reactivos!$A$2:$A$435,0)),""))</f>
        <v/>
      </c>
      <c r="F1592" s="8"/>
      <c r="G1592" s="8"/>
      <c r="H1592" s="13"/>
    </row>
    <row r="1593" spans="1:8" x14ac:dyDescent="0.3">
      <c r="A1593" s="11"/>
      <c r="B1593" s="8"/>
      <c r="C1593" s="7" t="str">
        <f>IF(B1593="","",IFERROR(INDEX(Reactivos!$D$2:$D$435,MATCH(B1593,Reactivos!$A$2:$A$435,0)),"ID no existe"))</f>
        <v/>
      </c>
      <c r="D1593" s="8"/>
      <c r="E1593" s="7" t="str">
        <f>IF(B1593="","",IFERROR(INDEX(Reactivos!$H$2:$H$435,MATCH(B1593,Reactivos!$A$2:$A$435,0)),""))</f>
        <v/>
      </c>
      <c r="F1593" s="8"/>
      <c r="G1593" s="8"/>
      <c r="H1593" s="13"/>
    </row>
    <row r="1594" spans="1:8" x14ac:dyDescent="0.3">
      <c r="A1594" s="11"/>
      <c r="B1594" s="8"/>
      <c r="C1594" s="7" t="str">
        <f>IF(B1594="","",IFERROR(INDEX(Reactivos!$D$2:$D$435,MATCH(B1594,Reactivos!$A$2:$A$435,0)),"ID no existe"))</f>
        <v/>
      </c>
      <c r="D1594" s="8"/>
      <c r="E1594" s="7" t="str">
        <f>IF(B1594="","",IFERROR(INDEX(Reactivos!$H$2:$H$435,MATCH(B1594,Reactivos!$A$2:$A$435,0)),""))</f>
        <v/>
      </c>
      <c r="F1594" s="8"/>
      <c r="G1594" s="8"/>
      <c r="H1594" s="13"/>
    </row>
    <row r="1595" spans="1:8" x14ac:dyDescent="0.3">
      <c r="A1595" s="11"/>
      <c r="B1595" s="8"/>
      <c r="C1595" s="7" t="str">
        <f>IF(B1595="","",IFERROR(INDEX(Reactivos!$D$2:$D$435,MATCH(B1595,Reactivos!$A$2:$A$435,0)),"ID no existe"))</f>
        <v/>
      </c>
      <c r="D1595" s="8"/>
      <c r="E1595" s="7" t="str">
        <f>IF(B1595="","",IFERROR(INDEX(Reactivos!$H$2:$H$435,MATCH(B1595,Reactivos!$A$2:$A$435,0)),""))</f>
        <v/>
      </c>
      <c r="F1595" s="8"/>
      <c r="G1595" s="8"/>
      <c r="H1595" s="13"/>
    </row>
    <row r="1596" spans="1:8" x14ac:dyDescent="0.3">
      <c r="A1596" s="11"/>
      <c r="B1596" s="8"/>
      <c r="C1596" s="7" t="str">
        <f>IF(B1596="","",IFERROR(INDEX(Reactivos!$D$2:$D$435,MATCH(B1596,Reactivos!$A$2:$A$435,0)),"ID no existe"))</f>
        <v/>
      </c>
      <c r="D1596" s="8"/>
      <c r="E1596" s="7" t="str">
        <f>IF(B1596="","",IFERROR(INDEX(Reactivos!$H$2:$H$435,MATCH(B1596,Reactivos!$A$2:$A$435,0)),""))</f>
        <v/>
      </c>
      <c r="F1596" s="8"/>
      <c r="G1596" s="8"/>
      <c r="H1596" s="13"/>
    </row>
    <row r="1597" spans="1:8" x14ac:dyDescent="0.3">
      <c r="A1597" s="11"/>
      <c r="B1597" s="8"/>
      <c r="C1597" s="7" t="str">
        <f>IF(B1597="","",IFERROR(INDEX(Reactivos!$D$2:$D$435,MATCH(B1597,Reactivos!$A$2:$A$435,0)),"ID no existe"))</f>
        <v/>
      </c>
      <c r="D1597" s="8"/>
      <c r="E1597" s="7" t="str">
        <f>IF(B1597="","",IFERROR(INDEX(Reactivos!$H$2:$H$435,MATCH(B1597,Reactivos!$A$2:$A$435,0)),""))</f>
        <v/>
      </c>
      <c r="F1597" s="8"/>
      <c r="G1597" s="8"/>
      <c r="H1597" s="13"/>
    </row>
    <row r="1598" spans="1:8" x14ac:dyDescent="0.3">
      <c r="A1598" s="11"/>
      <c r="B1598" s="8"/>
      <c r="C1598" s="7" t="str">
        <f>IF(B1598="","",IFERROR(INDEX(Reactivos!$D$2:$D$435,MATCH(B1598,Reactivos!$A$2:$A$435,0)),"ID no existe"))</f>
        <v/>
      </c>
      <c r="D1598" s="8"/>
      <c r="E1598" s="7" t="str">
        <f>IF(B1598="","",IFERROR(INDEX(Reactivos!$H$2:$H$435,MATCH(B1598,Reactivos!$A$2:$A$435,0)),""))</f>
        <v/>
      </c>
      <c r="F1598" s="8"/>
      <c r="G1598" s="8"/>
      <c r="H1598" s="13"/>
    </row>
    <row r="1599" spans="1:8" x14ac:dyDescent="0.3">
      <c r="A1599" s="11"/>
      <c r="B1599" s="8"/>
      <c r="C1599" s="7" t="str">
        <f>IF(B1599="","",IFERROR(INDEX(Reactivos!$D$2:$D$435,MATCH(B1599,Reactivos!$A$2:$A$435,0)),"ID no existe"))</f>
        <v/>
      </c>
      <c r="D1599" s="8"/>
      <c r="E1599" s="7" t="str">
        <f>IF(B1599="","",IFERROR(INDEX(Reactivos!$H$2:$H$435,MATCH(B1599,Reactivos!$A$2:$A$435,0)),""))</f>
        <v/>
      </c>
      <c r="F1599" s="8"/>
      <c r="G1599" s="8"/>
      <c r="H1599" s="13"/>
    </row>
    <row r="1600" spans="1:8" x14ac:dyDescent="0.3">
      <c r="A1600" s="11"/>
      <c r="B1600" s="8"/>
      <c r="C1600" s="7" t="str">
        <f>IF(B1600="","",IFERROR(INDEX(Reactivos!$D$2:$D$435,MATCH(B1600,Reactivos!$A$2:$A$435,0)),"ID no existe"))</f>
        <v/>
      </c>
      <c r="D1600" s="8"/>
      <c r="E1600" s="7" t="str">
        <f>IF(B1600="","",IFERROR(INDEX(Reactivos!$H$2:$H$435,MATCH(B1600,Reactivos!$A$2:$A$435,0)),""))</f>
        <v/>
      </c>
      <c r="F1600" s="8"/>
      <c r="G1600" s="8"/>
      <c r="H1600" s="13"/>
    </row>
    <row r="1601" spans="1:8" x14ac:dyDescent="0.3">
      <c r="A1601" s="11"/>
      <c r="B1601" s="8"/>
      <c r="C1601" s="7" t="str">
        <f>IF(B1601="","",IFERROR(INDEX(Reactivos!$D$2:$D$435,MATCH(B1601,Reactivos!$A$2:$A$435,0)),"ID no existe"))</f>
        <v/>
      </c>
      <c r="D1601" s="8"/>
      <c r="E1601" s="7" t="str">
        <f>IF(B1601="","",IFERROR(INDEX(Reactivos!$H$2:$H$435,MATCH(B1601,Reactivos!$A$2:$A$435,0)),""))</f>
        <v/>
      </c>
      <c r="F1601" s="8"/>
      <c r="G1601" s="8"/>
      <c r="H1601" s="13"/>
    </row>
    <row r="1602" spans="1:8" x14ac:dyDescent="0.3">
      <c r="A1602" s="11"/>
      <c r="B1602" s="8"/>
      <c r="C1602" s="7" t="str">
        <f>IF(B1602="","",IFERROR(INDEX(Reactivos!$D$2:$D$435,MATCH(B1602,Reactivos!$A$2:$A$435,0)),"ID no existe"))</f>
        <v/>
      </c>
      <c r="D1602" s="8"/>
      <c r="E1602" s="7" t="str">
        <f>IF(B1602="","",IFERROR(INDEX(Reactivos!$H$2:$H$435,MATCH(B1602,Reactivos!$A$2:$A$435,0)),""))</f>
        <v/>
      </c>
      <c r="F1602" s="8"/>
      <c r="G1602" s="8"/>
      <c r="H1602" s="13"/>
    </row>
    <row r="1603" spans="1:8" x14ac:dyDescent="0.3">
      <c r="A1603" s="11"/>
      <c r="B1603" s="8"/>
      <c r="C1603" s="7" t="str">
        <f>IF(B1603="","",IFERROR(INDEX(Reactivos!$D$2:$D$435,MATCH(B1603,Reactivos!$A$2:$A$435,0)),"ID no existe"))</f>
        <v/>
      </c>
      <c r="D1603" s="8"/>
      <c r="E1603" s="7" t="str">
        <f>IF(B1603="","",IFERROR(INDEX(Reactivos!$H$2:$H$435,MATCH(B1603,Reactivos!$A$2:$A$435,0)),""))</f>
        <v/>
      </c>
      <c r="F1603" s="8"/>
      <c r="G1603" s="8"/>
      <c r="H1603" s="13"/>
    </row>
    <row r="1604" spans="1:8" x14ac:dyDescent="0.3">
      <c r="A1604" s="11"/>
      <c r="B1604" s="8"/>
      <c r="C1604" s="7" t="str">
        <f>IF(B1604="","",IFERROR(INDEX(Reactivos!$D$2:$D$435,MATCH(B1604,Reactivos!$A$2:$A$435,0)),"ID no existe"))</f>
        <v/>
      </c>
      <c r="D1604" s="8"/>
      <c r="E1604" s="7" t="str">
        <f>IF(B1604="","",IFERROR(INDEX(Reactivos!$H$2:$H$435,MATCH(B1604,Reactivos!$A$2:$A$435,0)),""))</f>
        <v/>
      </c>
      <c r="F1604" s="8"/>
      <c r="G1604" s="8"/>
      <c r="H1604" s="13"/>
    </row>
    <row r="1605" spans="1:8" x14ac:dyDescent="0.3">
      <c r="A1605" s="11"/>
      <c r="B1605" s="8"/>
      <c r="C1605" s="7" t="str">
        <f>IF(B1605="","",IFERROR(INDEX(Reactivos!$D$2:$D$435,MATCH(B1605,Reactivos!$A$2:$A$435,0)),"ID no existe"))</f>
        <v/>
      </c>
      <c r="D1605" s="8"/>
      <c r="E1605" s="7" t="str">
        <f>IF(B1605="","",IFERROR(INDEX(Reactivos!$H$2:$H$435,MATCH(B1605,Reactivos!$A$2:$A$435,0)),""))</f>
        <v/>
      </c>
      <c r="F1605" s="8"/>
      <c r="G1605" s="8"/>
      <c r="H1605" s="13"/>
    </row>
    <row r="1606" spans="1:8" x14ac:dyDescent="0.3">
      <c r="A1606" s="11"/>
      <c r="B1606" s="8"/>
      <c r="C1606" s="7" t="str">
        <f>IF(B1606="","",IFERROR(INDEX(Reactivos!$D$2:$D$435,MATCH(B1606,Reactivos!$A$2:$A$435,0)),"ID no existe"))</f>
        <v/>
      </c>
      <c r="D1606" s="8"/>
      <c r="E1606" s="7" t="str">
        <f>IF(B1606="","",IFERROR(INDEX(Reactivos!$H$2:$H$435,MATCH(B1606,Reactivos!$A$2:$A$435,0)),""))</f>
        <v/>
      </c>
      <c r="F1606" s="8"/>
      <c r="G1606" s="8"/>
      <c r="H1606" s="13"/>
    </row>
    <row r="1607" spans="1:8" x14ac:dyDescent="0.3">
      <c r="A1607" s="11"/>
      <c r="B1607" s="8"/>
      <c r="C1607" s="7" t="str">
        <f>IF(B1607="","",IFERROR(INDEX(Reactivos!$D$2:$D$435,MATCH(B1607,Reactivos!$A$2:$A$435,0)),"ID no existe"))</f>
        <v/>
      </c>
      <c r="D1607" s="8"/>
      <c r="E1607" s="7" t="str">
        <f>IF(B1607="","",IFERROR(INDEX(Reactivos!$H$2:$H$435,MATCH(B1607,Reactivos!$A$2:$A$435,0)),""))</f>
        <v/>
      </c>
      <c r="F1607" s="8"/>
      <c r="G1607" s="8"/>
      <c r="H1607" s="13"/>
    </row>
    <row r="1608" spans="1:8" x14ac:dyDescent="0.3">
      <c r="A1608" s="11"/>
      <c r="B1608" s="8"/>
      <c r="C1608" s="7" t="str">
        <f>IF(B1608="","",IFERROR(INDEX(Reactivos!$D$2:$D$435,MATCH(B1608,Reactivos!$A$2:$A$435,0)),"ID no existe"))</f>
        <v/>
      </c>
      <c r="D1608" s="8"/>
      <c r="E1608" s="7" t="str">
        <f>IF(B1608="","",IFERROR(INDEX(Reactivos!$H$2:$H$435,MATCH(B1608,Reactivos!$A$2:$A$435,0)),""))</f>
        <v/>
      </c>
      <c r="F1608" s="8"/>
      <c r="G1608" s="8"/>
      <c r="H1608" s="13"/>
    </row>
    <row r="1609" spans="1:8" x14ac:dyDescent="0.3">
      <c r="A1609" s="11"/>
      <c r="B1609" s="8"/>
      <c r="C1609" s="7" t="str">
        <f>IF(B1609="","",IFERROR(INDEX(Reactivos!$D$2:$D$435,MATCH(B1609,Reactivos!$A$2:$A$435,0)),"ID no existe"))</f>
        <v/>
      </c>
      <c r="D1609" s="8"/>
      <c r="E1609" s="7" t="str">
        <f>IF(B1609="","",IFERROR(INDEX(Reactivos!$H$2:$H$435,MATCH(B1609,Reactivos!$A$2:$A$435,0)),""))</f>
        <v/>
      </c>
      <c r="F1609" s="8"/>
      <c r="G1609" s="8"/>
      <c r="H1609" s="13"/>
    </row>
    <row r="1610" spans="1:8" x14ac:dyDescent="0.3">
      <c r="A1610" s="11"/>
      <c r="B1610" s="8"/>
      <c r="C1610" s="7" t="str">
        <f>IF(B1610="","",IFERROR(INDEX(Reactivos!$D$2:$D$435,MATCH(B1610,Reactivos!$A$2:$A$435,0)),"ID no existe"))</f>
        <v/>
      </c>
      <c r="D1610" s="8"/>
      <c r="E1610" s="7" t="str">
        <f>IF(B1610="","",IFERROR(INDEX(Reactivos!$H$2:$H$435,MATCH(B1610,Reactivos!$A$2:$A$435,0)),""))</f>
        <v/>
      </c>
      <c r="F1610" s="8"/>
      <c r="G1610" s="8"/>
      <c r="H1610" s="13"/>
    </row>
    <row r="1611" spans="1:8" x14ac:dyDescent="0.3">
      <c r="A1611" s="11"/>
      <c r="B1611" s="8"/>
      <c r="C1611" s="7" t="str">
        <f>IF(B1611="","",IFERROR(INDEX(Reactivos!$D$2:$D$435,MATCH(B1611,Reactivos!$A$2:$A$435,0)),"ID no existe"))</f>
        <v/>
      </c>
      <c r="D1611" s="8"/>
      <c r="E1611" s="7" t="str">
        <f>IF(B1611="","",IFERROR(INDEX(Reactivos!$H$2:$H$435,MATCH(B1611,Reactivos!$A$2:$A$435,0)),""))</f>
        <v/>
      </c>
      <c r="F1611" s="8"/>
      <c r="G1611" s="8"/>
      <c r="H1611" s="13"/>
    </row>
    <row r="1612" spans="1:8" x14ac:dyDescent="0.3">
      <c r="A1612" s="11"/>
      <c r="B1612" s="8"/>
      <c r="C1612" s="7" t="str">
        <f>IF(B1612="","",IFERROR(INDEX(Reactivos!$D$2:$D$435,MATCH(B1612,Reactivos!$A$2:$A$435,0)),"ID no existe"))</f>
        <v/>
      </c>
      <c r="D1612" s="8"/>
      <c r="E1612" s="7" t="str">
        <f>IF(B1612="","",IFERROR(INDEX(Reactivos!$H$2:$H$435,MATCH(B1612,Reactivos!$A$2:$A$435,0)),""))</f>
        <v/>
      </c>
      <c r="F1612" s="8"/>
      <c r="G1612" s="8"/>
      <c r="H1612" s="13"/>
    </row>
    <row r="1613" spans="1:8" x14ac:dyDescent="0.3">
      <c r="A1613" s="11"/>
      <c r="B1613" s="8"/>
      <c r="C1613" s="7" t="str">
        <f>IF(B1613="","",IFERROR(INDEX(Reactivos!$D$2:$D$435,MATCH(B1613,Reactivos!$A$2:$A$435,0)),"ID no existe"))</f>
        <v/>
      </c>
      <c r="D1613" s="8"/>
      <c r="E1613" s="7" t="str">
        <f>IF(B1613="","",IFERROR(INDEX(Reactivos!$H$2:$H$435,MATCH(B1613,Reactivos!$A$2:$A$435,0)),""))</f>
        <v/>
      </c>
      <c r="F1613" s="8"/>
      <c r="G1613" s="8"/>
      <c r="H1613" s="13"/>
    </row>
    <row r="1614" spans="1:8" x14ac:dyDescent="0.3">
      <c r="A1614" s="11"/>
      <c r="B1614" s="8"/>
      <c r="C1614" s="7" t="str">
        <f>IF(B1614="","",IFERROR(INDEX(Reactivos!$D$2:$D$435,MATCH(B1614,Reactivos!$A$2:$A$435,0)),"ID no existe"))</f>
        <v/>
      </c>
      <c r="D1614" s="8"/>
      <c r="E1614" s="7" t="str">
        <f>IF(B1614="","",IFERROR(INDEX(Reactivos!$H$2:$H$435,MATCH(B1614,Reactivos!$A$2:$A$435,0)),""))</f>
        <v/>
      </c>
      <c r="F1614" s="8"/>
      <c r="G1614" s="8"/>
      <c r="H1614" s="13"/>
    </row>
    <row r="1615" spans="1:8" x14ac:dyDescent="0.3">
      <c r="A1615" s="11"/>
      <c r="B1615" s="8"/>
      <c r="C1615" s="7" t="str">
        <f>IF(B1615="","",IFERROR(INDEX(Reactivos!$D$2:$D$435,MATCH(B1615,Reactivos!$A$2:$A$435,0)),"ID no existe"))</f>
        <v/>
      </c>
      <c r="D1615" s="8"/>
      <c r="E1615" s="7" t="str">
        <f>IF(B1615="","",IFERROR(INDEX(Reactivos!$H$2:$H$435,MATCH(B1615,Reactivos!$A$2:$A$435,0)),""))</f>
        <v/>
      </c>
      <c r="F1615" s="8"/>
      <c r="G1615" s="8"/>
      <c r="H1615" s="13"/>
    </row>
    <row r="1616" spans="1:8" x14ac:dyDescent="0.3">
      <c r="A1616" s="11"/>
      <c r="B1616" s="8"/>
      <c r="C1616" s="7" t="str">
        <f>IF(B1616="","",IFERROR(INDEX(Reactivos!$D$2:$D$435,MATCH(B1616,Reactivos!$A$2:$A$435,0)),"ID no existe"))</f>
        <v/>
      </c>
      <c r="D1616" s="8"/>
      <c r="E1616" s="7" t="str">
        <f>IF(B1616="","",IFERROR(INDEX(Reactivos!$H$2:$H$435,MATCH(B1616,Reactivos!$A$2:$A$435,0)),""))</f>
        <v/>
      </c>
      <c r="F1616" s="8"/>
      <c r="G1616" s="8"/>
      <c r="H1616" s="13"/>
    </row>
    <row r="1617" spans="1:8" x14ac:dyDescent="0.3">
      <c r="A1617" s="11"/>
      <c r="B1617" s="8"/>
      <c r="C1617" s="7" t="str">
        <f>IF(B1617="","",IFERROR(INDEX(Reactivos!$D$2:$D$435,MATCH(B1617,Reactivos!$A$2:$A$435,0)),"ID no existe"))</f>
        <v/>
      </c>
      <c r="D1617" s="8"/>
      <c r="E1617" s="7" t="str">
        <f>IF(B1617="","",IFERROR(INDEX(Reactivos!$H$2:$H$435,MATCH(B1617,Reactivos!$A$2:$A$435,0)),""))</f>
        <v/>
      </c>
      <c r="F1617" s="8"/>
      <c r="G1617" s="8"/>
      <c r="H1617" s="13"/>
    </row>
    <row r="1618" spans="1:8" x14ac:dyDescent="0.3">
      <c r="A1618" s="11"/>
      <c r="B1618" s="8"/>
      <c r="C1618" s="7" t="str">
        <f>IF(B1618="","",IFERROR(INDEX(Reactivos!$D$2:$D$435,MATCH(B1618,Reactivos!$A$2:$A$435,0)),"ID no existe"))</f>
        <v/>
      </c>
      <c r="D1618" s="8"/>
      <c r="E1618" s="7" t="str">
        <f>IF(B1618="","",IFERROR(INDEX(Reactivos!$H$2:$H$435,MATCH(B1618,Reactivos!$A$2:$A$435,0)),""))</f>
        <v/>
      </c>
      <c r="F1618" s="8"/>
      <c r="G1618" s="8"/>
      <c r="H1618" s="13"/>
    </row>
    <row r="1619" spans="1:8" x14ac:dyDescent="0.3">
      <c r="A1619" s="11"/>
      <c r="B1619" s="8"/>
      <c r="C1619" s="7" t="str">
        <f>IF(B1619="","",IFERROR(INDEX(Reactivos!$D$2:$D$435,MATCH(B1619,Reactivos!$A$2:$A$435,0)),"ID no existe"))</f>
        <v/>
      </c>
      <c r="D1619" s="8"/>
      <c r="E1619" s="7" t="str">
        <f>IF(B1619="","",IFERROR(INDEX(Reactivos!$H$2:$H$435,MATCH(B1619,Reactivos!$A$2:$A$435,0)),""))</f>
        <v/>
      </c>
      <c r="F1619" s="8"/>
      <c r="G1619" s="8"/>
      <c r="H1619" s="13"/>
    </row>
    <row r="1620" spans="1:8" x14ac:dyDescent="0.3">
      <c r="A1620" s="11"/>
      <c r="B1620" s="8"/>
      <c r="C1620" s="7" t="str">
        <f>IF(B1620="","",IFERROR(INDEX(Reactivos!$D$2:$D$435,MATCH(B1620,Reactivos!$A$2:$A$435,0)),"ID no existe"))</f>
        <v/>
      </c>
      <c r="D1620" s="8"/>
      <c r="E1620" s="7" t="str">
        <f>IF(B1620="","",IFERROR(INDEX(Reactivos!$H$2:$H$435,MATCH(B1620,Reactivos!$A$2:$A$435,0)),""))</f>
        <v/>
      </c>
      <c r="F1620" s="8"/>
      <c r="G1620" s="8"/>
      <c r="H1620" s="13"/>
    </row>
    <row r="1621" spans="1:8" x14ac:dyDescent="0.3">
      <c r="A1621" s="11"/>
      <c r="B1621" s="8"/>
      <c r="C1621" s="7" t="str">
        <f>IF(B1621="","",IFERROR(INDEX(Reactivos!$D$2:$D$435,MATCH(B1621,Reactivos!$A$2:$A$435,0)),"ID no existe"))</f>
        <v/>
      </c>
      <c r="D1621" s="8"/>
      <c r="E1621" s="7" t="str">
        <f>IF(B1621="","",IFERROR(INDEX(Reactivos!$H$2:$H$435,MATCH(B1621,Reactivos!$A$2:$A$435,0)),""))</f>
        <v/>
      </c>
      <c r="F1621" s="8"/>
      <c r="G1621" s="8"/>
      <c r="H1621" s="13"/>
    </row>
    <row r="1622" spans="1:8" x14ac:dyDescent="0.3">
      <c r="A1622" s="11"/>
      <c r="B1622" s="8"/>
      <c r="C1622" s="7" t="str">
        <f>IF(B1622="","",IFERROR(INDEX(Reactivos!$D$2:$D$435,MATCH(B1622,Reactivos!$A$2:$A$435,0)),"ID no existe"))</f>
        <v/>
      </c>
      <c r="D1622" s="8"/>
      <c r="E1622" s="7" t="str">
        <f>IF(B1622="","",IFERROR(INDEX(Reactivos!$H$2:$H$435,MATCH(B1622,Reactivos!$A$2:$A$435,0)),""))</f>
        <v/>
      </c>
      <c r="F1622" s="8"/>
      <c r="G1622" s="8"/>
      <c r="H1622" s="13"/>
    </row>
    <row r="1623" spans="1:8" x14ac:dyDescent="0.3">
      <c r="A1623" s="11"/>
      <c r="B1623" s="8"/>
      <c r="C1623" s="7" t="str">
        <f>IF(B1623="","",IFERROR(INDEX(Reactivos!$D$2:$D$435,MATCH(B1623,Reactivos!$A$2:$A$435,0)),"ID no existe"))</f>
        <v/>
      </c>
      <c r="D1623" s="8"/>
      <c r="E1623" s="7" t="str">
        <f>IF(B1623="","",IFERROR(INDEX(Reactivos!$H$2:$H$435,MATCH(B1623,Reactivos!$A$2:$A$435,0)),""))</f>
        <v/>
      </c>
      <c r="F1623" s="8"/>
      <c r="G1623" s="8"/>
      <c r="H1623" s="13"/>
    </row>
    <row r="1624" spans="1:8" x14ac:dyDescent="0.3">
      <c r="A1624" s="11"/>
      <c r="B1624" s="8"/>
      <c r="C1624" s="7" t="str">
        <f>IF(B1624="","",IFERROR(INDEX(Reactivos!$D$2:$D$435,MATCH(B1624,Reactivos!$A$2:$A$435,0)),"ID no existe"))</f>
        <v/>
      </c>
      <c r="D1624" s="8"/>
      <c r="E1624" s="7" t="str">
        <f>IF(B1624="","",IFERROR(INDEX(Reactivos!$H$2:$H$435,MATCH(B1624,Reactivos!$A$2:$A$435,0)),""))</f>
        <v/>
      </c>
      <c r="F1624" s="8"/>
      <c r="G1624" s="8"/>
      <c r="H1624" s="13"/>
    </row>
    <row r="1625" spans="1:8" x14ac:dyDescent="0.3">
      <c r="A1625" s="11"/>
      <c r="B1625" s="8"/>
      <c r="C1625" s="7" t="str">
        <f>IF(B1625="","",IFERROR(INDEX(Reactivos!$D$2:$D$435,MATCH(B1625,Reactivos!$A$2:$A$435,0)),"ID no existe"))</f>
        <v/>
      </c>
      <c r="D1625" s="8"/>
      <c r="E1625" s="7" t="str">
        <f>IF(B1625="","",IFERROR(INDEX(Reactivos!$H$2:$H$435,MATCH(B1625,Reactivos!$A$2:$A$435,0)),""))</f>
        <v/>
      </c>
      <c r="F1625" s="8"/>
      <c r="G1625" s="8"/>
      <c r="H1625" s="13"/>
    </row>
    <row r="1626" spans="1:8" x14ac:dyDescent="0.3">
      <c r="A1626" s="11"/>
      <c r="B1626" s="8"/>
      <c r="C1626" s="7" t="str">
        <f>IF(B1626="","",IFERROR(INDEX(Reactivos!$D$2:$D$435,MATCH(B1626,Reactivos!$A$2:$A$435,0)),"ID no existe"))</f>
        <v/>
      </c>
      <c r="D1626" s="8"/>
      <c r="E1626" s="7" t="str">
        <f>IF(B1626="","",IFERROR(INDEX(Reactivos!$H$2:$H$435,MATCH(B1626,Reactivos!$A$2:$A$435,0)),""))</f>
        <v/>
      </c>
      <c r="F1626" s="8"/>
      <c r="G1626" s="8"/>
      <c r="H1626" s="13"/>
    </row>
    <row r="1627" spans="1:8" x14ac:dyDescent="0.3">
      <c r="A1627" s="11"/>
      <c r="B1627" s="8"/>
      <c r="C1627" s="7" t="str">
        <f>IF(B1627="","",IFERROR(INDEX(Reactivos!$D$2:$D$435,MATCH(B1627,Reactivos!$A$2:$A$435,0)),"ID no existe"))</f>
        <v/>
      </c>
      <c r="D1627" s="8"/>
      <c r="E1627" s="7" t="str">
        <f>IF(B1627="","",IFERROR(INDEX(Reactivos!$H$2:$H$435,MATCH(B1627,Reactivos!$A$2:$A$435,0)),""))</f>
        <v/>
      </c>
      <c r="F1627" s="8"/>
      <c r="G1627" s="8"/>
      <c r="H1627" s="13"/>
    </row>
    <row r="1628" spans="1:8" x14ac:dyDescent="0.3">
      <c r="A1628" s="11"/>
      <c r="B1628" s="8"/>
      <c r="C1628" s="7" t="str">
        <f>IF(B1628="","",IFERROR(INDEX(Reactivos!$D$2:$D$435,MATCH(B1628,Reactivos!$A$2:$A$435,0)),"ID no existe"))</f>
        <v/>
      </c>
      <c r="D1628" s="8"/>
      <c r="E1628" s="7" t="str">
        <f>IF(B1628="","",IFERROR(INDEX(Reactivos!$H$2:$H$435,MATCH(B1628,Reactivos!$A$2:$A$435,0)),""))</f>
        <v/>
      </c>
      <c r="F1628" s="8"/>
      <c r="G1628" s="8"/>
      <c r="H1628" s="13"/>
    </row>
    <row r="1629" spans="1:8" x14ac:dyDescent="0.3">
      <c r="A1629" s="11"/>
      <c r="B1629" s="8"/>
      <c r="C1629" s="7" t="str">
        <f>IF(B1629="","",IFERROR(INDEX(Reactivos!$D$2:$D$435,MATCH(B1629,Reactivos!$A$2:$A$435,0)),"ID no existe"))</f>
        <v/>
      </c>
      <c r="D1629" s="8"/>
      <c r="E1629" s="7" t="str">
        <f>IF(B1629="","",IFERROR(INDEX(Reactivos!$H$2:$H$435,MATCH(B1629,Reactivos!$A$2:$A$435,0)),""))</f>
        <v/>
      </c>
      <c r="F1629" s="8"/>
      <c r="G1629" s="8"/>
      <c r="H1629" s="13"/>
    </row>
    <row r="1630" spans="1:8" x14ac:dyDescent="0.3">
      <c r="A1630" s="11"/>
      <c r="B1630" s="8"/>
      <c r="C1630" s="7" t="str">
        <f>IF(B1630="","",IFERROR(INDEX(Reactivos!$D$2:$D$435,MATCH(B1630,Reactivos!$A$2:$A$435,0)),"ID no existe"))</f>
        <v/>
      </c>
      <c r="D1630" s="8"/>
      <c r="E1630" s="7" t="str">
        <f>IF(B1630="","",IFERROR(INDEX(Reactivos!$H$2:$H$435,MATCH(B1630,Reactivos!$A$2:$A$435,0)),""))</f>
        <v/>
      </c>
      <c r="F1630" s="8"/>
      <c r="G1630" s="8"/>
      <c r="H1630" s="13"/>
    </row>
    <row r="1631" spans="1:8" x14ac:dyDescent="0.3">
      <c r="A1631" s="11"/>
      <c r="B1631" s="8"/>
      <c r="C1631" s="7" t="str">
        <f>IF(B1631="","",IFERROR(INDEX(Reactivos!$D$2:$D$435,MATCH(B1631,Reactivos!$A$2:$A$435,0)),"ID no existe"))</f>
        <v/>
      </c>
      <c r="D1631" s="8"/>
      <c r="E1631" s="7" t="str">
        <f>IF(B1631="","",IFERROR(INDEX(Reactivos!$H$2:$H$435,MATCH(B1631,Reactivos!$A$2:$A$435,0)),""))</f>
        <v/>
      </c>
      <c r="F1631" s="8"/>
      <c r="G1631" s="8"/>
      <c r="H1631" s="13"/>
    </row>
    <row r="1632" spans="1:8" x14ac:dyDescent="0.3">
      <c r="A1632" s="11"/>
      <c r="B1632" s="8"/>
      <c r="C1632" s="7" t="str">
        <f>IF(B1632="","",IFERROR(INDEX(Reactivos!$D$2:$D$435,MATCH(B1632,Reactivos!$A$2:$A$435,0)),"ID no existe"))</f>
        <v/>
      </c>
      <c r="D1632" s="8"/>
      <c r="E1632" s="7" t="str">
        <f>IF(B1632="","",IFERROR(INDEX(Reactivos!$H$2:$H$435,MATCH(B1632,Reactivos!$A$2:$A$435,0)),""))</f>
        <v/>
      </c>
      <c r="F1632" s="8"/>
      <c r="G1632" s="8"/>
      <c r="H1632" s="13"/>
    </row>
    <row r="1633" spans="1:8" x14ac:dyDescent="0.3">
      <c r="A1633" s="11"/>
      <c r="B1633" s="8"/>
      <c r="C1633" s="7" t="str">
        <f>IF(B1633="","",IFERROR(INDEX(Reactivos!$D$2:$D$435,MATCH(B1633,Reactivos!$A$2:$A$435,0)),"ID no existe"))</f>
        <v/>
      </c>
      <c r="D1633" s="8"/>
      <c r="E1633" s="7" t="str">
        <f>IF(B1633="","",IFERROR(INDEX(Reactivos!$H$2:$H$435,MATCH(B1633,Reactivos!$A$2:$A$435,0)),""))</f>
        <v/>
      </c>
      <c r="F1633" s="8"/>
      <c r="G1633" s="8"/>
      <c r="H1633" s="13"/>
    </row>
    <row r="1634" spans="1:8" x14ac:dyDescent="0.3">
      <c r="A1634" s="11"/>
      <c r="B1634" s="8"/>
      <c r="C1634" s="7" t="str">
        <f>IF(B1634="","",IFERROR(INDEX(Reactivos!$D$2:$D$435,MATCH(B1634,Reactivos!$A$2:$A$435,0)),"ID no existe"))</f>
        <v/>
      </c>
      <c r="D1634" s="8"/>
      <c r="E1634" s="7" t="str">
        <f>IF(B1634="","",IFERROR(INDEX(Reactivos!$H$2:$H$435,MATCH(B1634,Reactivos!$A$2:$A$435,0)),""))</f>
        <v/>
      </c>
      <c r="F1634" s="8"/>
      <c r="G1634" s="8"/>
      <c r="H1634" s="13"/>
    </row>
    <row r="1635" spans="1:8" x14ac:dyDescent="0.3">
      <c r="A1635" s="11"/>
      <c r="B1635" s="8"/>
      <c r="C1635" s="7" t="str">
        <f>IF(B1635="","",IFERROR(INDEX(Reactivos!$D$2:$D$435,MATCH(B1635,Reactivos!$A$2:$A$435,0)),"ID no existe"))</f>
        <v/>
      </c>
      <c r="D1635" s="8"/>
      <c r="E1635" s="7" t="str">
        <f>IF(B1635="","",IFERROR(INDEX(Reactivos!$H$2:$H$435,MATCH(B1635,Reactivos!$A$2:$A$435,0)),""))</f>
        <v/>
      </c>
      <c r="F1635" s="8"/>
      <c r="G1635" s="8"/>
      <c r="H1635" s="13"/>
    </row>
    <row r="1636" spans="1:8" x14ac:dyDescent="0.3">
      <c r="A1636" s="11"/>
      <c r="B1636" s="8"/>
      <c r="C1636" s="7" t="str">
        <f>IF(B1636="","",IFERROR(INDEX(Reactivos!$D$2:$D$435,MATCH(B1636,Reactivos!$A$2:$A$435,0)),"ID no existe"))</f>
        <v/>
      </c>
      <c r="D1636" s="8"/>
      <c r="E1636" s="7" t="str">
        <f>IF(B1636="","",IFERROR(INDEX(Reactivos!$H$2:$H$435,MATCH(B1636,Reactivos!$A$2:$A$435,0)),""))</f>
        <v/>
      </c>
      <c r="F1636" s="8"/>
      <c r="G1636" s="8"/>
      <c r="H1636" s="13"/>
    </row>
    <row r="1637" spans="1:8" x14ac:dyDescent="0.3">
      <c r="A1637" s="11"/>
      <c r="B1637" s="8"/>
      <c r="C1637" s="7" t="str">
        <f>IF(B1637="","",IFERROR(INDEX(Reactivos!$D$2:$D$435,MATCH(B1637,Reactivos!$A$2:$A$435,0)),"ID no existe"))</f>
        <v/>
      </c>
      <c r="D1637" s="8"/>
      <c r="E1637" s="7" t="str">
        <f>IF(B1637="","",IFERROR(INDEX(Reactivos!$H$2:$H$435,MATCH(B1637,Reactivos!$A$2:$A$435,0)),""))</f>
        <v/>
      </c>
      <c r="F1637" s="8"/>
      <c r="G1637" s="8"/>
      <c r="H1637" s="13"/>
    </row>
    <row r="1638" spans="1:8" x14ac:dyDescent="0.3">
      <c r="A1638" s="11"/>
      <c r="B1638" s="8"/>
      <c r="C1638" s="7" t="str">
        <f>IF(B1638="","",IFERROR(INDEX(Reactivos!$D$2:$D$435,MATCH(B1638,Reactivos!$A$2:$A$435,0)),"ID no existe"))</f>
        <v/>
      </c>
      <c r="D1638" s="8"/>
      <c r="E1638" s="7" t="str">
        <f>IF(B1638="","",IFERROR(INDEX(Reactivos!$H$2:$H$435,MATCH(B1638,Reactivos!$A$2:$A$435,0)),""))</f>
        <v/>
      </c>
      <c r="F1638" s="8"/>
      <c r="G1638" s="8"/>
      <c r="H1638" s="13"/>
    </row>
    <row r="1639" spans="1:8" x14ac:dyDescent="0.3">
      <c r="A1639" s="11"/>
      <c r="B1639" s="8"/>
      <c r="C1639" s="7" t="str">
        <f>IF(B1639="","",IFERROR(INDEX(Reactivos!$D$2:$D$435,MATCH(B1639,Reactivos!$A$2:$A$435,0)),"ID no existe"))</f>
        <v/>
      </c>
      <c r="D1639" s="8"/>
      <c r="E1639" s="7" t="str">
        <f>IF(B1639="","",IFERROR(INDEX(Reactivos!$H$2:$H$435,MATCH(B1639,Reactivos!$A$2:$A$435,0)),""))</f>
        <v/>
      </c>
      <c r="F1639" s="8"/>
      <c r="G1639" s="8"/>
      <c r="H1639" s="13"/>
    </row>
    <row r="1640" spans="1:8" x14ac:dyDescent="0.3">
      <c r="A1640" s="11"/>
      <c r="B1640" s="8"/>
      <c r="C1640" s="7" t="str">
        <f>IF(B1640="","",IFERROR(INDEX(Reactivos!$D$2:$D$435,MATCH(B1640,Reactivos!$A$2:$A$435,0)),"ID no existe"))</f>
        <v/>
      </c>
      <c r="D1640" s="8"/>
      <c r="E1640" s="7" t="str">
        <f>IF(B1640="","",IFERROR(INDEX(Reactivos!$H$2:$H$435,MATCH(B1640,Reactivos!$A$2:$A$435,0)),""))</f>
        <v/>
      </c>
      <c r="F1640" s="8"/>
      <c r="G1640" s="8"/>
      <c r="H1640" s="13"/>
    </row>
    <row r="1641" spans="1:8" x14ac:dyDescent="0.3">
      <c r="A1641" s="11"/>
      <c r="B1641" s="8"/>
      <c r="C1641" s="7" t="str">
        <f>IF(B1641="","",IFERROR(INDEX(Reactivos!$D$2:$D$435,MATCH(B1641,Reactivos!$A$2:$A$435,0)),"ID no existe"))</f>
        <v/>
      </c>
      <c r="D1641" s="8"/>
      <c r="E1641" s="7" t="str">
        <f>IF(B1641="","",IFERROR(INDEX(Reactivos!$H$2:$H$435,MATCH(B1641,Reactivos!$A$2:$A$435,0)),""))</f>
        <v/>
      </c>
      <c r="F1641" s="8"/>
      <c r="G1641" s="8"/>
      <c r="H1641" s="13"/>
    </row>
    <row r="1642" spans="1:8" x14ac:dyDescent="0.3">
      <c r="A1642" s="11"/>
      <c r="B1642" s="8"/>
      <c r="C1642" s="7" t="str">
        <f>IF(B1642="","",IFERROR(INDEX(Reactivos!$D$2:$D$435,MATCH(B1642,Reactivos!$A$2:$A$435,0)),"ID no existe"))</f>
        <v/>
      </c>
      <c r="D1642" s="8"/>
      <c r="E1642" s="7" t="str">
        <f>IF(B1642="","",IFERROR(INDEX(Reactivos!$H$2:$H$435,MATCH(B1642,Reactivos!$A$2:$A$435,0)),""))</f>
        <v/>
      </c>
      <c r="F1642" s="8"/>
      <c r="G1642" s="8"/>
      <c r="H1642" s="13"/>
    </row>
    <row r="1643" spans="1:8" x14ac:dyDescent="0.3">
      <c r="A1643" s="11"/>
      <c r="B1643" s="8"/>
      <c r="C1643" s="7" t="str">
        <f>IF(B1643="","",IFERROR(INDEX(Reactivos!$D$2:$D$435,MATCH(B1643,Reactivos!$A$2:$A$435,0)),"ID no existe"))</f>
        <v/>
      </c>
      <c r="D1643" s="8"/>
      <c r="E1643" s="7" t="str">
        <f>IF(B1643="","",IFERROR(INDEX(Reactivos!$H$2:$H$435,MATCH(B1643,Reactivos!$A$2:$A$435,0)),""))</f>
        <v/>
      </c>
      <c r="F1643" s="8"/>
      <c r="G1643" s="8"/>
      <c r="H1643" s="13"/>
    </row>
    <row r="1644" spans="1:8" x14ac:dyDescent="0.3">
      <c r="A1644" s="11"/>
      <c r="B1644" s="8"/>
      <c r="C1644" s="7" t="str">
        <f>IF(B1644="","",IFERROR(INDEX(Reactivos!$D$2:$D$435,MATCH(B1644,Reactivos!$A$2:$A$435,0)),"ID no existe"))</f>
        <v/>
      </c>
      <c r="D1644" s="8"/>
      <c r="E1644" s="7" t="str">
        <f>IF(B1644="","",IFERROR(INDEX(Reactivos!$H$2:$H$435,MATCH(B1644,Reactivos!$A$2:$A$435,0)),""))</f>
        <v/>
      </c>
      <c r="F1644" s="8"/>
      <c r="G1644" s="8"/>
      <c r="H1644" s="13"/>
    </row>
    <row r="1645" spans="1:8" x14ac:dyDescent="0.3">
      <c r="A1645" s="11"/>
      <c r="B1645" s="8"/>
      <c r="C1645" s="7" t="str">
        <f>IF(B1645="","",IFERROR(INDEX(Reactivos!$D$2:$D$435,MATCH(B1645,Reactivos!$A$2:$A$435,0)),"ID no existe"))</f>
        <v/>
      </c>
      <c r="D1645" s="8"/>
      <c r="E1645" s="7" t="str">
        <f>IF(B1645="","",IFERROR(INDEX(Reactivos!$H$2:$H$435,MATCH(B1645,Reactivos!$A$2:$A$435,0)),""))</f>
        <v/>
      </c>
      <c r="F1645" s="8"/>
      <c r="G1645" s="8"/>
      <c r="H1645" s="13"/>
    </row>
    <row r="1646" spans="1:8" x14ac:dyDescent="0.3">
      <c r="A1646" s="11"/>
      <c r="B1646" s="8"/>
      <c r="C1646" s="7" t="str">
        <f>IF(B1646="","",IFERROR(INDEX(Reactivos!$D$2:$D$435,MATCH(B1646,Reactivos!$A$2:$A$435,0)),"ID no existe"))</f>
        <v/>
      </c>
      <c r="D1646" s="8"/>
      <c r="E1646" s="7" t="str">
        <f>IF(B1646="","",IFERROR(INDEX(Reactivos!$H$2:$H$435,MATCH(B1646,Reactivos!$A$2:$A$435,0)),""))</f>
        <v/>
      </c>
      <c r="F1646" s="8"/>
      <c r="G1646" s="8"/>
      <c r="H1646" s="13"/>
    </row>
    <row r="1647" spans="1:8" x14ac:dyDescent="0.3">
      <c r="A1647" s="11"/>
      <c r="B1647" s="8"/>
      <c r="C1647" s="7" t="str">
        <f>IF(B1647="","",IFERROR(INDEX(Reactivos!$D$2:$D$435,MATCH(B1647,Reactivos!$A$2:$A$435,0)),"ID no existe"))</f>
        <v/>
      </c>
      <c r="D1647" s="8"/>
      <c r="E1647" s="7" t="str">
        <f>IF(B1647="","",IFERROR(INDEX(Reactivos!$H$2:$H$435,MATCH(B1647,Reactivos!$A$2:$A$435,0)),""))</f>
        <v/>
      </c>
      <c r="F1647" s="8"/>
      <c r="G1647" s="8"/>
      <c r="H1647" s="13"/>
    </row>
    <row r="1648" spans="1:8" x14ac:dyDescent="0.3">
      <c r="A1648" s="11"/>
      <c r="B1648" s="8"/>
      <c r="C1648" s="7" t="str">
        <f>IF(B1648="","",IFERROR(INDEX(Reactivos!$D$2:$D$435,MATCH(B1648,Reactivos!$A$2:$A$435,0)),"ID no existe"))</f>
        <v/>
      </c>
      <c r="D1648" s="8"/>
      <c r="E1648" s="7" t="str">
        <f>IF(B1648="","",IFERROR(INDEX(Reactivos!$H$2:$H$435,MATCH(B1648,Reactivos!$A$2:$A$435,0)),""))</f>
        <v/>
      </c>
      <c r="F1648" s="8"/>
      <c r="G1648" s="8"/>
      <c r="H1648" s="13"/>
    </row>
    <row r="1649" spans="1:8" x14ac:dyDescent="0.3">
      <c r="A1649" s="11"/>
      <c r="B1649" s="8"/>
      <c r="C1649" s="7" t="str">
        <f>IF(B1649="","",IFERROR(INDEX(Reactivos!$D$2:$D$435,MATCH(B1649,Reactivos!$A$2:$A$435,0)),"ID no existe"))</f>
        <v/>
      </c>
      <c r="D1649" s="8"/>
      <c r="E1649" s="7" t="str">
        <f>IF(B1649="","",IFERROR(INDEX(Reactivos!$H$2:$H$435,MATCH(B1649,Reactivos!$A$2:$A$435,0)),""))</f>
        <v/>
      </c>
      <c r="F1649" s="8"/>
      <c r="G1649" s="8"/>
      <c r="H1649" s="13"/>
    </row>
    <row r="1650" spans="1:8" x14ac:dyDescent="0.3">
      <c r="A1650" s="11"/>
      <c r="B1650" s="8"/>
      <c r="C1650" s="7" t="str">
        <f>IF(B1650="","",IFERROR(INDEX(Reactivos!$D$2:$D$435,MATCH(B1650,Reactivos!$A$2:$A$435,0)),"ID no existe"))</f>
        <v/>
      </c>
      <c r="D1650" s="8"/>
      <c r="E1650" s="7" t="str">
        <f>IF(B1650="","",IFERROR(INDEX(Reactivos!$H$2:$H$435,MATCH(B1650,Reactivos!$A$2:$A$435,0)),""))</f>
        <v/>
      </c>
      <c r="F1650" s="8"/>
      <c r="G1650" s="8"/>
      <c r="H1650" s="13"/>
    </row>
    <row r="1651" spans="1:8" x14ac:dyDescent="0.3">
      <c r="A1651" s="11"/>
      <c r="B1651" s="8"/>
      <c r="C1651" s="7" t="str">
        <f>IF(B1651="","",IFERROR(INDEX(Reactivos!$D$2:$D$435,MATCH(B1651,Reactivos!$A$2:$A$435,0)),"ID no existe"))</f>
        <v/>
      </c>
      <c r="D1651" s="8"/>
      <c r="E1651" s="7" t="str">
        <f>IF(B1651="","",IFERROR(INDEX(Reactivos!$H$2:$H$435,MATCH(B1651,Reactivos!$A$2:$A$435,0)),""))</f>
        <v/>
      </c>
      <c r="F1651" s="8"/>
      <c r="G1651" s="8"/>
      <c r="H1651" s="13"/>
    </row>
    <row r="1652" spans="1:8" x14ac:dyDescent="0.3">
      <c r="A1652" s="11"/>
      <c r="B1652" s="8"/>
      <c r="C1652" s="7" t="str">
        <f>IF(B1652="","",IFERROR(INDEX(Reactivos!$D$2:$D$435,MATCH(B1652,Reactivos!$A$2:$A$435,0)),"ID no existe"))</f>
        <v/>
      </c>
      <c r="D1652" s="8"/>
      <c r="E1652" s="7" t="str">
        <f>IF(B1652="","",IFERROR(INDEX(Reactivos!$H$2:$H$435,MATCH(B1652,Reactivos!$A$2:$A$435,0)),""))</f>
        <v/>
      </c>
      <c r="F1652" s="8"/>
      <c r="G1652" s="8"/>
      <c r="H1652" s="13"/>
    </row>
    <row r="1653" spans="1:8" x14ac:dyDescent="0.3">
      <c r="A1653" s="11"/>
      <c r="B1653" s="8"/>
      <c r="C1653" s="7" t="str">
        <f>IF(B1653="","",IFERROR(INDEX(Reactivos!$D$2:$D$435,MATCH(B1653,Reactivos!$A$2:$A$435,0)),"ID no existe"))</f>
        <v/>
      </c>
      <c r="D1653" s="8"/>
      <c r="E1653" s="7" t="str">
        <f>IF(B1653="","",IFERROR(INDEX(Reactivos!$H$2:$H$435,MATCH(B1653,Reactivos!$A$2:$A$435,0)),""))</f>
        <v/>
      </c>
      <c r="F1653" s="8"/>
      <c r="G1653" s="8"/>
      <c r="H1653" s="13"/>
    </row>
    <row r="1654" spans="1:8" x14ac:dyDescent="0.3">
      <c r="A1654" s="11"/>
      <c r="B1654" s="8"/>
      <c r="C1654" s="7" t="str">
        <f>IF(B1654="","",IFERROR(INDEX(Reactivos!$D$2:$D$435,MATCH(B1654,Reactivos!$A$2:$A$435,0)),"ID no existe"))</f>
        <v/>
      </c>
      <c r="D1654" s="8"/>
      <c r="E1654" s="7" t="str">
        <f>IF(B1654="","",IFERROR(INDEX(Reactivos!$H$2:$H$435,MATCH(B1654,Reactivos!$A$2:$A$435,0)),""))</f>
        <v/>
      </c>
      <c r="F1654" s="8"/>
      <c r="G1654" s="8"/>
      <c r="H1654" s="13"/>
    </row>
    <row r="1655" spans="1:8" x14ac:dyDescent="0.3">
      <c r="A1655" s="11"/>
      <c r="B1655" s="8"/>
      <c r="C1655" s="7" t="str">
        <f>IF(B1655="","",IFERROR(INDEX(Reactivos!$D$2:$D$435,MATCH(B1655,Reactivos!$A$2:$A$435,0)),"ID no existe"))</f>
        <v/>
      </c>
      <c r="D1655" s="8"/>
      <c r="E1655" s="7" t="str">
        <f>IF(B1655="","",IFERROR(INDEX(Reactivos!$H$2:$H$435,MATCH(B1655,Reactivos!$A$2:$A$435,0)),""))</f>
        <v/>
      </c>
      <c r="F1655" s="8"/>
      <c r="G1655" s="8"/>
      <c r="H1655" s="13"/>
    </row>
    <row r="1656" spans="1:8" x14ac:dyDescent="0.3">
      <c r="A1656" s="11"/>
      <c r="B1656" s="8"/>
      <c r="C1656" s="7" t="str">
        <f>IF(B1656="","",IFERROR(INDEX(Reactivos!$D$2:$D$435,MATCH(B1656,Reactivos!$A$2:$A$435,0)),"ID no existe"))</f>
        <v/>
      </c>
      <c r="D1656" s="8"/>
      <c r="E1656" s="7" t="str">
        <f>IF(B1656="","",IFERROR(INDEX(Reactivos!$H$2:$H$435,MATCH(B1656,Reactivos!$A$2:$A$435,0)),""))</f>
        <v/>
      </c>
      <c r="F1656" s="8"/>
      <c r="G1656" s="8"/>
      <c r="H1656" s="13"/>
    </row>
    <row r="1657" spans="1:8" x14ac:dyDescent="0.3">
      <c r="A1657" s="11"/>
      <c r="B1657" s="8"/>
      <c r="C1657" s="7" t="str">
        <f>IF(B1657="","",IFERROR(INDEX(Reactivos!$D$2:$D$435,MATCH(B1657,Reactivos!$A$2:$A$435,0)),"ID no existe"))</f>
        <v/>
      </c>
      <c r="D1657" s="8"/>
      <c r="E1657" s="7" t="str">
        <f>IF(B1657="","",IFERROR(INDEX(Reactivos!$H$2:$H$435,MATCH(B1657,Reactivos!$A$2:$A$435,0)),""))</f>
        <v/>
      </c>
      <c r="F1657" s="8"/>
      <c r="G1657" s="8"/>
      <c r="H1657" s="13"/>
    </row>
    <row r="1658" spans="1:8" x14ac:dyDescent="0.3">
      <c r="A1658" s="11"/>
      <c r="B1658" s="8"/>
      <c r="C1658" s="7" t="str">
        <f>IF(B1658="","",IFERROR(INDEX(Reactivos!$D$2:$D$435,MATCH(B1658,Reactivos!$A$2:$A$435,0)),"ID no existe"))</f>
        <v/>
      </c>
      <c r="D1658" s="8"/>
      <c r="E1658" s="7" t="str">
        <f>IF(B1658="","",IFERROR(INDEX(Reactivos!$H$2:$H$435,MATCH(B1658,Reactivos!$A$2:$A$435,0)),""))</f>
        <v/>
      </c>
      <c r="F1658" s="8"/>
      <c r="G1658" s="8"/>
      <c r="H1658" s="13"/>
    </row>
    <row r="1659" spans="1:8" x14ac:dyDescent="0.3">
      <c r="A1659" s="11"/>
      <c r="B1659" s="8"/>
      <c r="C1659" s="7" t="str">
        <f>IF(B1659="","",IFERROR(INDEX(Reactivos!$D$2:$D$435,MATCH(B1659,Reactivos!$A$2:$A$435,0)),"ID no existe"))</f>
        <v/>
      </c>
      <c r="D1659" s="8"/>
      <c r="E1659" s="7" t="str">
        <f>IF(B1659="","",IFERROR(INDEX(Reactivos!$H$2:$H$435,MATCH(B1659,Reactivos!$A$2:$A$435,0)),""))</f>
        <v/>
      </c>
      <c r="F1659" s="8"/>
      <c r="G1659" s="8"/>
      <c r="H1659" s="13"/>
    </row>
    <row r="1660" spans="1:8" x14ac:dyDescent="0.3">
      <c r="A1660" s="11"/>
      <c r="B1660" s="8"/>
      <c r="C1660" s="7" t="str">
        <f>IF(B1660="","",IFERROR(INDEX(Reactivos!$D$2:$D$435,MATCH(B1660,Reactivos!$A$2:$A$435,0)),"ID no existe"))</f>
        <v/>
      </c>
      <c r="D1660" s="8"/>
      <c r="E1660" s="7" t="str">
        <f>IF(B1660="","",IFERROR(INDEX(Reactivos!$H$2:$H$435,MATCH(B1660,Reactivos!$A$2:$A$435,0)),""))</f>
        <v/>
      </c>
      <c r="F1660" s="8"/>
      <c r="G1660" s="8"/>
      <c r="H1660" s="13"/>
    </row>
    <row r="1661" spans="1:8" x14ac:dyDescent="0.3">
      <c r="A1661" s="11"/>
      <c r="B1661" s="8"/>
      <c r="C1661" s="7" t="str">
        <f>IF(B1661="","",IFERROR(INDEX(Reactivos!$D$2:$D$435,MATCH(B1661,Reactivos!$A$2:$A$435,0)),"ID no existe"))</f>
        <v/>
      </c>
      <c r="D1661" s="8"/>
      <c r="E1661" s="7" t="str">
        <f>IF(B1661="","",IFERROR(INDEX(Reactivos!$H$2:$H$435,MATCH(B1661,Reactivos!$A$2:$A$435,0)),""))</f>
        <v/>
      </c>
      <c r="F1661" s="8"/>
      <c r="G1661" s="8"/>
      <c r="H1661" s="13"/>
    </row>
    <row r="1662" spans="1:8" x14ac:dyDescent="0.3">
      <c r="A1662" s="11"/>
      <c r="B1662" s="8"/>
      <c r="C1662" s="7" t="str">
        <f>IF(B1662="","",IFERROR(INDEX(Reactivos!$D$2:$D$435,MATCH(B1662,Reactivos!$A$2:$A$435,0)),"ID no existe"))</f>
        <v/>
      </c>
      <c r="D1662" s="8"/>
      <c r="E1662" s="7" t="str">
        <f>IF(B1662="","",IFERROR(INDEX(Reactivos!$H$2:$H$435,MATCH(B1662,Reactivos!$A$2:$A$435,0)),""))</f>
        <v/>
      </c>
      <c r="F1662" s="8"/>
      <c r="G1662" s="8"/>
      <c r="H1662" s="13"/>
    </row>
    <row r="1663" spans="1:8" x14ac:dyDescent="0.3">
      <c r="A1663" s="11"/>
      <c r="B1663" s="8"/>
      <c r="C1663" s="7" t="str">
        <f>IF(B1663="","",IFERROR(INDEX(Reactivos!$D$2:$D$435,MATCH(B1663,Reactivos!$A$2:$A$435,0)),"ID no existe"))</f>
        <v/>
      </c>
      <c r="D1663" s="8"/>
      <c r="E1663" s="7" t="str">
        <f>IF(B1663="","",IFERROR(INDEX(Reactivos!$H$2:$H$435,MATCH(B1663,Reactivos!$A$2:$A$435,0)),""))</f>
        <v/>
      </c>
      <c r="F1663" s="8"/>
      <c r="G1663" s="8"/>
      <c r="H1663" s="13"/>
    </row>
    <row r="1664" spans="1:8" x14ac:dyDescent="0.3">
      <c r="A1664" s="11"/>
      <c r="B1664" s="8"/>
      <c r="C1664" s="7" t="str">
        <f>IF(B1664="","",IFERROR(INDEX(Reactivos!$D$2:$D$435,MATCH(B1664,Reactivos!$A$2:$A$435,0)),"ID no existe"))</f>
        <v/>
      </c>
      <c r="D1664" s="8"/>
      <c r="E1664" s="7" t="str">
        <f>IF(B1664="","",IFERROR(INDEX(Reactivos!$H$2:$H$435,MATCH(B1664,Reactivos!$A$2:$A$435,0)),""))</f>
        <v/>
      </c>
      <c r="F1664" s="8"/>
      <c r="G1664" s="8"/>
      <c r="H1664" s="13"/>
    </row>
    <row r="1665" spans="1:8" x14ac:dyDescent="0.3">
      <c r="A1665" s="11"/>
      <c r="B1665" s="8"/>
      <c r="C1665" s="7" t="str">
        <f>IF(B1665="","",IFERROR(INDEX(Reactivos!$D$2:$D$435,MATCH(B1665,Reactivos!$A$2:$A$435,0)),"ID no existe"))</f>
        <v/>
      </c>
      <c r="D1665" s="8"/>
      <c r="E1665" s="7" t="str">
        <f>IF(B1665="","",IFERROR(INDEX(Reactivos!$H$2:$H$435,MATCH(B1665,Reactivos!$A$2:$A$435,0)),""))</f>
        <v/>
      </c>
      <c r="F1665" s="8"/>
      <c r="G1665" s="8"/>
      <c r="H1665" s="13"/>
    </row>
    <row r="1666" spans="1:8" x14ac:dyDescent="0.3">
      <c r="A1666" s="11"/>
      <c r="B1666" s="8"/>
      <c r="C1666" s="7" t="str">
        <f>IF(B1666="","",IFERROR(INDEX(Reactivos!$D$2:$D$435,MATCH(B1666,Reactivos!$A$2:$A$435,0)),"ID no existe"))</f>
        <v/>
      </c>
      <c r="D1666" s="8"/>
      <c r="E1666" s="7" t="str">
        <f>IF(B1666="","",IFERROR(INDEX(Reactivos!$H$2:$H$435,MATCH(B1666,Reactivos!$A$2:$A$435,0)),""))</f>
        <v/>
      </c>
      <c r="F1666" s="8"/>
      <c r="G1666" s="8"/>
      <c r="H1666" s="13"/>
    </row>
    <row r="1667" spans="1:8" x14ac:dyDescent="0.3">
      <c r="A1667" s="11"/>
      <c r="B1667" s="8"/>
      <c r="C1667" s="7" t="str">
        <f>IF(B1667="","",IFERROR(INDEX(Reactivos!$D$2:$D$435,MATCH(B1667,Reactivos!$A$2:$A$435,0)),"ID no existe"))</f>
        <v/>
      </c>
      <c r="D1667" s="8"/>
      <c r="E1667" s="7" t="str">
        <f>IF(B1667="","",IFERROR(INDEX(Reactivos!$H$2:$H$435,MATCH(B1667,Reactivos!$A$2:$A$435,0)),""))</f>
        <v/>
      </c>
      <c r="F1667" s="8"/>
      <c r="G1667" s="8"/>
      <c r="H1667" s="13"/>
    </row>
    <row r="1668" spans="1:8" x14ac:dyDescent="0.3">
      <c r="A1668" s="11"/>
      <c r="B1668" s="8"/>
      <c r="C1668" s="7" t="str">
        <f>IF(B1668="","",IFERROR(INDEX(Reactivos!$D$2:$D$435,MATCH(B1668,Reactivos!$A$2:$A$435,0)),"ID no existe"))</f>
        <v/>
      </c>
      <c r="D1668" s="8"/>
      <c r="E1668" s="7" t="str">
        <f>IF(B1668="","",IFERROR(INDEX(Reactivos!$H$2:$H$435,MATCH(B1668,Reactivos!$A$2:$A$435,0)),""))</f>
        <v/>
      </c>
      <c r="F1668" s="8"/>
      <c r="G1668" s="8"/>
      <c r="H1668" s="13"/>
    </row>
    <row r="1669" spans="1:8" x14ac:dyDescent="0.3">
      <c r="A1669" s="11"/>
      <c r="B1669" s="8"/>
      <c r="C1669" s="7" t="str">
        <f>IF(B1669="","",IFERROR(INDEX(Reactivos!$D$2:$D$435,MATCH(B1669,Reactivos!$A$2:$A$435,0)),"ID no existe"))</f>
        <v/>
      </c>
      <c r="D1669" s="8"/>
      <c r="E1669" s="7" t="str">
        <f>IF(B1669="","",IFERROR(INDEX(Reactivos!$H$2:$H$435,MATCH(B1669,Reactivos!$A$2:$A$435,0)),""))</f>
        <v/>
      </c>
      <c r="F1669" s="8"/>
      <c r="G1669" s="8"/>
      <c r="H1669" s="13"/>
    </row>
    <row r="1670" spans="1:8" x14ac:dyDescent="0.3">
      <c r="A1670" s="11"/>
      <c r="B1670" s="8"/>
      <c r="C1670" s="7" t="str">
        <f>IF(B1670="","",IFERROR(INDEX(Reactivos!$D$2:$D$435,MATCH(B1670,Reactivos!$A$2:$A$435,0)),"ID no existe"))</f>
        <v/>
      </c>
      <c r="D1670" s="8"/>
      <c r="E1670" s="7" t="str">
        <f>IF(B1670="","",IFERROR(INDEX(Reactivos!$H$2:$H$435,MATCH(B1670,Reactivos!$A$2:$A$435,0)),""))</f>
        <v/>
      </c>
      <c r="F1670" s="8"/>
      <c r="G1670" s="8"/>
      <c r="H1670" s="13"/>
    </row>
    <row r="1671" spans="1:8" x14ac:dyDescent="0.3">
      <c r="A1671" s="11"/>
      <c r="B1671" s="8"/>
      <c r="C1671" s="7" t="str">
        <f>IF(B1671="","",IFERROR(INDEX(Reactivos!$D$2:$D$435,MATCH(B1671,Reactivos!$A$2:$A$435,0)),"ID no existe"))</f>
        <v/>
      </c>
      <c r="D1671" s="8"/>
      <c r="E1671" s="7" t="str">
        <f>IF(B1671="","",IFERROR(INDEX(Reactivos!$H$2:$H$435,MATCH(B1671,Reactivos!$A$2:$A$435,0)),""))</f>
        <v/>
      </c>
      <c r="F1671" s="8"/>
      <c r="G1671" s="8"/>
      <c r="H1671" s="13"/>
    </row>
    <row r="1672" spans="1:8" x14ac:dyDescent="0.3">
      <c r="A1672" s="11"/>
      <c r="B1672" s="8"/>
      <c r="C1672" s="7" t="str">
        <f>IF(B1672="","",IFERROR(INDEX(Reactivos!$D$2:$D$435,MATCH(B1672,Reactivos!$A$2:$A$435,0)),"ID no existe"))</f>
        <v/>
      </c>
      <c r="D1672" s="8"/>
      <c r="E1672" s="7" t="str">
        <f>IF(B1672="","",IFERROR(INDEX(Reactivos!$H$2:$H$435,MATCH(B1672,Reactivos!$A$2:$A$435,0)),""))</f>
        <v/>
      </c>
      <c r="F1672" s="8"/>
      <c r="G1672" s="8"/>
      <c r="H1672" s="13"/>
    </row>
    <row r="1673" spans="1:8" x14ac:dyDescent="0.3">
      <c r="A1673" s="11"/>
      <c r="B1673" s="8"/>
      <c r="C1673" s="7" t="str">
        <f>IF(B1673="","",IFERROR(INDEX(Reactivos!$D$2:$D$435,MATCH(B1673,Reactivos!$A$2:$A$435,0)),"ID no existe"))</f>
        <v/>
      </c>
      <c r="D1673" s="8"/>
      <c r="E1673" s="7" t="str">
        <f>IF(B1673="","",IFERROR(INDEX(Reactivos!$H$2:$H$435,MATCH(B1673,Reactivos!$A$2:$A$435,0)),""))</f>
        <v/>
      </c>
      <c r="F1673" s="8"/>
      <c r="G1673" s="8"/>
      <c r="H1673" s="13"/>
    </row>
    <row r="1674" spans="1:8" x14ac:dyDescent="0.3">
      <c r="A1674" s="11"/>
      <c r="B1674" s="8"/>
      <c r="C1674" s="7" t="str">
        <f>IF(B1674="","",IFERROR(INDEX(Reactivos!$D$2:$D$435,MATCH(B1674,Reactivos!$A$2:$A$435,0)),"ID no existe"))</f>
        <v/>
      </c>
      <c r="D1674" s="8"/>
      <c r="E1674" s="7" t="str">
        <f>IF(B1674="","",IFERROR(INDEX(Reactivos!$H$2:$H$435,MATCH(B1674,Reactivos!$A$2:$A$435,0)),""))</f>
        <v/>
      </c>
      <c r="F1674" s="8"/>
      <c r="G1674" s="8"/>
      <c r="H1674" s="13"/>
    </row>
    <row r="1675" spans="1:8" x14ac:dyDescent="0.3">
      <c r="A1675" s="11"/>
      <c r="B1675" s="8"/>
      <c r="C1675" s="7" t="str">
        <f>IF(B1675="","",IFERROR(INDEX(Reactivos!$D$2:$D$435,MATCH(B1675,Reactivos!$A$2:$A$435,0)),"ID no existe"))</f>
        <v/>
      </c>
      <c r="D1675" s="8"/>
      <c r="E1675" s="7" t="str">
        <f>IF(B1675="","",IFERROR(INDEX(Reactivos!$H$2:$H$435,MATCH(B1675,Reactivos!$A$2:$A$435,0)),""))</f>
        <v/>
      </c>
      <c r="F1675" s="8"/>
      <c r="G1675" s="8"/>
      <c r="H1675" s="13"/>
    </row>
    <row r="1676" spans="1:8" x14ac:dyDescent="0.3">
      <c r="A1676" s="11"/>
      <c r="B1676" s="8"/>
      <c r="C1676" s="7" t="str">
        <f>IF(B1676="","",IFERROR(INDEX(Reactivos!$D$2:$D$435,MATCH(B1676,Reactivos!$A$2:$A$435,0)),"ID no existe"))</f>
        <v/>
      </c>
      <c r="D1676" s="8"/>
      <c r="E1676" s="7" t="str">
        <f>IF(B1676="","",IFERROR(INDEX(Reactivos!$H$2:$H$435,MATCH(B1676,Reactivos!$A$2:$A$435,0)),""))</f>
        <v/>
      </c>
      <c r="F1676" s="8"/>
      <c r="G1676" s="8"/>
      <c r="H1676" s="13"/>
    </row>
    <row r="1677" spans="1:8" x14ac:dyDescent="0.3">
      <c r="A1677" s="11"/>
      <c r="B1677" s="8"/>
      <c r="C1677" s="7" t="str">
        <f>IF(B1677="","",IFERROR(INDEX(Reactivos!$D$2:$D$435,MATCH(B1677,Reactivos!$A$2:$A$435,0)),"ID no existe"))</f>
        <v/>
      </c>
      <c r="D1677" s="8"/>
      <c r="E1677" s="7" t="str">
        <f>IF(B1677="","",IFERROR(INDEX(Reactivos!$H$2:$H$435,MATCH(B1677,Reactivos!$A$2:$A$435,0)),""))</f>
        <v/>
      </c>
      <c r="F1677" s="8"/>
      <c r="G1677" s="8"/>
      <c r="H1677" s="13"/>
    </row>
    <row r="1678" spans="1:8" x14ac:dyDescent="0.3">
      <c r="A1678" s="11"/>
      <c r="B1678" s="8"/>
      <c r="C1678" s="7" t="str">
        <f>IF(B1678="","",IFERROR(INDEX(Reactivos!$D$2:$D$435,MATCH(B1678,Reactivos!$A$2:$A$435,0)),"ID no existe"))</f>
        <v/>
      </c>
      <c r="D1678" s="8"/>
      <c r="E1678" s="7" t="str">
        <f>IF(B1678="","",IFERROR(INDEX(Reactivos!$H$2:$H$435,MATCH(B1678,Reactivos!$A$2:$A$435,0)),""))</f>
        <v/>
      </c>
      <c r="F1678" s="8"/>
      <c r="G1678" s="8"/>
      <c r="H1678" s="13"/>
    </row>
    <row r="1679" spans="1:8" x14ac:dyDescent="0.3">
      <c r="A1679" s="11"/>
      <c r="B1679" s="8"/>
      <c r="C1679" s="7" t="str">
        <f>IF(B1679="","",IFERROR(INDEX(Reactivos!$D$2:$D$435,MATCH(B1679,Reactivos!$A$2:$A$435,0)),"ID no existe"))</f>
        <v/>
      </c>
      <c r="D1679" s="8"/>
      <c r="E1679" s="7" t="str">
        <f>IF(B1679="","",IFERROR(INDEX(Reactivos!$H$2:$H$435,MATCH(B1679,Reactivos!$A$2:$A$435,0)),""))</f>
        <v/>
      </c>
      <c r="F1679" s="8"/>
      <c r="G1679" s="8"/>
      <c r="H1679" s="13"/>
    </row>
    <row r="1680" spans="1:8" x14ac:dyDescent="0.3">
      <c r="A1680" s="11"/>
      <c r="B1680" s="8"/>
      <c r="C1680" s="7" t="str">
        <f>IF(B1680="","",IFERROR(INDEX(Reactivos!$D$2:$D$435,MATCH(B1680,Reactivos!$A$2:$A$435,0)),"ID no existe"))</f>
        <v/>
      </c>
      <c r="D1680" s="8"/>
      <c r="E1680" s="7" t="str">
        <f>IF(B1680="","",IFERROR(INDEX(Reactivos!$H$2:$H$435,MATCH(B1680,Reactivos!$A$2:$A$435,0)),""))</f>
        <v/>
      </c>
      <c r="F1680" s="8"/>
      <c r="G1680" s="8"/>
      <c r="H1680" s="13"/>
    </row>
    <row r="1681" spans="1:8" x14ac:dyDescent="0.3">
      <c r="A1681" s="11"/>
      <c r="B1681" s="8"/>
      <c r="C1681" s="7" t="str">
        <f>IF(B1681="","",IFERROR(INDEX(Reactivos!$D$2:$D$435,MATCH(B1681,Reactivos!$A$2:$A$435,0)),"ID no existe"))</f>
        <v/>
      </c>
      <c r="D1681" s="8"/>
      <c r="E1681" s="7" t="str">
        <f>IF(B1681="","",IFERROR(INDEX(Reactivos!$H$2:$H$435,MATCH(B1681,Reactivos!$A$2:$A$435,0)),""))</f>
        <v/>
      </c>
      <c r="F1681" s="8"/>
      <c r="G1681" s="8"/>
      <c r="H1681" s="13"/>
    </row>
    <row r="1682" spans="1:8" x14ac:dyDescent="0.3">
      <c r="A1682" s="11"/>
      <c r="B1682" s="8"/>
      <c r="C1682" s="7" t="str">
        <f>IF(B1682="","",IFERROR(INDEX(Reactivos!$D$2:$D$435,MATCH(B1682,Reactivos!$A$2:$A$435,0)),"ID no existe"))</f>
        <v/>
      </c>
      <c r="D1682" s="8"/>
      <c r="E1682" s="7" t="str">
        <f>IF(B1682="","",IFERROR(INDEX(Reactivos!$H$2:$H$435,MATCH(B1682,Reactivos!$A$2:$A$435,0)),""))</f>
        <v/>
      </c>
      <c r="F1682" s="8"/>
      <c r="G1682" s="8"/>
      <c r="H1682" s="13"/>
    </row>
    <row r="1683" spans="1:8" x14ac:dyDescent="0.3">
      <c r="A1683" s="11"/>
      <c r="B1683" s="8"/>
      <c r="C1683" s="7" t="str">
        <f>IF(B1683="","",IFERROR(INDEX(Reactivos!$D$2:$D$435,MATCH(B1683,Reactivos!$A$2:$A$435,0)),"ID no existe"))</f>
        <v/>
      </c>
      <c r="D1683" s="8"/>
      <c r="E1683" s="7" t="str">
        <f>IF(B1683="","",IFERROR(INDEX(Reactivos!$H$2:$H$435,MATCH(B1683,Reactivos!$A$2:$A$435,0)),""))</f>
        <v/>
      </c>
      <c r="F1683" s="8"/>
      <c r="G1683" s="8"/>
      <c r="H1683" s="13"/>
    </row>
    <row r="1684" spans="1:8" x14ac:dyDescent="0.3">
      <c r="A1684" s="11"/>
      <c r="B1684" s="8"/>
      <c r="C1684" s="7" t="str">
        <f>IF(B1684="","",IFERROR(INDEX(Reactivos!$D$2:$D$435,MATCH(B1684,Reactivos!$A$2:$A$435,0)),"ID no existe"))</f>
        <v/>
      </c>
      <c r="D1684" s="8"/>
      <c r="E1684" s="7" t="str">
        <f>IF(B1684="","",IFERROR(INDEX(Reactivos!$H$2:$H$435,MATCH(B1684,Reactivos!$A$2:$A$435,0)),""))</f>
        <v/>
      </c>
      <c r="F1684" s="8"/>
      <c r="G1684" s="8"/>
      <c r="H1684" s="13"/>
    </row>
    <row r="1685" spans="1:8" x14ac:dyDescent="0.3">
      <c r="A1685" s="11"/>
      <c r="B1685" s="8"/>
      <c r="C1685" s="7" t="str">
        <f>IF(B1685="","",IFERROR(INDEX(Reactivos!$D$2:$D$435,MATCH(B1685,Reactivos!$A$2:$A$435,0)),"ID no existe"))</f>
        <v/>
      </c>
      <c r="D1685" s="8"/>
      <c r="E1685" s="7" t="str">
        <f>IF(B1685="","",IFERROR(INDEX(Reactivos!$H$2:$H$435,MATCH(B1685,Reactivos!$A$2:$A$435,0)),""))</f>
        <v/>
      </c>
      <c r="F1685" s="8"/>
      <c r="G1685" s="8"/>
      <c r="H1685" s="13"/>
    </row>
    <row r="1686" spans="1:8" x14ac:dyDescent="0.3">
      <c r="A1686" s="11"/>
      <c r="B1686" s="8"/>
      <c r="C1686" s="7" t="str">
        <f>IF(B1686="","",IFERROR(INDEX(Reactivos!$D$2:$D$435,MATCH(B1686,Reactivos!$A$2:$A$435,0)),"ID no existe"))</f>
        <v/>
      </c>
      <c r="D1686" s="8"/>
      <c r="E1686" s="7" t="str">
        <f>IF(B1686="","",IFERROR(INDEX(Reactivos!$H$2:$H$435,MATCH(B1686,Reactivos!$A$2:$A$435,0)),""))</f>
        <v/>
      </c>
      <c r="F1686" s="8"/>
      <c r="G1686" s="8"/>
      <c r="H1686" s="13"/>
    </row>
    <row r="1687" spans="1:8" x14ac:dyDescent="0.3">
      <c r="A1687" s="11"/>
      <c r="B1687" s="8"/>
      <c r="C1687" s="7" t="str">
        <f>IF(B1687="","",IFERROR(INDEX(Reactivos!$D$2:$D$435,MATCH(B1687,Reactivos!$A$2:$A$435,0)),"ID no existe"))</f>
        <v/>
      </c>
      <c r="D1687" s="8"/>
      <c r="E1687" s="7" t="str">
        <f>IF(B1687="","",IFERROR(INDEX(Reactivos!$H$2:$H$435,MATCH(B1687,Reactivos!$A$2:$A$435,0)),""))</f>
        <v/>
      </c>
      <c r="F1687" s="8"/>
      <c r="G1687" s="8"/>
      <c r="H1687" s="13"/>
    </row>
    <row r="1688" spans="1:8" x14ac:dyDescent="0.3">
      <c r="A1688" s="11"/>
      <c r="B1688" s="8"/>
      <c r="C1688" s="7" t="str">
        <f>IF(B1688="","",IFERROR(INDEX(Reactivos!$D$2:$D$435,MATCH(B1688,Reactivos!$A$2:$A$435,0)),"ID no existe"))</f>
        <v/>
      </c>
      <c r="D1688" s="8"/>
      <c r="E1688" s="7" t="str">
        <f>IF(B1688="","",IFERROR(INDEX(Reactivos!$H$2:$H$435,MATCH(B1688,Reactivos!$A$2:$A$435,0)),""))</f>
        <v/>
      </c>
      <c r="F1688" s="8"/>
      <c r="G1688" s="8"/>
      <c r="H1688" s="13"/>
    </row>
    <row r="1689" spans="1:8" x14ac:dyDescent="0.3">
      <c r="A1689" s="11"/>
      <c r="B1689" s="8"/>
      <c r="C1689" s="7" t="str">
        <f>IF(B1689="","",IFERROR(INDEX(Reactivos!$D$2:$D$435,MATCH(B1689,Reactivos!$A$2:$A$435,0)),"ID no existe"))</f>
        <v/>
      </c>
      <c r="D1689" s="8"/>
      <c r="E1689" s="7" t="str">
        <f>IF(B1689="","",IFERROR(INDEX(Reactivos!$H$2:$H$435,MATCH(B1689,Reactivos!$A$2:$A$435,0)),""))</f>
        <v/>
      </c>
      <c r="F1689" s="8"/>
      <c r="G1689" s="8"/>
      <c r="H1689" s="13"/>
    </row>
    <row r="1690" spans="1:8" x14ac:dyDescent="0.3">
      <c r="A1690" s="11"/>
      <c r="B1690" s="8"/>
      <c r="C1690" s="7" t="str">
        <f>IF(B1690="","",IFERROR(INDEX(Reactivos!$D$2:$D$435,MATCH(B1690,Reactivos!$A$2:$A$435,0)),"ID no existe"))</f>
        <v/>
      </c>
      <c r="D1690" s="8"/>
      <c r="E1690" s="7" t="str">
        <f>IF(B1690="","",IFERROR(INDEX(Reactivos!$H$2:$H$435,MATCH(B1690,Reactivos!$A$2:$A$435,0)),""))</f>
        <v/>
      </c>
      <c r="F1690" s="8"/>
      <c r="G1690" s="8"/>
      <c r="H1690" s="13"/>
    </row>
    <row r="1691" spans="1:8" x14ac:dyDescent="0.3">
      <c r="A1691" s="11"/>
      <c r="B1691" s="8"/>
      <c r="C1691" s="7" t="str">
        <f>IF(B1691="","",IFERROR(INDEX(Reactivos!$D$2:$D$435,MATCH(B1691,Reactivos!$A$2:$A$435,0)),"ID no existe"))</f>
        <v/>
      </c>
      <c r="D1691" s="8"/>
      <c r="E1691" s="7" t="str">
        <f>IF(B1691="","",IFERROR(INDEX(Reactivos!$H$2:$H$435,MATCH(B1691,Reactivos!$A$2:$A$435,0)),""))</f>
        <v/>
      </c>
      <c r="F1691" s="8"/>
      <c r="G1691" s="8"/>
      <c r="H1691" s="13"/>
    </row>
    <row r="1692" spans="1:8" x14ac:dyDescent="0.3">
      <c r="A1692" s="11"/>
      <c r="B1692" s="8"/>
      <c r="C1692" s="7" t="str">
        <f>IF(B1692="","",IFERROR(INDEX(Reactivos!$D$2:$D$435,MATCH(B1692,Reactivos!$A$2:$A$435,0)),"ID no existe"))</f>
        <v/>
      </c>
      <c r="D1692" s="8"/>
      <c r="E1692" s="7" t="str">
        <f>IF(B1692="","",IFERROR(INDEX(Reactivos!$H$2:$H$435,MATCH(B1692,Reactivos!$A$2:$A$435,0)),""))</f>
        <v/>
      </c>
      <c r="F1692" s="8"/>
      <c r="G1692" s="8"/>
      <c r="H1692" s="13"/>
    </row>
    <row r="1693" spans="1:8" x14ac:dyDescent="0.3">
      <c r="A1693" s="11"/>
      <c r="B1693" s="8"/>
      <c r="C1693" s="7" t="str">
        <f>IF(B1693="","",IFERROR(INDEX(Reactivos!$D$2:$D$435,MATCH(B1693,Reactivos!$A$2:$A$435,0)),"ID no existe"))</f>
        <v/>
      </c>
      <c r="D1693" s="8"/>
      <c r="E1693" s="7" t="str">
        <f>IF(B1693="","",IFERROR(INDEX(Reactivos!$H$2:$H$435,MATCH(B1693,Reactivos!$A$2:$A$435,0)),""))</f>
        <v/>
      </c>
      <c r="F1693" s="8"/>
      <c r="G1693" s="8"/>
      <c r="H1693" s="13"/>
    </row>
    <row r="1694" spans="1:8" x14ac:dyDescent="0.3">
      <c r="A1694" s="11"/>
      <c r="B1694" s="8"/>
      <c r="C1694" s="7" t="str">
        <f>IF(B1694="","",IFERROR(INDEX(Reactivos!$D$2:$D$435,MATCH(B1694,Reactivos!$A$2:$A$435,0)),"ID no existe"))</f>
        <v/>
      </c>
      <c r="D1694" s="8"/>
      <c r="E1694" s="7" t="str">
        <f>IF(B1694="","",IFERROR(INDEX(Reactivos!$H$2:$H$435,MATCH(B1694,Reactivos!$A$2:$A$435,0)),""))</f>
        <v/>
      </c>
      <c r="F1694" s="8"/>
      <c r="G1694" s="8"/>
      <c r="H1694" s="13"/>
    </row>
    <row r="1695" spans="1:8" x14ac:dyDescent="0.3">
      <c r="A1695" s="11"/>
      <c r="B1695" s="8"/>
      <c r="C1695" s="7" t="str">
        <f>IF(B1695="","",IFERROR(INDEX(Reactivos!$D$2:$D$435,MATCH(B1695,Reactivos!$A$2:$A$435,0)),"ID no existe"))</f>
        <v/>
      </c>
      <c r="D1695" s="8"/>
      <c r="E1695" s="7" t="str">
        <f>IF(B1695="","",IFERROR(INDEX(Reactivos!$H$2:$H$435,MATCH(B1695,Reactivos!$A$2:$A$435,0)),""))</f>
        <v/>
      </c>
      <c r="F1695" s="8"/>
      <c r="G1695" s="8"/>
      <c r="H1695" s="13"/>
    </row>
    <row r="1696" spans="1:8" x14ac:dyDescent="0.3">
      <c r="A1696" s="11"/>
      <c r="B1696" s="8"/>
      <c r="C1696" s="7" t="str">
        <f>IF(B1696="","",IFERROR(INDEX(Reactivos!$D$2:$D$435,MATCH(B1696,Reactivos!$A$2:$A$435,0)),"ID no existe"))</f>
        <v/>
      </c>
      <c r="D1696" s="8"/>
      <c r="E1696" s="7" t="str">
        <f>IF(B1696="","",IFERROR(INDEX(Reactivos!$H$2:$H$435,MATCH(B1696,Reactivos!$A$2:$A$435,0)),""))</f>
        <v/>
      </c>
      <c r="F1696" s="8"/>
      <c r="G1696" s="8"/>
      <c r="H1696" s="13"/>
    </row>
    <row r="1697" spans="1:8" x14ac:dyDescent="0.3">
      <c r="A1697" s="11"/>
      <c r="B1697" s="8"/>
      <c r="C1697" s="7" t="str">
        <f>IF(B1697="","",IFERROR(INDEX(Reactivos!$D$2:$D$435,MATCH(B1697,Reactivos!$A$2:$A$435,0)),"ID no existe"))</f>
        <v/>
      </c>
      <c r="D1697" s="8"/>
      <c r="E1697" s="7" t="str">
        <f>IF(B1697="","",IFERROR(INDEX(Reactivos!$H$2:$H$435,MATCH(B1697,Reactivos!$A$2:$A$435,0)),""))</f>
        <v/>
      </c>
      <c r="F1697" s="8"/>
      <c r="G1697" s="8"/>
      <c r="H1697" s="13"/>
    </row>
    <row r="1698" spans="1:8" x14ac:dyDescent="0.3">
      <c r="A1698" s="11"/>
      <c r="B1698" s="8"/>
      <c r="C1698" s="7" t="str">
        <f>IF(B1698="","",IFERROR(INDEX(Reactivos!$D$2:$D$435,MATCH(B1698,Reactivos!$A$2:$A$435,0)),"ID no existe"))</f>
        <v/>
      </c>
      <c r="D1698" s="8"/>
      <c r="E1698" s="7" t="str">
        <f>IF(B1698="","",IFERROR(INDEX(Reactivos!$H$2:$H$435,MATCH(B1698,Reactivos!$A$2:$A$435,0)),""))</f>
        <v/>
      </c>
      <c r="F1698" s="8"/>
      <c r="G1698" s="8"/>
      <c r="H1698" s="13"/>
    </row>
    <row r="1699" spans="1:8" x14ac:dyDescent="0.3">
      <c r="A1699" s="11"/>
      <c r="B1699" s="8"/>
      <c r="C1699" s="7" t="str">
        <f>IF(B1699="","",IFERROR(INDEX(Reactivos!$D$2:$D$435,MATCH(B1699,Reactivos!$A$2:$A$435,0)),"ID no existe"))</f>
        <v/>
      </c>
      <c r="D1699" s="8"/>
      <c r="E1699" s="7" t="str">
        <f>IF(B1699="","",IFERROR(INDEX(Reactivos!$H$2:$H$435,MATCH(B1699,Reactivos!$A$2:$A$435,0)),""))</f>
        <v/>
      </c>
      <c r="F1699" s="8"/>
      <c r="G1699" s="8"/>
      <c r="H1699" s="13"/>
    </row>
    <row r="1700" spans="1:8" x14ac:dyDescent="0.3">
      <c r="A1700" s="11"/>
      <c r="B1700" s="8"/>
      <c r="C1700" s="7" t="str">
        <f>IF(B1700="","",IFERROR(INDEX(Reactivos!$D$2:$D$435,MATCH(B1700,Reactivos!$A$2:$A$435,0)),"ID no existe"))</f>
        <v/>
      </c>
      <c r="D1700" s="8"/>
      <c r="E1700" s="7" t="str">
        <f>IF(B1700="","",IFERROR(INDEX(Reactivos!$H$2:$H$435,MATCH(B1700,Reactivos!$A$2:$A$435,0)),""))</f>
        <v/>
      </c>
      <c r="F1700" s="8"/>
      <c r="G1700" s="8"/>
      <c r="H1700" s="13"/>
    </row>
    <row r="1701" spans="1:8" x14ac:dyDescent="0.3">
      <c r="A1701" s="11"/>
      <c r="B1701" s="8"/>
      <c r="C1701" s="7" t="str">
        <f>IF(B1701="","",IFERROR(INDEX(Reactivos!$D$2:$D$435,MATCH(B1701,Reactivos!$A$2:$A$435,0)),"ID no existe"))</f>
        <v/>
      </c>
      <c r="D1701" s="8"/>
      <c r="E1701" s="7" t="str">
        <f>IF(B1701="","",IFERROR(INDEX(Reactivos!$H$2:$H$435,MATCH(B1701,Reactivos!$A$2:$A$435,0)),""))</f>
        <v/>
      </c>
      <c r="F1701" s="8"/>
      <c r="G1701" s="8"/>
      <c r="H1701" s="13"/>
    </row>
    <row r="1702" spans="1:8" x14ac:dyDescent="0.3">
      <c r="A1702" s="11"/>
      <c r="B1702" s="8"/>
      <c r="C1702" s="7" t="str">
        <f>IF(B1702="","",IFERROR(INDEX(Reactivos!$D$2:$D$435,MATCH(B1702,Reactivos!$A$2:$A$435,0)),"ID no existe"))</f>
        <v/>
      </c>
      <c r="D1702" s="8"/>
      <c r="E1702" s="7" t="str">
        <f>IF(B1702="","",IFERROR(INDEX(Reactivos!$H$2:$H$435,MATCH(B1702,Reactivos!$A$2:$A$435,0)),""))</f>
        <v/>
      </c>
      <c r="F1702" s="8"/>
      <c r="G1702" s="8"/>
      <c r="H1702" s="13"/>
    </row>
    <row r="1703" spans="1:8" x14ac:dyDescent="0.3">
      <c r="A1703" s="11"/>
      <c r="B1703" s="8"/>
      <c r="C1703" s="7" t="str">
        <f>IF(B1703="","",IFERROR(INDEX(Reactivos!$D$2:$D$435,MATCH(B1703,Reactivos!$A$2:$A$435,0)),"ID no existe"))</f>
        <v/>
      </c>
      <c r="D1703" s="8"/>
      <c r="E1703" s="7" t="str">
        <f>IF(B1703="","",IFERROR(INDEX(Reactivos!$H$2:$H$435,MATCH(B1703,Reactivos!$A$2:$A$435,0)),""))</f>
        <v/>
      </c>
      <c r="F1703" s="8"/>
      <c r="G1703" s="8"/>
      <c r="H1703" s="13"/>
    </row>
    <row r="1704" spans="1:8" x14ac:dyDescent="0.3">
      <c r="A1704" s="11"/>
      <c r="B1704" s="8"/>
      <c r="C1704" s="7" t="str">
        <f>IF(B1704="","",IFERROR(INDEX(Reactivos!$D$2:$D$435,MATCH(B1704,Reactivos!$A$2:$A$435,0)),"ID no existe"))</f>
        <v/>
      </c>
      <c r="D1704" s="8"/>
      <c r="E1704" s="7" t="str">
        <f>IF(B1704="","",IFERROR(INDEX(Reactivos!$H$2:$H$435,MATCH(B1704,Reactivos!$A$2:$A$435,0)),""))</f>
        <v/>
      </c>
      <c r="F1704" s="8"/>
      <c r="G1704" s="8"/>
      <c r="H1704" s="13"/>
    </row>
    <row r="1705" spans="1:8" x14ac:dyDescent="0.3">
      <c r="A1705" s="11"/>
      <c r="B1705" s="8"/>
      <c r="C1705" s="7" t="str">
        <f>IF(B1705="","",IFERROR(INDEX(Reactivos!$D$2:$D$435,MATCH(B1705,Reactivos!$A$2:$A$435,0)),"ID no existe"))</f>
        <v/>
      </c>
      <c r="D1705" s="8"/>
      <c r="E1705" s="7" t="str">
        <f>IF(B1705="","",IFERROR(INDEX(Reactivos!$H$2:$H$435,MATCH(B1705,Reactivos!$A$2:$A$435,0)),""))</f>
        <v/>
      </c>
      <c r="F1705" s="8"/>
      <c r="G1705" s="8"/>
      <c r="H1705" s="13"/>
    </row>
    <row r="1706" spans="1:8" x14ac:dyDescent="0.3">
      <c r="A1706" s="11"/>
      <c r="B1706" s="8"/>
      <c r="C1706" s="7" t="str">
        <f>IF(B1706="","",IFERROR(INDEX(Reactivos!$D$2:$D$435,MATCH(B1706,Reactivos!$A$2:$A$435,0)),"ID no existe"))</f>
        <v/>
      </c>
      <c r="D1706" s="8"/>
      <c r="E1706" s="7" t="str">
        <f>IF(B1706="","",IFERROR(INDEX(Reactivos!$H$2:$H$435,MATCH(B1706,Reactivos!$A$2:$A$435,0)),""))</f>
        <v/>
      </c>
      <c r="F1706" s="8"/>
      <c r="G1706" s="8"/>
      <c r="H1706" s="13"/>
    </row>
    <row r="1707" spans="1:8" x14ac:dyDescent="0.3">
      <c r="A1707" s="11"/>
      <c r="B1707" s="8"/>
      <c r="C1707" s="7" t="str">
        <f>IF(B1707="","",IFERROR(INDEX(Reactivos!$D$2:$D$435,MATCH(B1707,Reactivos!$A$2:$A$435,0)),"ID no existe"))</f>
        <v/>
      </c>
      <c r="D1707" s="8"/>
      <c r="E1707" s="7" t="str">
        <f>IF(B1707="","",IFERROR(INDEX(Reactivos!$H$2:$H$435,MATCH(B1707,Reactivos!$A$2:$A$435,0)),""))</f>
        <v/>
      </c>
      <c r="F1707" s="8"/>
      <c r="G1707" s="8"/>
      <c r="H1707" s="13"/>
    </row>
    <row r="1708" spans="1:8" x14ac:dyDescent="0.3">
      <c r="A1708" s="11"/>
      <c r="B1708" s="8"/>
      <c r="C1708" s="7" t="str">
        <f>IF(B1708="","",IFERROR(INDEX(Reactivos!$D$2:$D$435,MATCH(B1708,Reactivos!$A$2:$A$435,0)),"ID no existe"))</f>
        <v/>
      </c>
      <c r="D1708" s="8"/>
      <c r="E1708" s="7" t="str">
        <f>IF(B1708="","",IFERROR(INDEX(Reactivos!$H$2:$H$435,MATCH(B1708,Reactivos!$A$2:$A$435,0)),""))</f>
        <v/>
      </c>
      <c r="F1708" s="8"/>
      <c r="G1708" s="8"/>
      <c r="H1708" s="13"/>
    </row>
    <row r="1709" spans="1:8" x14ac:dyDescent="0.3">
      <c r="A1709" s="11"/>
      <c r="B1709" s="8"/>
      <c r="C1709" s="7" t="str">
        <f>IF(B1709="","",IFERROR(INDEX(Reactivos!$D$2:$D$435,MATCH(B1709,Reactivos!$A$2:$A$435,0)),"ID no existe"))</f>
        <v/>
      </c>
      <c r="D1709" s="8"/>
      <c r="E1709" s="7" t="str">
        <f>IF(B1709="","",IFERROR(INDEX(Reactivos!$H$2:$H$435,MATCH(B1709,Reactivos!$A$2:$A$435,0)),""))</f>
        <v/>
      </c>
      <c r="F1709" s="8"/>
      <c r="G1709" s="8"/>
      <c r="H1709" s="13"/>
    </row>
    <row r="1710" spans="1:8" x14ac:dyDescent="0.3">
      <c r="A1710" s="11"/>
      <c r="B1710" s="8"/>
      <c r="C1710" s="7" t="str">
        <f>IF(B1710="","",IFERROR(INDEX(Reactivos!$D$2:$D$435,MATCH(B1710,Reactivos!$A$2:$A$435,0)),"ID no existe"))</f>
        <v/>
      </c>
      <c r="D1710" s="8"/>
      <c r="E1710" s="7" t="str">
        <f>IF(B1710="","",IFERROR(INDEX(Reactivos!$H$2:$H$435,MATCH(B1710,Reactivos!$A$2:$A$435,0)),""))</f>
        <v/>
      </c>
      <c r="F1710" s="8"/>
      <c r="G1710" s="8"/>
      <c r="H1710" s="13"/>
    </row>
    <row r="1711" spans="1:8" x14ac:dyDescent="0.3">
      <c r="A1711" s="11"/>
      <c r="B1711" s="8"/>
      <c r="C1711" s="7" t="str">
        <f>IF(B1711="","",IFERROR(INDEX(Reactivos!$D$2:$D$435,MATCH(B1711,Reactivos!$A$2:$A$435,0)),"ID no existe"))</f>
        <v/>
      </c>
      <c r="D1711" s="8"/>
      <c r="E1711" s="7" t="str">
        <f>IF(B1711="","",IFERROR(INDEX(Reactivos!$H$2:$H$435,MATCH(B1711,Reactivos!$A$2:$A$435,0)),""))</f>
        <v/>
      </c>
      <c r="F1711" s="8"/>
      <c r="G1711" s="8"/>
      <c r="H1711" s="13"/>
    </row>
    <row r="1712" spans="1:8" x14ac:dyDescent="0.3">
      <c r="A1712" s="11"/>
      <c r="B1712" s="8"/>
      <c r="C1712" s="7" t="str">
        <f>IF(B1712="","",IFERROR(INDEX(Reactivos!$D$2:$D$435,MATCH(B1712,Reactivos!$A$2:$A$435,0)),"ID no existe"))</f>
        <v/>
      </c>
      <c r="D1712" s="8"/>
      <c r="E1712" s="7" t="str">
        <f>IF(B1712="","",IFERROR(INDEX(Reactivos!$H$2:$H$435,MATCH(B1712,Reactivos!$A$2:$A$435,0)),""))</f>
        <v/>
      </c>
      <c r="F1712" s="8"/>
      <c r="G1712" s="8"/>
      <c r="H1712" s="13"/>
    </row>
    <row r="1713" spans="1:8" x14ac:dyDescent="0.3">
      <c r="A1713" s="11"/>
      <c r="B1713" s="8"/>
      <c r="C1713" s="7" t="str">
        <f>IF(B1713="","",IFERROR(INDEX(Reactivos!$D$2:$D$435,MATCH(B1713,Reactivos!$A$2:$A$435,0)),"ID no existe"))</f>
        <v/>
      </c>
      <c r="D1713" s="8"/>
      <c r="E1713" s="7" t="str">
        <f>IF(B1713="","",IFERROR(INDEX(Reactivos!$H$2:$H$435,MATCH(B1713,Reactivos!$A$2:$A$435,0)),""))</f>
        <v/>
      </c>
      <c r="F1713" s="8"/>
      <c r="G1713" s="8"/>
      <c r="H1713" s="13"/>
    </row>
    <row r="1714" spans="1:8" x14ac:dyDescent="0.3">
      <c r="A1714" s="11"/>
      <c r="B1714" s="8"/>
      <c r="C1714" s="7" t="str">
        <f>IF(B1714="","",IFERROR(INDEX(Reactivos!$D$2:$D$435,MATCH(B1714,Reactivos!$A$2:$A$435,0)),"ID no existe"))</f>
        <v/>
      </c>
      <c r="D1714" s="8"/>
      <c r="E1714" s="7" t="str">
        <f>IF(B1714="","",IFERROR(INDEX(Reactivos!$H$2:$H$435,MATCH(B1714,Reactivos!$A$2:$A$435,0)),""))</f>
        <v/>
      </c>
      <c r="F1714" s="8"/>
      <c r="G1714" s="8"/>
      <c r="H1714" s="13"/>
    </row>
    <row r="1715" spans="1:8" x14ac:dyDescent="0.3">
      <c r="A1715" s="11"/>
      <c r="B1715" s="8"/>
      <c r="C1715" s="7" t="str">
        <f>IF(B1715="","",IFERROR(INDEX(Reactivos!$D$2:$D$435,MATCH(B1715,Reactivos!$A$2:$A$435,0)),"ID no existe"))</f>
        <v/>
      </c>
      <c r="D1715" s="8"/>
      <c r="E1715" s="7" t="str">
        <f>IF(B1715="","",IFERROR(INDEX(Reactivos!$H$2:$H$435,MATCH(B1715,Reactivos!$A$2:$A$435,0)),""))</f>
        <v/>
      </c>
      <c r="F1715" s="8"/>
      <c r="G1715" s="8"/>
      <c r="H1715" s="13"/>
    </row>
    <row r="1716" spans="1:8" x14ac:dyDescent="0.3">
      <c r="A1716" s="11"/>
      <c r="B1716" s="8"/>
      <c r="C1716" s="7" t="str">
        <f>IF(B1716="","",IFERROR(INDEX(Reactivos!$D$2:$D$435,MATCH(B1716,Reactivos!$A$2:$A$435,0)),"ID no existe"))</f>
        <v/>
      </c>
      <c r="D1716" s="8"/>
      <c r="E1716" s="7" t="str">
        <f>IF(B1716="","",IFERROR(INDEX(Reactivos!$H$2:$H$435,MATCH(B1716,Reactivos!$A$2:$A$435,0)),""))</f>
        <v/>
      </c>
      <c r="F1716" s="8"/>
      <c r="G1716" s="8"/>
      <c r="H1716" s="13"/>
    </row>
    <row r="1717" spans="1:8" x14ac:dyDescent="0.3">
      <c r="A1717" s="11"/>
      <c r="B1717" s="8"/>
      <c r="C1717" s="7" t="str">
        <f>IF(B1717="","",IFERROR(INDEX(Reactivos!$D$2:$D$435,MATCH(B1717,Reactivos!$A$2:$A$435,0)),"ID no existe"))</f>
        <v/>
      </c>
      <c r="D1717" s="8"/>
      <c r="E1717" s="7" t="str">
        <f>IF(B1717="","",IFERROR(INDEX(Reactivos!$H$2:$H$435,MATCH(B1717,Reactivos!$A$2:$A$435,0)),""))</f>
        <v/>
      </c>
      <c r="F1717" s="8"/>
      <c r="G1717" s="8"/>
      <c r="H1717" s="13"/>
    </row>
    <row r="1718" spans="1:8" x14ac:dyDescent="0.3">
      <c r="A1718" s="11"/>
      <c r="B1718" s="8"/>
      <c r="C1718" s="7" t="str">
        <f>IF(B1718="","",IFERROR(INDEX(Reactivos!$D$2:$D$435,MATCH(B1718,Reactivos!$A$2:$A$435,0)),"ID no existe"))</f>
        <v/>
      </c>
      <c r="D1718" s="8"/>
      <c r="E1718" s="7" t="str">
        <f>IF(B1718="","",IFERROR(INDEX(Reactivos!$H$2:$H$435,MATCH(B1718,Reactivos!$A$2:$A$435,0)),""))</f>
        <v/>
      </c>
      <c r="F1718" s="8"/>
      <c r="G1718" s="8"/>
      <c r="H1718" s="13"/>
    </row>
    <row r="1719" spans="1:8" x14ac:dyDescent="0.3">
      <c r="A1719" s="11"/>
      <c r="B1719" s="8"/>
      <c r="C1719" s="7" t="str">
        <f>IF(B1719="","",IFERROR(INDEX(Reactivos!$D$2:$D$435,MATCH(B1719,Reactivos!$A$2:$A$435,0)),"ID no existe"))</f>
        <v/>
      </c>
      <c r="D1719" s="8"/>
      <c r="E1719" s="7" t="str">
        <f>IF(B1719="","",IFERROR(INDEX(Reactivos!$H$2:$H$435,MATCH(B1719,Reactivos!$A$2:$A$435,0)),""))</f>
        <v/>
      </c>
      <c r="F1719" s="8"/>
      <c r="G1719" s="8"/>
      <c r="H1719" s="13"/>
    </row>
    <row r="1720" spans="1:8" x14ac:dyDescent="0.3">
      <c r="A1720" s="11"/>
      <c r="B1720" s="8"/>
      <c r="C1720" s="7" t="str">
        <f>IF(B1720="","",IFERROR(INDEX(Reactivos!$D$2:$D$435,MATCH(B1720,Reactivos!$A$2:$A$435,0)),"ID no existe"))</f>
        <v/>
      </c>
      <c r="D1720" s="8"/>
      <c r="E1720" s="7" t="str">
        <f>IF(B1720="","",IFERROR(INDEX(Reactivos!$H$2:$H$435,MATCH(B1720,Reactivos!$A$2:$A$435,0)),""))</f>
        <v/>
      </c>
      <c r="F1720" s="8"/>
      <c r="G1720" s="8"/>
      <c r="H1720" s="13"/>
    </row>
    <row r="1721" spans="1:8" x14ac:dyDescent="0.3">
      <c r="A1721" s="11"/>
      <c r="B1721" s="8"/>
      <c r="C1721" s="7" t="str">
        <f>IF(B1721="","",IFERROR(INDEX(Reactivos!$D$2:$D$435,MATCH(B1721,Reactivos!$A$2:$A$435,0)),"ID no existe"))</f>
        <v/>
      </c>
      <c r="D1721" s="8"/>
      <c r="E1721" s="7" t="str">
        <f>IF(B1721="","",IFERROR(INDEX(Reactivos!$H$2:$H$435,MATCH(B1721,Reactivos!$A$2:$A$435,0)),""))</f>
        <v/>
      </c>
      <c r="F1721" s="8"/>
      <c r="G1721" s="8"/>
      <c r="H1721" s="13"/>
    </row>
    <row r="1722" spans="1:8" x14ac:dyDescent="0.3">
      <c r="A1722" s="11"/>
      <c r="B1722" s="8"/>
      <c r="C1722" s="7" t="str">
        <f>IF(B1722="","",IFERROR(INDEX(Reactivos!$D$2:$D$435,MATCH(B1722,Reactivos!$A$2:$A$435,0)),"ID no existe"))</f>
        <v/>
      </c>
      <c r="D1722" s="8"/>
      <c r="E1722" s="7" t="str">
        <f>IF(B1722="","",IFERROR(INDEX(Reactivos!$H$2:$H$435,MATCH(B1722,Reactivos!$A$2:$A$435,0)),""))</f>
        <v/>
      </c>
      <c r="F1722" s="8"/>
      <c r="G1722" s="8"/>
      <c r="H1722" s="13"/>
    </row>
    <row r="1723" spans="1:8" x14ac:dyDescent="0.3">
      <c r="A1723" s="11"/>
      <c r="B1723" s="8"/>
      <c r="C1723" s="7" t="str">
        <f>IF(B1723="","",IFERROR(INDEX(Reactivos!$D$2:$D$435,MATCH(B1723,Reactivos!$A$2:$A$435,0)),"ID no existe"))</f>
        <v/>
      </c>
      <c r="D1723" s="8"/>
      <c r="E1723" s="7" t="str">
        <f>IF(B1723="","",IFERROR(INDEX(Reactivos!$H$2:$H$435,MATCH(B1723,Reactivos!$A$2:$A$435,0)),""))</f>
        <v/>
      </c>
      <c r="F1723" s="8"/>
      <c r="G1723" s="8"/>
      <c r="H1723" s="13"/>
    </row>
    <row r="1724" spans="1:8" x14ac:dyDescent="0.3">
      <c r="A1724" s="11"/>
      <c r="B1724" s="8"/>
      <c r="C1724" s="7" t="str">
        <f>IF(B1724="","",IFERROR(INDEX(Reactivos!$D$2:$D$435,MATCH(B1724,Reactivos!$A$2:$A$435,0)),"ID no existe"))</f>
        <v/>
      </c>
      <c r="D1724" s="8"/>
      <c r="E1724" s="7" t="str">
        <f>IF(B1724="","",IFERROR(INDEX(Reactivos!$H$2:$H$435,MATCH(B1724,Reactivos!$A$2:$A$435,0)),""))</f>
        <v/>
      </c>
      <c r="F1724" s="8"/>
      <c r="G1724" s="8"/>
      <c r="H1724" s="13"/>
    </row>
    <row r="1725" spans="1:8" x14ac:dyDescent="0.3">
      <c r="A1725" s="11"/>
      <c r="B1725" s="8"/>
      <c r="C1725" s="7" t="str">
        <f>IF(B1725="","",IFERROR(INDEX(Reactivos!$D$2:$D$435,MATCH(B1725,Reactivos!$A$2:$A$435,0)),"ID no existe"))</f>
        <v/>
      </c>
      <c r="D1725" s="8"/>
      <c r="E1725" s="7" t="str">
        <f>IF(B1725="","",IFERROR(INDEX(Reactivos!$H$2:$H$435,MATCH(B1725,Reactivos!$A$2:$A$435,0)),""))</f>
        <v/>
      </c>
      <c r="F1725" s="8"/>
      <c r="G1725" s="8"/>
      <c r="H1725" s="13"/>
    </row>
    <row r="1726" spans="1:8" x14ac:dyDescent="0.3">
      <c r="A1726" s="11"/>
      <c r="B1726" s="8"/>
      <c r="C1726" s="7" t="str">
        <f>IF(B1726="","",IFERROR(INDEX(Reactivos!$D$2:$D$435,MATCH(B1726,Reactivos!$A$2:$A$435,0)),"ID no existe"))</f>
        <v/>
      </c>
      <c r="D1726" s="8"/>
      <c r="E1726" s="7" t="str">
        <f>IF(B1726="","",IFERROR(INDEX(Reactivos!$H$2:$H$435,MATCH(B1726,Reactivos!$A$2:$A$435,0)),""))</f>
        <v/>
      </c>
      <c r="F1726" s="8"/>
      <c r="G1726" s="8"/>
      <c r="H1726" s="13"/>
    </row>
    <row r="1727" spans="1:8" x14ac:dyDescent="0.3">
      <c r="A1727" s="11"/>
      <c r="B1727" s="8"/>
      <c r="C1727" s="7" t="str">
        <f>IF(B1727="","",IFERROR(INDEX(Reactivos!$D$2:$D$435,MATCH(B1727,Reactivos!$A$2:$A$435,0)),"ID no existe"))</f>
        <v/>
      </c>
      <c r="D1727" s="8"/>
      <c r="E1727" s="7" t="str">
        <f>IF(B1727="","",IFERROR(INDEX(Reactivos!$H$2:$H$435,MATCH(B1727,Reactivos!$A$2:$A$435,0)),""))</f>
        <v/>
      </c>
      <c r="F1727" s="8"/>
      <c r="G1727" s="8"/>
      <c r="H1727" s="13"/>
    </row>
    <row r="1728" spans="1:8" x14ac:dyDescent="0.3">
      <c r="A1728" s="11"/>
      <c r="B1728" s="8"/>
      <c r="C1728" s="7" t="str">
        <f>IF(B1728="","",IFERROR(INDEX(Reactivos!$D$2:$D$435,MATCH(B1728,Reactivos!$A$2:$A$435,0)),"ID no existe"))</f>
        <v/>
      </c>
      <c r="D1728" s="8"/>
      <c r="E1728" s="7" t="str">
        <f>IF(B1728="","",IFERROR(INDEX(Reactivos!$H$2:$H$435,MATCH(B1728,Reactivos!$A$2:$A$435,0)),""))</f>
        <v/>
      </c>
      <c r="F1728" s="8"/>
      <c r="G1728" s="8"/>
      <c r="H1728" s="13"/>
    </row>
    <row r="1729" spans="1:8" x14ac:dyDescent="0.3">
      <c r="A1729" s="11"/>
      <c r="B1729" s="8"/>
      <c r="C1729" s="7" t="str">
        <f>IF(B1729="","",IFERROR(INDEX(Reactivos!$D$2:$D$435,MATCH(B1729,Reactivos!$A$2:$A$435,0)),"ID no existe"))</f>
        <v/>
      </c>
      <c r="D1729" s="8"/>
      <c r="E1729" s="7" t="str">
        <f>IF(B1729="","",IFERROR(INDEX(Reactivos!$H$2:$H$435,MATCH(B1729,Reactivos!$A$2:$A$435,0)),""))</f>
        <v/>
      </c>
      <c r="F1729" s="8"/>
      <c r="G1729" s="8"/>
      <c r="H1729" s="13"/>
    </row>
    <row r="1730" spans="1:8" x14ac:dyDescent="0.3">
      <c r="A1730" s="11"/>
      <c r="B1730" s="8"/>
      <c r="C1730" s="7" t="str">
        <f>IF(B1730="","",IFERROR(INDEX(Reactivos!$D$2:$D$435,MATCH(B1730,Reactivos!$A$2:$A$435,0)),"ID no existe"))</f>
        <v/>
      </c>
      <c r="D1730" s="8"/>
      <c r="E1730" s="7" t="str">
        <f>IF(B1730="","",IFERROR(INDEX(Reactivos!$H$2:$H$435,MATCH(B1730,Reactivos!$A$2:$A$435,0)),""))</f>
        <v/>
      </c>
      <c r="F1730" s="8"/>
      <c r="G1730" s="8"/>
      <c r="H1730" s="13"/>
    </row>
    <row r="1731" spans="1:8" x14ac:dyDescent="0.3">
      <c r="A1731" s="11"/>
      <c r="B1731" s="8"/>
      <c r="C1731" s="7" t="str">
        <f>IF(B1731="","",IFERROR(INDEX(Reactivos!$D$2:$D$435,MATCH(B1731,Reactivos!$A$2:$A$435,0)),"ID no existe"))</f>
        <v/>
      </c>
      <c r="D1731" s="8"/>
      <c r="E1731" s="7" t="str">
        <f>IF(B1731="","",IFERROR(INDEX(Reactivos!$H$2:$H$435,MATCH(B1731,Reactivos!$A$2:$A$435,0)),""))</f>
        <v/>
      </c>
      <c r="F1731" s="8"/>
      <c r="G1731" s="8"/>
      <c r="H1731" s="13"/>
    </row>
    <row r="1732" spans="1:8" x14ac:dyDescent="0.3">
      <c r="A1732" s="11"/>
      <c r="B1732" s="8"/>
      <c r="C1732" s="7" t="str">
        <f>IF(B1732="","",IFERROR(INDEX(Reactivos!$D$2:$D$435,MATCH(B1732,Reactivos!$A$2:$A$435,0)),"ID no existe"))</f>
        <v/>
      </c>
      <c r="D1732" s="8"/>
      <c r="E1732" s="7" t="str">
        <f>IF(B1732="","",IFERROR(INDEX(Reactivos!$H$2:$H$435,MATCH(B1732,Reactivos!$A$2:$A$435,0)),""))</f>
        <v/>
      </c>
      <c r="F1732" s="8"/>
      <c r="G1732" s="8"/>
      <c r="H1732" s="13"/>
    </row>
    <row r="1733" spans="1:8" x14ac:dyDescent="0.3">
      <c r="A1733" s="11"/>
      <c r="B1733" s="8"/>
      <c r="C1733" s="7" t="str">
        <f>IF(B1733="","",IFERROR(INDEX(Reactivos!$D$2:$D$435,MATCH(B1733,Reactivos!$A$2:$A$435,0)),"ID no existe"))</f>
        <v/>
      </c>
      <c r="D1733" s="8"/>
      <c r="E1733" s="7" t="str">
        <f>IF(B1733="","",IFERROR(INDEX(Reactivos!$H$2:$H$435,MATCH(B1733,Reactivos!$A$2:$A$435,0)),""))</f>
        <v/>
      </c>
      <c r="F1733" s="8"/>
      <c r="G1733" s="8"/>
      <c r="H1733" s="13"/>
    </row>
    <row r="1734" spans="1:8" x14ac:dyDescent="0.3">
      <c r="A1734" s="11"/>
      <c r="B1734" s="8"/>
      <c r="C1734" s="7" t="str">
        <f>IF(B1734="","",IFERROR(INDEX(Reactivos!$D$2:$D$435,MATCH(B1734,Reactivos!$A$2:$A$435,0)),"ID no existe"))</f>
        <v/>
      </c>
      <c r="D1734" s="8"/>
      <c r="E1734" s="7" t="str">
        <f>IF(B1734="","",IFERROR(INDEX(Reactivos!$H$2:$H$435,MATCH(B1734,Reactivos!$A$2:$A$435,0)),""))</f>
        <v/>
      </c>
      <c r="F1734" s="8"/>
      <c r="G1734" s="8"/>
      <c r="H1734" s="13"/>
    </row>
    <row r="1735" spans="1:8" x14ac:dyDescent="0.3">
      <c r="A1735" s="11"/>
      <c r="B1735" s="8"/>
      <c r="C1735" s="7" t="str">
        <f>IF(B1735="","",IFERROR(INDEX(Reactivos!$D$2:$D$435,MATCH(B1735,Reactivos!$A$2:$A$435,0)),"ID no existe"))</f>
        <v/>
      </c>
      <c r="D1735" s="8"/>
      <c r="E1735" s="7" t="str">
        <f>IF(B1735="","",IFERROR(INDEX(Reactivos!$H$2:$H$435,MATCH(B1735,Reactivos!$A$2:$A$435,0)),""))</f>
        <v/>
      </c>
      <c r="F1735" s="8"/>
      <c r="G1735" s="8"/>
      <c r="H1735" s="13"/>
    </row>
    <row r="1736" spans="1:8" x14ac:dyDescent="0.3">
      <c r="A1736" s="11"/>
      <c r="B1736" s="8"/>
      <c r="C1736" s="7" t="str">
        <f>IF(B1736="","",IFERROR(INDEX(Reactivos!$D$2:$D$435,MATCH(B1736,Reactivos!$A$2:$A$435,0)),"ID no existe"))</f>
        <v/>
      </c>
      <c r="D1736" s="8"/>
      <c r="E1736" s="7" t="str">
        <f>IF(B1736="","",IFERROR(INDEX(Reactivos!$H$2:$H$435,MATCH(B1736,Reactivos!$A$2:$A$435,0)),""))</f>
        <v/>
      </c>
      <c r="F1736" s="8"/>
      <c r="G1736" s="8"/>
      <c r="H1736" s="13"/>
    </row>
    <row r="1737" spans="1:8" x14ac:dyDescent="0.3">
      <c r="A1737" s="11"/>
      <c r="B1737" s="8"/>
      <c r="C1737" s="7" t="str">
        <f>IF(B1737="","",IFERROR(INDEX(Reactivos!$D$2:$D$435,MATCH(B1737,Reactivos!$A$2:$A$435,0)),"ID no existe"))</f>
        <v/>
      </c>
      <c r="D1737" s="8"/>
      <c r="E1737" s="7" t="str">
        <f>IF(B1737="","",IFERROR(INDEX(Reactivos!$H$2:$H$435,MATCH(B1737,Reactivos!$A$2:$A$435,0)),""))</f>
        <v/>
      </c>
      <c r="F1737" s="8"/>
      <c r="G1737" s="8"/>
      <c r="H1737" s="13"/>
    </row>
    <row r="1738" spans="1:8" x14ac:dyDescent="0.3">
      <c r="A1738" s="11"/>
      <c r="B1738" s="8"/>
      <c r="C1738" s="7" t="str">
        <f>IF(B1738="","",IFERROR(INDEX(Reactivos!$D$2:$D$435,MATCH(B1738,Reactivos!$A$2:$A$435,0)),"ID no existe"))</f>
        <v/>
      </c>
      <c r="D1738" s="8"/>
      <c r="E1738" s="7" t="str">
        <f>IF(B1738="","",IFERROR(INDEX(Reactivos!$H$2:$H$435,MATCH(B1738,Reactivos!$A$2:$A$435,0)),""))</f>
        <v/>
      </c>
      <c r="F1738" s="8"/>
      <c r="G1738" s="8"/>
      <c r="H1738" s="13"/>
    </row>
    <row r="1739" spans="1:8" x14ac:dyDescent="0.3">
      <c r="A1739" s="11"/>
      <c r="B1739" s="8"/>
      <c r="C1739" s="7" t="str">
        <f>IF(B1739="","",IFERROR(INDEX(Reactivos!$D$2:$D$435,MATCH(B1739,Reactivos!$A$2:$A$435,0)),"ID no existe"))</f>
        <v/>
      </c>
      <c r="D1739" s="8"/>
      <c r="E1739" s="7" t="str">
        <f>IF(B1739="","",IFERROR(INDEX(Reactivos!$H$2:$H$435,MATCH(B1739,Reactivos!$A$2:$A$435,0)),""))</f>
        <v/>
      </c>
      <c r="F1739" s="8"/>
      <c r="G1739" s="8"/>
      <c r="H1739" s="13"/>
    </row>
    <row r="1740" spans="1:8" x14ac:dyDescent="0.3">
      <c r="A1740" s="11"/>
      <c r="B1740" s="8"/>
      <c r="C1740" s="7" t="str">
        <f>IF(B1740="","",IFERROR(INDEX(Reactivos!$D$2:$D$435,MATCH(B1740,Reactivos!$A$2:$A$435,0)),"ID no existe"))</f>
        <v/>
      </c>
      <c r="D1740" s="8"/>
      <c r="E1740" s="7" t="str">
        <f>IF(B1740="","",IFERROR(INDEX(Reactivos!$H$2:$H$435,MATCH(B1740,Reactivos!$A$2:$A$435,0)),""))</f>
        <v/>
      </c>
      <c r="F1740" s="8"/>
      <c r="G1740" s="8"/>
      <c r="H1740" s="13"/>
    </row>
    <row r="1741" spans="1:8" x14ac:dyDescent="0.3">
      <c r="A1741" s="11"/>
      <c r="B1741" s="8"/>
      <c r="C1741" s="7" t="str">
        <f>IF(B1741="","",IFERROR(INDEX(Reactivos!$D$2:$D$435,MATCH(B1741,Reactivos!$A$2:$A$435,0)),"ID no existe"))</f>
        <v/>
      </c>
      <c r="D1741" s="8"/>
      <c r="E1741" s="7" t="str">
        <f>IF(B1741="","",IFERROR(INDEX(Reactivos!$H$2:$H$435,MATCH(B1741,Reactivos!$A$2:$A$435,0)),""))</f>
        <v/>
      </c>
      <c r="F1741" s="8"/>
      <c r="G1741" s="8"/>
      <c r="H1741" s="13"/>
    </row>
    <row r="1742" spans="1:8" x14ac:dyDescent="0.3">
      <c r="A1742" s="11"/>
      <c r="B1742" s="8"/>
      <c r="C1742" s="7" t="str">
        <f>IF(B1742="","",IFERROR(INDEX(Reactivos!$D$2:$D$435,MATCH(B1742,Reactivos!$A$2:$A$435,0)),"ID no existe"))</f>
        <v/>
      </c>
      <c r="D1742" s="8"/>
      <c r="E1742" s="7" t="str">
        <f>IF(B1742="","",IFERROR(INDEX(Reactivos!$H$2:$H$435,MATCH(B1742,Reactivos!$A$2:$A$435,0)),""))</f>
        <v/>
      </c>
      <c r="F1742" s="8"/>
      <c r="G1742" s="8"/>
      <c r="H1742" s="13"/>
    </row>
    <row r="1743" spans="1:8" x14ac:dyDescent="0.3">
      <c r="A1743" s="11"/>
      <c r="B1743" s="8"/>
      <c r="C1743" s="7" t="str">
        <f>IF(B1743="","",IFERROR(INDEX(Reactivos!$D$2:$D$435,MATCH(B1743,Reactivos!$A$2:$A$435,0)),"ID no existe"))</f>
        <v/>
      </c>
      <c r="D1743" s="8"/>
      <c r="E1743" s="7" t="str">
        <f>IF(B1743="","",IFERROR(INDEX(Reactivos!$H$2:$H$435,MATCH(B1743,Reactivos!$A$2:$A$435,0)),""))</f>
        <v/>
      </c>
      <c r="F1743" s="8"/>
      <c r="G1743" s="8"/>
      <c r="H1743" s="13"/>
    </row>
    <row r="1744" spans="1:8" x14ac:dyDescent="0.3">
      <c r="A1744" s="11"/>
      <c r="B1744" s="8"/>
      <c r="C1744" s="7" t="str">
        <f>IF(B1744="","",IFERROR(INDEX(Reactivos!$D$2:$D$435,MATCH(B1744,Reactivos!$A$2:$A$435,0)),"ID no existe"))</f>
        <v/>
      </c>
      <c r="D1744" s="8"/>
      <c r="E1744" s="7" t="str">
        <f>IF(B1744="","",IFERROR(INDEX(Reactivos!$H$2:$H$435,MATCH(B1744,Reactivos!$A$2:$A$435,0)),""))</f>
        <v/>
      </c>
      <c r="F1744" s="8"/>
      <c r="G1744" s="8"/>
      <c r="H1744" s="13"/>
    </row>
    <row r="1745" spans="1:8" x14ac:dyDescent="0.3">
      <c r="A1745" s="11"/>
      <c r="B1745" s="8"/>
      <c r="C1745" s="7" t="str">
        <f>IF(B1745="","",IFERROR(INDEX(Reactivos!$D$2:$D$435,MATCH(B1745,Reactivos!$A$2:$A$435,0)),"ID no existe"))</f>
        <v/>
      </c>
      <c r="D1745" s="8"/>
      <c r="E1745" s="7" t="str">
        <f>IF(B1745="","",IFERROR(INDEX(Reactivos!$H$2:$H$435,MATCH(B1745,Reactivos!$A$2:$A$435,0)),""))</f>
        <v/>
      </c>
      <c r="F1745" s="8"/>
      <c r="G1745" s="8"/>
      <c r="H1745" s="13"/>
    </row>
    <row r="1746" spans="1:8" x14ac:dyDescent="0.3">
      <c r="A1746" s="11"/>
      <c r="B1746" s="8"/>
      <c r="C1746" s="7" t="str">
        <f>IF(B1746="","",IFERROR(INDEX(Reactivos!$D$2:$D$435,MATCH(B1746,Reactivos!$A$2:$A$435,0)),"ID no existe"))</f>
        <v/>
      </c>
      <c r="D1746" s="8"/>
      <c r="E1746" s="7" t="str">
        <f>IF(B1746="","",IFERROR(INDEX(Reactivos!$H$2:$H$435,MATCH(B1746,Reactivos!$A$2:$A$435,0)),""))</f>
        <v/>
      </c>
      <c r="F1746" s="8"/>
      <c r="G1746" s="8"/>
      <c r="H1746" s="13"/>
    </row>
    <row r="1747" spans="1:8" x14ac:dyDescent="0.3">
      <c r="A1747" s="11"/>
      <c r="B1747" s="8"/>
      <c r="C1747" s="7" t="str">
        <f>IF(B1747="","",IFERROR(INDEX(Reactivos!$D$2:$D$435,MATCH(B1747,Reactivos!$A$2:$A$435,0)),"ID no existe"))</f>
        <v/>
      </c>
      <c r="D1747" s="8"/>
      <c r="E1747" s="7" t="str">
        <f>IF(B1747="","",IFERROR(INDEX(Reactivos!$H$2:$H$435,MATCH(B1747,Reactivos!$A$2:$A$435,0)),""))</f>
        <v/>
      </c>
      <c r="F1747" s="8"/>
      <c r="G1747" s="8"/>
      <c r="H1747" s="13"/>
    </row>
    <row r="1748" spans="1:8" x14ac:dyDescent="0.3">
      <c r="A1748" s="11"/>
      <c r="B1748" s="8"/>
      <c r="C1748" s="7" t="str">
        <f>IF(B1748="","",IFERROR(INDEX(Reactivos!$D$2:$D$435,MATCH(B1748,Reactivos!$A$2:$A$435,0)),"ID no existe"))</f>
        <v/>
      </c>
      <c r="D1748" s="8"/>
      <c r="E1748" s="7" t="str">
        <f>IF(B1748="","",IFERROR(INDEX(Reactivos!$H$2:$H$435,MATCH(B1748,Reactivos!$A$2:$A$435,0)),""))</f>
        <v/>
      </c>
      <c r="F1748" s="8"/>
      <c r="G1748" s="8"/>
      <c r="H1748" s="13"/>
    </row>
    <row r="1749" spans="1:8" x14ac:dyDescent="0.3">
      <c r="A1749" s="11"/>
      <c r="B1749" s="8"/>
      <c r="C1749" s="7" t="str">
        <f>IF(B1749="","",IFERROR(INDEX(Reactivos!$D$2:$D$435,MATCH(B1749,Reactivos!$A$2:$A$435,0)),"ID no existe"))</f>
        <v/>
      </c>
      <c r="D1749" s="8"/>
      <c r="E1749" s="7" t="str">
        <f>IF(B1749="","",IFERROR(INDEX(Reactivos!$H$2:$H$435,MATCH(B1749,Reactivos!$A$2:$A$435,0)),""))</f>
        <v/>
      </c>
      <c r="F1749" s="8"/>
      <c r="G1749" s="8"/>
      <c r="H1749" s="13"/>
    </row>
    <row r="1750" spans="1:8" x14ac:dyDescent="0.3">
      <c r="A1750" s="11"/>
      <c r="B1750" s="8"/>
      <c r="C1750" s="7" t="str">
        <f>IF(B1750="","",IFERROR(INDEX(Reactivos!$D$2:$D$435,MATCH(B1750,Reactivos!$A$2:$A$435,0)),"ID no existe"))</f>
        <v/>
      </c>
      <c r="D1750" s="8"/>
      <c r="E1750" s="7" t="str">
        <f>IF(B1750="","",IFERROR(INDEX(Reactivos!$H$2:$H$435,MATCH(B1750,Reactivos!$A$2:$A$435,0)),""))</f>
        <v/>
      </c>
      <c r="F1750" s="8"/>
      <c r="G1750" s="8"/>
      <c r="H1750" s="13"/>
    </row>
    <row r="1751" spans="1:8" x14ac:dyDescent="0.3">
      <c r="A1751" s="11"/>
      <c r="B1751" s="8"/>
      <c r="C1751" s="7" t="str">
        <f>IF(B1751="","",IFERROR(INDEX(Reactivos!$D$2:$D$435,MATCH(B1751,Reactivos!$A$2:$A$435,0)),"ID no existe"))</f>
        <v/>
      </c>
      <c r="D1751" s="8"/>
      <c r="E1751" s="7" t="str">
        <f>IF(B1751="","",IFERROR(INDEX(Reactivos!$H$2:$H$435,MATCH(B1751,Reactivos!$A$2:$A$435,0)),""))</f>
        <v/>
      </c>
      <c r="F1751" s="8"/>
      <c r="G1751" s="8"/>
      <c r="H1751" s="13"/>
    </row>
    <row r="1752" spans="1:8" x14ac:dyDescent="0.3">
      <c r="A1752" s="11"/>
      <c r="B1752" s="8"/>
      <c r="C1752" s="7" t="str">
        <f>IF(B1752="","",IFERROR(INDEX(Reactivos!$D$2:$D$435,MATCH(B1752,Reactivos!$A$2:$A$435,0)),"ID no existe"))</f>
        <v/>
      </c>
      <c r="D1752" s="8"/>
      <c r="E1752" s="7" t="str">
        <f>IF(B1752="","",IFERROR(INDEX(Reactivos!$H$2:$H$435,MATCH(B1752,Reactivos!$A$2:$A$435,0)),""))</f>
        <v/>
      </c>
      <c r="F1752" s="8"/>
      <c r="G1752" s="8"/>
      <c r="H1752" s="13"/>
    </row>
    <row r="1753" spans="1:8" x14ac:dyDescent="0.3">
      <c r="A1753" s="11"/>
      <c r="B1753" s="8"/>
      <c r="C1753" s="7" t="str">
        <f>IF(B1753="","",IFERROR(INDEX(Reactivos!$D$2:$D$435,MATCH(B1753,Reactivos!$A$2:$A$435,0)),"ID no existe"))</f>
        <v/>
      </c>
      <c r="D1753" s="8"/>
      <c r="E1753" s="7" t="str">
        <f>IF(B1753="","",IFERROR(INDEX(Reactivos!$H$2:$H$435,MATCH(B1753,Reactivos!$A$2:$A$435,0)),""))</f>
        <v/>
      </c>
      <c r="F1753" s="8"/>
      <c r="G1753" s="8"/>
      <c r="H1753" s="13"/>
    </row>
    <row r="1754" spans="1:8" x14ac:dyDescent="0.3">
      <c r="A1754" s="11"/>
      <c r="B1754" s="8"/>
      <c r="C1754" s="7" t="str">
        <f>IF(B1754="","",IFERROR(INDEX(Reactivos!$D$2:$D$435,MATCH(B1754,Reactivos!$A$2:$A$435,0)),"ID no existe"))</f>
        <v/>
      </c>
      <c r="D1754" s="8"/>
      <c r="E1754" s="7" t="str">
        <f>IF(B1754="","",IFERROR(INDEX(Reactivos!$H$2:$H$435,MATCH(B1754,Reactivos!$A$2:$A$435,0)),""))</f>
        <v/>
      </c>
      <c r="F1754" s="8"/>
      <c r="G1754" s="8"/>
      <c r="H1754" s="13"/>
    </row>
    <row r="1755" spans="1:8" x14ac:dyDescent="0.3">
      <c r="A1755" s="11"/>
      <c r="B1755" s="8"/>
      <c r="C1755" s="7" t="str">
        <f>IF(B1755="","",IFERROR(INDEX(Reactivos!$D$2:$D$435,MATCH(B1755,Reactivos!$A$2:$A$435,0)),"ID no existe"))</f>
        <v/>
      </c>
      <c r="D1755" s="8"/>
      <c r="E1755" s="7" t="str">
        <f>IF(B1755="","",IFERROR(INDEX(Reactivos!$H$2:$H$435,MATCH(B1755,Reactivos!$A$2:$A$435,0)),""))</f>
        <v/>
      </c>
      <c r="F1755" s="8"/>
      <c r="G1755" s="8"/>
      <c r="H1755" s="13"/>
    </row>
    <row r="1756" spans="1:8" x14ac:dyDescent="0.3">
      <c r="A1756" s="11"/>
      <c r="B1756" s="8"/>
      <c r="C1756" s="7" t="str">
        <f>IF(B1756="","",IFERROR(INDEX(Reactivos!$D$2:$D$435,MATCH(B1756,Reactivos!$A$2:$A$435,0)),"ID no existe"))</f>
        <v/>
      </c>
      <c r="D1756" s="8"/>
      <c r="E1756" s="7" t="str">
        <f>IF(B1756="","",IFERROR(INDEX(Reactivos!$H$2:$H$435,MATCH(B1756,Reactivos!$A$2:$A$435,0)),""))</f>
        <v/>
      </c>
      <c r="F1756" s="8"/>
      <c r="G1756" s="8"/>
      <c r="H1756" s="13"/>
    </row>
    <row r="1757" spans="1:8" x14ac:dyDescent="0.3">
      <c r="A1757" s="11"/>
      <c r="B1757" s="8"/>
      <c r="C1757" s="7" t="str">
        <f>IF(B1757="","",IFERROR(INDEX(Reactivos!$D$2:$D$435,MATCH(B1757,Reactivos!$A$2:$A$435,0)),"ID no existe"))</f>
        <v/>
      </c>
      <c r="D1757" s="8"/>
      <c r="E1757" s="7" t="str">
        <f>IF(B1757="","",IFERROR(INDEX(Reactivos!$H$2:$H$435,MATCH(B1757,Reactivos!$A$2:$A$435,0)),""))</f>
        <v/>
      </c>
      <c r="F1757" s="8"/>
      <c r="G1757" s="8"/>
      <c r="H1757" s="13"/>
    </row>
    <row r="1758" spans="1:8" x14ac:dyDescent="0.3">
      <c r="A1758" s="11"/>
      <c r="B1758" s="8"/>
      <c r="C1758" s="7" t="str">
        <f>IF(B1758="","",IFERROR(INDEX(Reactivos!$D$2:$D$435,MATCH(B1758,Reactivos!$A$2:$A$435,0)),"ID no existe"))</f>
        <v/>
      </c>
      <c r="D1758" s="8"/>
      <c r="E1758" s="7" t="str">
        <f>IF(B1758="","",IFERROR(INDEX(Reactivos!$H$2:$H$435,MATCH(B1758,Reactivos!$A$2:$A$435,0)),""))</f>
        <v/>
      </c>
      <c r="F1758" s="8"/>
      <c r="G1758" s="8"/>
      <c r="H1758" s="13"/>
    </row>
    <row r="1759" spans="1:8" x14ac:dyDescent="0.3">
      <c r="A1759" s="11"/>
      <c r="B1759" s="8"/>
      <c r="C1759" s="7" t="str">
        <f>IF(B1759="","",IFERROR(INDEX(Reactivos!$D$2:$D$435,MATCH(B1759,Reactivos!$A$2:$A$435,0)),"ID no existe"))</f>
        <v/>
      </c>
      <c r="D1759" s="8"/>
      <c r="E1759" s="7" t="str">
        <f>IF(B1759="","",IFERROR(INDEX(Reactivos!$H$2:$H$435,MATCH(B1759,Reactivos!$A$2:$A$435,0)),""))</f>
        <v/>
      </c>
      <c r="F1759" s="8"/>
      <c r="G1759" s="8"/>
      <c r="H1759" s="13"/>
    </row>
    <row r="1760" spans="1:8" x14ac:dyDescent="0.3">
      <c r="A1760" s="11"/>
      <c r="B1760" s="8"/>
      <c r="C1760" s="7" t="str">
        <f>IF(B1760="","",IFERROR(INDEX(Reactivos!$D$2:$D$435,MATCH(B1760,Reactivos!$A$2:$A$435,0)),"ID no existe"))</f>
        <v/>
      </c>
      <c r="D1760" s="8"/>
      <c r="E1760" s="7" t="str">
        <f>IF(B1760="","",IFERROR(INDEX(Reactivos!$H$2:$H$435,MATCH(B1760,Reactivos!$A$2:$A$435,0)),""))</f>
        <v/>
      </c>
      <c r="F1760" s="8"/>
      <c r="G1760" s="8"/>
      <c r="H1760" s="13"/>
    </row>
    <row r="1761" spans="1:8" x14ac:dyDescent="0.3">
      <c r="A1761" s="11"/>
      <c r="B1761" s="8"/>
      <c r="C1761" s="7" t="str">
        <f>IF(B1761="","",IFERROR(INDEX(Reactivos!$D$2:$D$435,MATCH(B1761,Reactivos!$A$2:$A$435,0)),"ID no existe"))</f>
        <v/>
      </c>
      <c r="D1761" s="8"/>
      <c r="E1761" s="7" t="str">
        <f>IF(B1761="","",IFERROR(INDEX(Reactivos!$H$2:$H$435,MATCH(B1761,Reactivos!$A$2:$A$435,0)),""))</f>
        <v/>
      </c>
      <c r="F1761" s="8"/>
      <c r="G1761" s="8"/>
      <c r="H1761" s="13"/>
    </row>
    <row r="1762" spans="1:8" x14ac:dyDescent="0.3">
      <c r="A1762" s="11"/>
      <c r="B1762" s="8"/>
      <c r="C1762" s="7" t="str">
        <f>IF(B1762="","",IFERROR(INDEX(Reactivos!$D$2:$D$435,MATCH(B1762,Reactivos!$A$2:$A$435,0)),"ID no existe"))</f>
        <v/>
      </c>
      <c r="D1762" s="8"/>
      <c r="E1762" s="7" t="str">
        <f>IF(B1762="","",IFERROR(INDEX(Reactivos!$H$2:$H$435,MATCH(B1762,Reactivos!$A$2:$A$435,0)),""))</f>
        <v/>
      </c>
      <c r="F1762" s="8"/>
      <c r="G1762" s="8"/>
      <c r="H1762" s="13"/>
    </row>
    <row r="1763" spans="1:8" x14ac:dyDescent="0.3">
      <c r="A1763" s="11"/>
      <c r="B1763" s="8"/>
      <c r="C1763" s="7" t="str">
        <f>IF(B1763="","",IFERROR(INDEX(Reactivos!$D$2:$D$435,MATCH(B1763,Reactivos!$A$2:$A$435,0)),"ID no existe"))</f>
        <v/>
      </c>
      <c r="D1763" s="8"/>
      <c r="E1763" s="7" t="str">
        <f>IF(B1763="","",IFERROR(INDEX(Reactivos!$H$2:$H$435,MATCH(B1763,Reactivos!$A$2:$A$435,0)),""))</f>
        <v/>
      </c>
      <c r="F1763" s="8"/>
      <c r="G1763" s="8"/>
      <c r="H1763" s="13"/>
    </row>
    <row r="1764" spans="1:8" x14ac:dyDescent="0.3">
      <c r="A1764" s="11"/>
      <c r="B1764" s="8"/>
      <c r="C1764" s="7" t="str">
        <f>IF(B1764="","",IFERROR(INDEX(Reactivos!$D$2:$D$435,MATCH(B1764,Reactivos!$A$2:$A$435,0)),"ID no existe"))</f>
        <v/>
      </c>
      <c r="D1764" s="8"/>
      <c r="E1764" s="7" t="str">
        <f>IF(B1764="","",IFERROR(INDEX(Reactivos!$H$2:$H$435,MATCH(B1764,Reactivos!$A$2:$A$435,0)),""))</f>
        <v/>
      </c>
      <c r="F1764" s="8"/>
      <c r="G1764" s="8"/>
      <c r="H1764" s="13"/>
    </row>
    <row r="1765" spans="1:8" x14ac:dyDescent="0.3">
      <c r="A1765" s="11"/>
      <c r="B1765" s="8"/>
      <c r="C1765" s="7" t="str">
        <f>IF(B1765="","",IFERROR(INDEX(Reactivos!$D$2:$D$435,MATCH(B1765,Reactivos!$A$2:$A$435,0)),"ID no existe"))</f>
        <v/>
      </c>
      <c r="D1765" s="8"/>
      <c r="E1765" s="7" t="str">
        <f>IF(B1765="","",IFERROR(INDEX(Reactivos!$H$2:$H$435,MATCH(B1765,Reactivos!$A$2:$A$435,0)),""))</f>
        <v/>
      </c>
      <c r="F1765" s="8"/>
      <c r="G1765" s="8"/>
      <c r="H1765" s="13"/>
    </row>
    <row r="1766" spans="1:8" x14ac:dyDescent="0.3">
      <c r="A1766" s="11"/>
      <c r="B1766" s="8"/>
      <c r="C1766" s="7" t="str">
        <f>IF(B1766="","",IFERROR(INDEX(Reactivos!$D$2:$D$435,MATCH(B1766,Reactivos!$A$2:$A$435,0)),"ID no existe"))</f>
        <v/>
      </c>
      <c r="D1766" s="8"/>
      <c r="E1766" s="7" t="str">
        <f>IF(B1766="","",IFERROR(INDEX(Reactivos!$H$2:$H$435,MATCH(B1766,Reactivos!$A$2:$A$435,0)),""))</f>
        <v/>
      </c>
      <c r="F1766" s="8"/>
      <c r="G1766" s="8"/>
      <c r="H1766" s="13"/>
    </row>
    <row r="1767" spans="1:8" x14ac:dyDescent="0.3">
      <c r="A1767" s="11"/>
      <c r="B1767" s="8"/>
      <c r="C1767" s="7" t="str">
        <f>IF(B1767="","",IFERROR(INDEX(Reactivos!$D$2:$D$435,MATCH(B1767,Reactivos!$A$2:$A$435,0)),"ID no existe"))</f>
        <v/>
      </c>
      <c r="D1767" s="8"/>
      <c r="E1767" s="7" t="str">
        <f>IF(B1767="","",IFERROR(INDEX(Reactivos!$H$2:$H$435,MATCH(B1767,Reactivos!$A$2:$A$435,0)),""))</f>
        <v/>
      </c>
      <c r="F1767" s="8"/>
      <c r="G1767" s="8"/>
      <c r="H1767" s="13"/>
    </row>
    <row r="1768" spans="1:8" x14ac:dyDescent="0.3">
      <c r="A1768" s="11"/>
      <c r="B1768" s="8"/>
      <c r="C1768" s="7" t="str">
        <f>IF(B1768="","",IFERROR(INDEX(Reactivos!$D$2:$D$435,MATCH(B1768,Reactivos!$A$2:$A$435,0)),"ID no existe"))</f>
        <v/>
      </c>
      <c r="D1768" s="8"/>
      <c r="E1768" s="7" t="str">
        <f>IF(B1768="","",IFERROR(INDEX(Reactivos!$H$2:$H$435,MATCH(B1768,Reactivos!$A$2:$A$435,0)),""))</f>
        <v/>
      </c>
      <c r="F1768" s="8"/>
      <c r="G1768" s="8"/>
      <c r="H1768" s="13"/>
    </row>
    <row r="1769" spans="1:8" x14ac:dyDescent="0.3">
      <c r="A1769" s="11"/>
      <c r="B1769" s="8"/>
      <c r="C1769" s="7" t="str">
        <f>IF(B1769="","",IFERROR(INDEX(Reactivos!$D$2:$D$435,MATCH(B1769,Reactivos!$A$2:$A$435,0)),"ID no existe"))</f>
        <v/>
      </c>
      <c r="D1769" s="8"/>
      <c r="E1769" s="7" t="str">
        <f>IF(B1769="","",IFERROR(INDEX(Reactivos!$H$2:$H$435,MATCH(B1769,Reactivos!$A$2:$A$435,0)),""))</f>
        <v/>
      </c>
      <c r="F1769" s="8"/>
      <c r="G1769" s="8"/>
      <c r="H1769" s="13"/>
    </row>
    <row r="1770" spans="1:8" x14ac:dyDescent="0.3">
      <c r="A1770" s="11"/>
      <c r="B1770" s="8"/>
      <c r="C1770" s="7" t="str">
        <f>IF(B1770="","",IFERROR(INDEX(Reactivos!$D$2:$D$435,MATCH(B1770,Reactivos!$A$2:$A$435,0)),"ID no existe"))</f>
        <v/>
      </c>
      <c r="D1770" s="8"/>
      <c r="E1770" s="7" t="str">
        <f>IF(B1770="","",IFERROR(INDEX(Reactivos!$H$2:$H$435,MATCH(B1770,Reactivos!$A$2:$A$435,0)),""))</f>
        <v/>
      </c>
      <c r="F1770" s="8"/>
      <c r="G1770" s="8"/>
      <c r="H1770" s="13"/>
    </row>
    <row r="1771" spans="1:8" x14ac:dyDescent="0.3">
      <c r="A1771" s="11"/>
      <c r="B1771" s="8"/>
      <c r="C1771" s="7" t="str">
        <f>IF(B1771="","",IFERROR(INDEX(Reactivos!$D$2:$D$435,MATCH(B1771,Reactivos!$A$2:$A$435,0)),"ID no existe"))</f>
        <v/>
      </c>
      <c r="D1771" s="8"/>
      <c r="E1771" s="7" t="str">
        <f>IF(B1771="","",IFERROR(INDEX(Reactivos!$H$2:$H$435,MATCH(B1771,Reactivos!$A$2:$A$435,0)),""))</f>
        <v/>
      </c>
      <c r="F1771" s="8"/>
      <c r="G1771" s="8"/>
      <c r="H1771" s="13"/>
    </row>
    <row r="1772" spans="1:8" x14ac:dyDescent="0.3">
      <c r="A1772" s="11"/>
      <c r="B1772" s="8"/>
      <c r="C1772" s="7" t="str">
        <f>IF(B1772="","",IFERROR(INDEX(Reactivos!$D$2:$D$435,MATCH(B1772,Reactivos!$A$2:$A$435,0)),"ID no existe"))</f>
        <v/>
      </c>
      <c r="D1772" s="8"/>
      <c r="E1772" s="7" t="str">
        <f>IF(B1772="","",IFERROR(INDEX(Reactivos!$H$2:$H$435,MATCH(B1772,Reactivos!$A$2:$A$435,0)),""))</f>
        <v/>
      </c>
      <c r="F1772" s="8"/>
      <c r="G1772" s="8"/>
      <c r="H1772" s="13"/>
    </row>
    <row r="1773" spans="1:8" x14ac:dyDescent="0.3">
      <c r="A1773" s="11"/>
      <c r="B1773" s="8"/>
      <c r="C1773" s="7" t="str">
        <f>IF(B1773="","",IFERROR(INDEX(Reactivos!$D$2:$D$435,MATCH(B1773,Reactivos!$A$2:$A$435,0)),"ID no existe"))</f>
        <v/>
      </c>
      <c r="D1773" s="8"/>
      <c r="E1773" s="7" t="str">
        <f>IF(B1773="","",IFERROR(INDEX(Reactivos!$H$2:$H$435,MATCH(B1773,Reactivos!$A$2:$A$435,0)),""))</f>
        <v/>
      </c>
      <c r="F1773" s="8"/>
      <c r="G1773" s="8"/>
      <c r="H1773" s="13"/>
    </row>
    <row r="1774" spans="1:8" x14ac:dyDescent="0.3">
      <c r="A1774" s="11"/>
      <c r="B1774" s="8"/>
      <c r="C1774" s="7" t="str">
        <f>IF(B1774="","",IFERROR(INDEX(Reactivos!$D$2:$D$435,MATCH(B1774,Reactivos!$A$2:$A$435,0)),"ID no existe"))</f>
        <v/>
      </c>
      <c r="D1774" s="8"/>
      <c r="E1774" s="7" t="str">
        <f>IF(B1774="","",IFERROR(INDEX(Reactivos!$H$2:$H$435,MATCH(B1774,Reactivos!$A$2:$A$435,0)),""))</f>
        <v/>
      </c>
      <c r="F1774" s="8"/>
      <c r="G1774" s="8"/>
      <c r="H1774" s="13"/>
    </row>
    <row r="1775" spans="1:8" x14ac:dyDescent="0.3">
      <c r="A1775" s="11"/>
      <c r="B1775" s="8"/>
      <c r="C1775" s="7" t="str">
        <f>IF(B1775="","",IFERROR(INDEX(Reactivos!$D$2:$D$435,MATCH(B1775,Reactivos!$A$2:$A$435,0)),"ID no existe"))</f>
        <v/>
      </c>
      <c r="D1775" s="8"/>
      <c r="E1775" s="7" t="str">
        <f>IF(B1775="","",IFERROR(INDEX(Reactivos!$H$2:$H$435,MATCH(B1775,Reactivos!$A$2:$A$435,0)),""))</f>
        <v/>
      </c>
      <c r="F1775" s="8"/>
      <c r="G1775" s="8"/>
      <c r="H1775" s="13"/>
    </row>
    <row r="1776" spans="1:8" x14ac:dyDescent="0.3">
      <c r="A1776" s="11"/>
      <c r="B1776" s="8"/>
      <c r="C1776" s="7" t="str">
        <f>IF(B1776="","",IFERROR(INDEX(Reactivos!$D$2:$D$435,MATCH(B1776,Reactivos!$A$2:$A$435,0)),"ID no existe"))</f>
        <v/>
      </c>
      <c r="D1776" s="8"/>
      <c r="E1776" s="7" t="str">
        <f>IF(B1776="","",IFERROR(INDEX(Reactivos!$H$2:$H$435,MATCH(B1776,Reactivos!$A$2:$A$435,0)),""))</f>
        <v/>
      </c>
      <c r="F1776" s="8"/>
      <c r="G1776" s="8"/>
      <c r="H1776" s="13"/>
    </row>
    <row r="1777" spans="1:8" x14ac:dyDescent="0.3">
      <c r="A1777" s="11"/>
      <c r="B1777" s="8"/>
      <c r="C1777" s="7" t="str">
        <f>IF(B1777="","",IFERROR(INDEX(Reactivos!$D$2:$D$435,MATCH(B1777,Reactivos!$A$2:$A$435,0)),"ID no existe"))</f>
        <v/>
      </c>
      <c r="D1777" s="8"/>
      <c r="E1777" s="7" t="str">
        <f>IF(B1777="","",IFERROR(INDEX(Reactivos!$H$2:$H$435,MATCH(B1777,Reactivos!$A$2:$A$435,0)),""))</f>
        <v/>
      </c>
      <c r="F1777" s="8"/>
      <c r="G1777" s="8"/>
      <c r="H1777" s="13"/>
    </row>
    <row r="1778" spans="1:8" x14ac:dyDescent="0.3">
      <c r="A1778" s="11"/>
      <c r="B1778" s="8"/>
      <c r="C1778" s="7" t="str">
        <f>IF(B1778="","",IFERROR(INDEX(Reactivos!$D$2:$D$435,MATCH(B1778,Reactivos!$A$2:$A$435,0)),"ID no existe"))</f>
        <v/>
      </c>
      <c r="D1778" s="8"/>
      <c r="E1778" s="7" t="str">
        <f>IF(B1778="","",IFERROR(INDEX(Reactivos!$H$2:$H$435,MATCH(B1778,Reactivos!$A$2:$A$435,0)),""))</f>
        <v/>
      </c>
      <c r="F1778" s="8"/>
      <c r="G1778" s="8"/>
      <c r="H1778" s="13"/>
    </row>
    <row r="1779" spans="1:8" x14ac:dyDescent="0.3">
      <c r="A1779" s="11"/>
      <c r="B1779" s="8"/>
      <c r="C1779" s="7" t="str">
        <f>IF(B1779="","",IFERROR(INDEX(Reactivos!$D$2:$D$435,MATCH(B1779,Reactivos!$A$2:$A$435,0)),"ID no existe"))</f>
        <v/>
      </c>
      <c r="D1779" s="8"/>
      <c r="E1779" s="7" t="str">
        <f>IF(B1779="","",IFERROR(INDEX(Reactivos!$H$2:$H$435,MATCH(B1779,Reactivos!$A$2:$A$435,0)),""))</f>
        <v/>
      </c>
      <c r="F1779" s="8"/>
      <c r="G1779" s="8"/>
      <c r="H1779" s="13"/>
    </row>
    <row r="1780" spans="1:8" x14ac:dyDescent="0.3">
      <c r="A1780" s="11"/>
      <c r="B1780" s="8"/>
      <c r="C1780" s="7" t="str">
        <f>IF(B1780="","",IFERROR(INDEX(Reactivos!$D$2:$D$435,MATCH(B1780,Reactivos!$A$2:$A$435,0)),"ID no existe"))</f>
        <v/>
      </c>
      <c r="D1780" s="8"/>
      <c r="E1780" s="7" t="str">
        <f>IF(B1780="","",IFERROR(INDEX(Reactivos!$H$2:$H$435,MATCH(B1780,Reactivos!$A$2:$A$435,0)),""))</f>
        <v/>
      </c>
      <c r="F1780" s="8"/>
      <c r="G1780" s="8"/>
      <c r="H1780" s="13"/>
    </row>
    <row r="1781" spans="1:8" x14ac:dyDescent="0.3">
      <c r="A1781" s="11"/>
      <c r="B1781" s="8"/>
      <c r="C1781" s="7" t="str">
        <f>IF(B1781="","",IFERROR(INDEX(Reactivos!$D$2:$D$435,MATCH(B1781,Reactivos!$A$2:$A$435,0)),"ID no existe"))</f>
        <v/>
      </c>
      <c r="D1781" s="8"/>
      <c r="E1781" s="7" t="str">
        <f>IF(B1781="","",IFERROR(INDEX(Reactivos!$H$2:$H$435,MATCH(B1781,Reactivos!$A$2:$A$435,0)),""))</f>
        <v/>
      </c>
      <c r="F1781" s="8"/>
      <c r="G1781" s="8"/>
      <c r="H1781" s="13"/>
    </row>
    <row r="1782" spans="1:8" x14ac:dyDescent="0.3">
      <c r="A1782" s="11"/>
      <c r="B1782" s="8"/>
      <c r="C1782" s="7" t="str">
        <f>IF(B1782="","",IFERROR(INDEX(Reactivos!$D$2:$D$435,MATCH(B1782,Reactivos!$A$2:$A$435,0)),"ID no existe"))</f>
        <v/>
      </c>
      <c r="D1782" s="8"/>
      <c r="E1782" s="7" t="str">
        <f>IF(B1782="","",IFERROR(INDEX(Reactivos!$H$2:$H$435,MATCH(B1782,Reactivos!$A$2:$A$435,0)),""))</f>
        <v/>
      </c>
      <c r="F1782" s="8"/>
      <c r="G1782" s="8"/>
      <c r="H1782" s="13"/>
    </row>
    <row r="1783" spans="1:8" x14ac:dyDescent="0.3">
      <c r="A1783" s="11"/>
      <c r="B1783" s="8"/>
      <c r="C1783" s="7" t="str">
        <f>IF(B1783="","",IFERROR(INDEX(Reactivos!$D$2:$D$435,MATCH(B1783,Reactivos!$A$2:$A$435,0)),"ID no existe"))</f>
        <v/>
      </c>
      <c r="D1783" s="8"/>
      <c r="E1783" s="7" t="str">
        <f>IF(B1783="","",IFERROR(INDEX(Reactivos!$H$2:$H$435,MATCH(B1783,Reactivos!$A$2:$A$435,0)),""))</f>
        <v/>
      </c>
      <c r="F1783" s="8"/>
      <c r="G1783" s="8"/>
      <c r="H1783" s="13"/>
    </row>
    <row r="1784" spans="1:8" x14ac:dyDescent="0.3">
      <c r="A1784" s="11"/>
      <c r="B1784" s="8"/>
      <c r="C1784" s="7" t="str">
        <f>IF(B1784="","",IFERROR(INDEX(Reactivos!$D$2:$D$435,MATCH(B1784,Reactivos!$A$2:$A$435,0)),"ID no existe"))</f>
        <v/>
      </c>
      <c r="D1784" s="8"/>
      <c r="E1784" s="7" t="str">
        <f>IF(B1784="","",IFERROR(INDEX(Reactivos!$H$2:$H$435,MATCH(B1784,Reactivos!$A$2:$A$435,0)),""))</f>
        <v/>
      </c>
      <c r="F1784" s="8"/>
      <c r="G1784" s="8"/>
      <c r="H1784" s="13"/>
    </row>
    <row r="1785" spans="1:8" x14ac:dyDescent="0.3">
      <c r="A1785" s="11"/>
      <c r="B1785" s="8"/>
      <c r="C1785" s="7" t="str">
        <f>IF(B1785="","",IFERROR(INDEX(Reactivos!$D$2:$D$435,MATCH(B1785,Reactivos!$A$2:$A$435,0)),"ID no existe"))</f>
        <v/>
      </c>
      <c r="D1785" s="8"/>
      <c r="E1785" s="7" t="str">
        <f>IF(B1785="","",IFERROR(INDEX(Reactivos!$H$2:$H$435,MATCH(B1785,Reactivos!$A$2:$A$435,0)),""))</f>
        <v/>
      </c>
      <c r="F1785" s="8"/>
      <c r="G1785" s="8"/>
      <c r="H1785" s="13"/>
    </row>
    <row r="1786" spans="1:8" x14ac:dyDescent="0.3">
      <c r="A1786" s="11"/>
      <c r="B1786" s="8"/>
      <c r="C1786" s="7" t="str">
        <f>IF(B1786="","",IFERROR(INDEX(Reactivos!$D$2:$D$435,MATCH(B1786,Reactivos!$A$2:$A$435,0)),"ID no existe"))</f>
        <v/>
      </c>
      <c r="D1786" s="8"/>
      <c r="E1786" s="7" t="str">
        <f>IF(B1786="","",IFERROR(INDEX(Reactivos!$H$2:$H$435,MATCH(B1786,Reactivos!$A$2:$A$435,0)),""))</f>
        <v/>
      </c>
      <c r="F1786" s="8"/>
      <c r="G1786" s="8"/>
      <c r="H1786" s="13"/>
    </row>
    <row r="1787" spans="1:8" x14ac:dyDescent="0.3">
      <c r="A1787" s="11"/>
      <c r="B1787" s="8"/>
      <c r="C1787" s="7" t="str">
        <f>IF(B1787="","",IFERROR(INDEX(Reactivos!$D$2:$D$435,MATCH(B1787,Reactivos!$A$2:$A$435,0)),"ID no existe"))</f>
        <v/>
      </c>
      <c r="D1787" s="8"/>
      <c r="E1787" s="7" t="str">
        <f>IF(B1787="","",IFERROR(INDEX(Reactivos!$H$2:$H$435,MATCH(B1787,Reactivos!$A$2:$A$435,0)),""))</f>
        <v/>
      </c>
      <c r="F1787" s="8"/>
      <c r="G1787" s="8"/>
      <c r="H1787" s="13"/>
    </row>
    <row r="1788" spans="1:8" x14ac:dyDescent="0.3">
      <c r="A1788" s="11"/>
      <c r="B1788" s="8"/>
      <c r="C1788" s="7" t="str">
        <f>IF(B1788="","",IFERROR(INDEX(Reactivos!$D$2:$D$435,MATCH(B1788,Reactivos!$A$2:$A$435,0)),"ID no existe"))</f>
        <v/>
      </c>
      <c r="D1788" s="8"/>
      <c r="E1788" s="7" t="str">
        <f>IF(B1788="","",IFERROR(INDEX(Reactivos!$H$2:$H$435,MATCH(B1788,Reactivos!$A$2:$A$435,0)),""))</f>
        <v/>
      </c>
      <c r="F1788" s="8"/>
      <c r="G1788" s="8"/>
      <c r="H1788" s="13"/>
    </row>
    <row r="1789" spans="1:8" x14ac:dyDescent="0.3">
      <c r="A1789" s="11"/>
      <c r="B1789" s="8"/>
      <c r="C1789" s="7" t="str">
        <f>IF(B1789="","",IFERROR(INDEX(Reactivos!$D$2:$D$435,MATCH(B1789,Reactivos!$A$2:$A$435,0)),"ID no existe"))</f>
        <v/>
      </c>
      <c r="D1789" s="8"/>
      <c r="E1789" s="7" t="str">
        <f>IF(B1789="","",IFERROR(INDEX(Reactivos!$H$2:$H$435,MATCH(B1789,Reactivos!$A$2:$A$435,0)),""))</f>
        <v/>
      </c>
      <c r="F1789" s="8"/>
      <c r="G1789" s="8"/>
      <c r="H1789" s="13"/>
    </row>
    <row r="1790" spans="1:8" x14ac:dyDescent="0.3">
      <c r="A1790" s="11"/>
      <c r="B1790" s="8"/>
      <c r="C1790" s="7" t="str">
        <f>IF(B1790="","",IFERROR(INDEX(Reactivos!$D$2:$D$435,MATCH(B1790,Reactivos!$A$2:$A$435,0)),"ID no existe"))</f>
        <v/>
      </c>
      <c r="D1790" s="8"/>
      <c r="E1790" s="7" t="str">
        <f>IF(B1790="","",IFERROR(INDEX(Reactivos!$H$2:$H$435,MATCH(B1790,Reactivos!$A$2:$A$435,0)),""))</f>
        <v/>
      </c>
      <c r="F1790" s="8"/>
      <c r="G1790" s="8"/>
      <c r="H1790" s="13"/>
    </row>
    <row r="1791" spans="1:8" x14ac:dyDescent="0.3">
      <c r="A1791" s="11"/>
      <c r="B1791" s="8"/>
      <c r="C1791" s="7" t="str">
        <f>IF(B1791="","",IFERROR(INDEX(Reactivos!$D$2:$D$435,MATCH(B1791,Reactivos!$A$2:$A$435,0)),"ID no existe"))</f>
        <v/>
      </c>
      <c r="D1791" s="8"/>
      <c r="E1791" s="7" t="str">
        <f>IF(B1791="","",IFERROR(INDEX(Reactivos!$H$2:$H$435,MATCH(B1791,Reactivos!$A$2:$A$435,0)),""))</f>
        <v/>
      </c>
      <c r="F1791" s="8"/>
      <c r="G1791" s="8"/>
      <c r="H1791" s="13"/>
    </row>
    <row r="1792" spans="1:8" x14ac:dyDescent="0.3">
      <c r="A1792" s="11"/>
      <c r="B1792" s="8"/>
      <c r="C1792" s="7" t="str">
        <f>IF(B1792="","",IFERROR(INDEX(Reactivos!$D$2:$D$435,MATCH(B1792,Reactivos!$A$2:$A$435,0)),"ID no existe"))</f>
        <v/>
      </c>
      <c r="D1792" s="8"/>
      <c r="E1792" s="7" t="str">
        <f>IF(B1792="","",IFERROR(INDEX(Reactivos!$H$2:$H$435,MATCH(B1792,Reactivos!$A$2:$A$435,0)),""))</f>
        <v/>
      </c>
      <c r="F1792" s="8"/>
      <c r="G1792" s="8"/>
      <c r="H1792" s="13"/>
    </row>
    <row r="1793" spans="1:8" x14ac:dyDescent="0.3">
      <c r="A1793" s="11"/>
      <c r="B1793" s="8"/>
      <c r="C1793" s="7" t="str">
        <f>IF(B1793="","",IFERROR(INDEX(Reactivos!$D$2:$D$435,MATCH(B1793,Reactivos!$A$2:$A$435,0)),"ID no existe"))</f>
        <v/>
      </c>
      <c r="D1793" s="8"/>
      <c r="E1793" s="7" t="str">
        <f>IF(B1793="","",IFERROR(INDEX(Reactivos!$H$2:$H$435,MATCH(B1793,Reactivos!$A$2:$A$435,0)),""))</f>
        <v/>
      </c>
      <c r="F1793" s="8"/>
      <c r="G1793" s="8"/>
      <c r="H1793" s="13"/>
    </row>
    <row r="1794" spans="1:8" x14ac:dyDescent="0.3">
      <c r="A1794" s="11"/>
      <c r="B1794" s="8"/>
      <c r="C1794" s="7" t="str">
        <f>IF(B1794="","",IFERROR(INDEX(Reactivos!$D$2:$D$435,MATCH(B1794,Reactivos!$A$2:$A$435,0)),"ID no existe"))</f>
        <v/>
      </c>
      <c r="D1794" s="8"/>
      <c r="E1794" s="7" t="str">
        <f>IF(B1794="","",IFERROR(INDEX(Reactivos!$H$2:$H$435,MATCH(B1794,Reactivos!$A$2:$A$435,0)),""))</f>
        <v/>
      </c>
      <c r="F1794" s="8"/>
      <c r="G1794" s="8"/>
      <c r="H1794" s="13"/>
    </row>
    <row r="1795" spans="1:8" x14ac:dyDescent="0.3">
      <c r="A1795" s="11"/>
      <c r="B1795" s="8"/>
      <c r="C1795" s="7" t="str">
        <f>IF(B1795="","",IFERROR(INDEX(Reactivos!$D$2:$D$435,MATCH(B1795,Reactivos!$A$2:$A$435,0)),"ID no existe"))</f>
        <v/>
      </c>
      <c r="D1795" s="8"/>
      <c r="E1795" s="7" t="str">
        <f>IF(B1795="","",IFERROR(INDEX(Reactivos!$H$2:$H$435,MATCH(B1795,Reactivos!$A$2:$A$435,0)),""))</f>
        <v/>
      </c>
      <c r="F1795" s="8"/>
      <c r="G1795" s="8"/>
      <c r="H1795" s="13"/>
    </row>
    <row r="1796" spans="1:8" x14ac:dyDescent="0.3">
      <c r="A1796" s="11"/>
      <c r="B1796" s="8"/>
      <c r="C1796" s="7" t="str">
        <f>IF(B1796="","",IFERROR(INDEX(Reactivos!$D$2:$D$435,MATCH(B1796,Reactivos!$A$2:$A$435,0)),"ID no existe"))</f>
        <v/>
      </c>
      <c r="D1796" s="8"/>
      <c r="E1796" s="7" t="str">
        <f>IF(B1796="","",IFERROR(INDEX(Reactivos!$H$2:$H$435,MATCH(B1796,Reactivos!$A$2:$A$435,0)),""))</f>
        <v/>
      </c>
      <c r="F1796" s="8"/>
      <c r="G1796" s="8"/>
      <c r="H1796" s="13"/>
    </row>
    <row r="1797" spans="1:8" x14ac:dyDescent="0.3">
      <c r="A1797" s="11"/>
      <c r="B1797" s="8"/>
      <c r="C1797" s="7" t="str">
        <f>IF(B1797="","",IFERROR(INDEX(Reactivos!$D$2:$D$435,MATCH(B1797,Reactivos!$A$2:$A$435,0)),"ID no existe"))</f>
        <v/>
      </c>
      <c r="D1797" s="8"/>
      <c r="E1797" s="7" t="str">
        <f>IF(B1797="","",IFERROR(INDEX(Reactivos!$H$2:$H$435,MATCH(B1797,Reactivos!$A$2:$A$435,0)),""))</f>
        <v/>
      </c>
      <c r="F1797" s="8"/>
      <c r="G1797" s="8"/>
      <c r="H1797" s="13"/>
    </row>
    <row r="1798" spans="1:8" x14ac:dyDescent="0.3">
      <c r="A1798" s="11"/>
      <c r="B1798" s="8"/>
      <c r="C1798" s="7" t="str">
        <f>IF(B1798="","",IFERROR(INDEX(Reactivos!$D$2:$D$435,MATCH(B1798,Reactivos!$A$2:$A$435,0)),"ID no existe"))</f>
        <v/>
      </c>
      <c r="D1798" s="8"/>
      <c r="E1798" s="7" t="str">
        <f>IF(B1798="","",IFERROR(INDEX(Reactivos!$H$2:$H$435,MATCH(B1798,Reactivos!$A$2:$A$435,0)),""))</f>
        <v/>
      </c>
      <c r="F1798" s="8"/>
      <c r="G1798" s="8"/>
      <c r="H1798" s="13"/>
    </row>
    <row r="1799" spans="1:8" x14ac:dyDescent="0.3">
      <c r="A1799" s="11"/>
      <c r="B1799" s="8"/>
      <c r="C1799" s="7" t="str">
        <f>IF(B1799="","",IFERROR(INDEX(Reactivos!$D$2:$D$435,MATCH(B1799,Reactivos!$A$2:$A$435,0)),"ID no existe"))</f>
        <v/>
      </c>
      <c r="D1799" s="8"/>
      <c r="E1799" s="7" t="str">
        <f>IF(B1799="","",IFERROR(INDEX(Reactivos!$H$2:$H$435,MATCH(B1799,Reactivos!$A$2:$A$435,0)),""))</f>
        <v/>
      </c>
      <c r="F1799" s="8"/>
      <c r="G1799" s="8"/>
      <c r="H1799" s="13"/>
    </row>
    <row r="1800" spans="1:8" x14ac:dyDescent="0.3">
      <c r="A1800" s="11"/>
      <c r="B1800" s="8"/>
      <c r="C1800" s="7" t="str">
        <f>IF(B1800="","",IFERROR(INDEX(Reactivos!$D$2:$D$435,MATCH(B1800,Reactivos!$A$2:$A$435,0)),"ID no existe"))</f>
        <v/>
      </c>
      <c r="D1800" s="8"/>
      <c r="E1800" s="7" t="str">
        <f>IF(B1800="","",IFERROR(INDEX(Reactivos!$H$2:$H$435,MATCH(B1800,Reactivos!$A$2:$A$435,0)),""))</f>
        <v/>
      </c>
      <c r="F1800" s="8"/>
      <c r="G1800" s="8"/>
      <c r="H1800" s="13"/>
    </row>
    <row r="1801" spans="1:8" x14ac:dyDescent="0.3">
      <c r="A1801" s="11"/>
      <c r="B1801" s="8"/>
      <c r="C1801" s="7" t="str">
        <f>IF(B1801="","",IFERROR(INDEX(Reactivos!$D$2:$D$435,MATCH(B1801,Reactivos!$A$2:$A$435,0)),"ID no existe"))</f>
        <v/>
      </c>
      <c r="D1801" s="8"/>
      <c r="E1801" s="7" t="str">
        <f>IF(B1801="","",IFERROR(INDEX(Reactivos!$H$2:$H$435,MATCH(B1801,Reactivos!$A$2:$A$435,0)),""))</f>
        <v/>
      </c>
      <c r="F1801" s="8"/>
      <c r="G1801" s="8"/>
      <c r="H1801" s="13"/>
    </row>
    <row r="1802" spans="1:8" x14ac:dyDescent="0.3">
      <c r="A1802" s="11"/>
      <c r="B1802" s="8"/>
      <c r="C1802" s="7" t="str">
        <f>IF(B1802="","",IFERROR(INDEX(Reactivos!$D$2:$D$435,MATCH(B1802,Reactivos!$A$2:$A$435,0)),"ID no existe"))</f>
        <v/>
      </c>
      <c r="D1802" s="8"/>
      <c r="E1802" s="7" t="str">
        <f>IF(B1802="","",IFERROR(INDEX(Reactivos!$H$2:$H$435,MATCH(B1802,Reactivos!$A$2:$A$435,0)),""))</f>
        <v/>
      </c>
      <c r="F1802" s="8"/>
      <c r="G1802" s="8"/>
      <c r="H1802" s="13"/>
    </row>
    <row r="1803" spans="1:8" x14ac:dyDescent="0.3">
      <c r="A1803" s="11"/>
      <c r="B1803" s="8"/>
      <c r="C1803" s="7" t="str">
        <f>IF(B1803="","",IFERROR(INDEX(Reactivos!$D$2:$D$435,MATCH(B1803,Reactivos!$A$2:$A$435,0)),"ID no existe"))</f>
        <v/>
      </c>
      <c r="D1803" s="8"/>
      <c r="E1803" s="7" t="str">
        <f>IF(B1803="","",IFERROR(INDEX(Reactivos!$H$2:$H$435,MATCH(B1803,Reactivos!$A$2:$A$435,0)),""))</f>
        <v/>
      </c>
      <c r="F1803" s="8"/>
      <c r="G1803" s="8"/>
      <c r="H1803" s="13"/>
    </row>
    <row r="1804" spans="1:8" x14ac:dyDescent="0.3">
      <c r="A1804" s="11"/>
      <c r="B1804" s="8"/>
      <c r="C1804" s="7" t="str">
        <f>IF(B1804="","",IFERROR(INDEX(Reactivos!$D$2:$D$435,MATCH(B1804,Reactivos!$A$2:$A$435,0)),"ID no existe"))</f>
        <v/>
      </c>
      <c r="D1804" s="8"/>
      <c r="E1804" s="7" t="str">
        <f>IF(B1804="","",IFERROR(INDEX(Reactivos!$H$2:$H$435,MATCH(B1804,Reactivos!$A$2:$A$435,0)),""))</f>
        <v/>
      </c>
      <c r="F1804" s="8"/>
      <c r="G1804" s="8"/>
      <c r="H1804" s="13"/>
    </row>
    <row r="1805" spans="1:8" x14ac:dyDescent="0.3">
      <c r="A1805" s="11"/>
      <c r="B1805" s="8"/>
      <c r="C1805" s="7" t="str">
        <f>IF(B1805="","",IFERROR(INDEX(Reactivos!$D$2:$D$435,MATCH(B1805,Reactivos!$A$2:$A$435,0)),"ID no existe"))</f>
        <v/>
      </c>
      <c r="D1805" s="8"/>
      <c r="E1805" s="7" t="str">
        <f>IF(B1805="","",IFERROR(INDEX(Reactivos!$H$2:$H$435,MATCH(B1805,Reactivos!$A$2:$A$435,0)),""))</f>
        <v/>
      </c>
      <c r="F1805" s="8"/>
      <c r="G1805" s="8"/>
      <c r="H1805" s="13"/>
    </row>
    <row r="1806" spans="1:8" x14ac:dyDescent="0.3">
      <c r="A1806" s="11"/>
      <c r="B1806" s="8"/>
      <c r="C1806" s="7" t="str">
        <f>IF(B1806="","",IFERROR(INDEX(Reactivos!$D$2:$D$435,MATCH(B1806,Reactivos!$A$2:$A$435,0)),"ID no existe"))</f>
        <v/>
      </c>
      <c r="D1806" s="8"/>
      <c r="E1806" s="7" t="str">
        <f>IF(B1806="","",IFERROR(INDEX(Reactivos!$H$2:$H$435,MATCH(B1806,Reactivos!$A$2:$A$435,0)),""))</f>
        <v/>
      </c>
      <c r="F1806" s="8"/>
      <c r="G1806" s="8"/>
      <c r="H1806" s="13"/>
    </row>
    <row r="1807" spans="1:8" x14ac:dyDescent="0.3">
      <c r="A1807" s="11"/>
      <c r="B1807" s="8"/>
      <c r="C1807" s="7" t="str">
        <f>IF(B1807="","",IFERROR(INDEX(Reactivos!$D$2:$D$435,MATCH(B1807,Reactivos!$A$2:$A$435,0)),"ID no existe"))</f>
        <v/>
      </c>
      <c r="D1807" s="8"/>
      <c r="E1807" s="7" t="str">
        <f>IF(B1807="","",IFERROR(INDEX(Reactivos!$H$2:$H$435,MATCH(B1807,Reactivos!$A$2:$A$435,0)),""))</f>
        <v/>
      </c>
      <c r="F1807" s="8"/>
      <c r="G1807" s="8"/>
      <c r="H1807" s="13"/>
    </row>
    <row r="1808" spans="1:8" x14ac:dyDescent="0.3">
      <c r="A1808" s="11"/>
      <c r="B1808" s="8"/>
      <c r="C1808" s="7" t="str">
        <f>IF(B1808="","",IFERROR(INDEX(Reactivos!$D$2:$D$435,MATCH(B1808,Reactivos!$A$2:$A$435,0)),"ID no existe"))</f>
        <v/>
      </c>
      <c r="D1808" s="8"/>
      <c r="E1808" s="7" t="str">
        <f>IF(B1808="","",IFERROR(INDEX(Reactivos!$H$2:$H$435,MATCH(B1808,Reactivos!$A$2:$A$435,0)),""))</f>
        <v/>
      </c>
      <c r="F1808" s="8"/>
      <c r="G1808" s="8"/>
      <c r="H1808" s="13"/>
    </row>
    <row r="1809" spans="1:8" x14ac:dyDescent="0.3">
      <c r="A1809" s="11"/>
      <c r="B1809" s="8"/>
      <c r="C1809" s="7" t="str">
        <f>IF(B1809="","",IFERROR(INDEX(Reactivos!$D$2:$D$435,MATCH(B1809,Reactivos!$A$2:$A$435,0)),"ID no existe"))</f>
        <v/>
      </c>
      <c r="D1809" s="8"/>
      <c r="E1809" s="7" t="str">
        <f>IF(B1809="","",IFERROR(INDEX(Reactivos!$H$2:$H$435,MATCH(B1809,Reactivos!$A$2:$A$435,0)),""))</f>
        <v/>
      </c>
      <c r="F1809" s="8"/>
      <c r="G1809" s="8"/>
      <c r="H1809" s="13"/>
    </row>
    <row r="1810" spans="1:8" x14ac:dyDescent="0.3">
      <c r="A1810" s="11"/>
      <c r="B1810" s="8"/>
      <c r="C1810" s="7" t="str">
        <f>IF(B1810="","",IFERROR(INDEX(Reactivos!$D$2:$D$435,MATCH(B1810,Reactivos!$A$2:$A$435,0)),"ID no existe"))</f>
        <v/>
      </c>
      <c r="D1810" s="8"/>
      <c r="E1810" s="7" t="str">
        <f>IF(B1810="","",IFERROR(INDEX(Reactivos!$H$2:$H$435,MATCH(B1810,Reactivos!$A$2:$A$435,0)),""))</f>
        <v/>
      </c>
      <c r="F1810" s="8"/>
      <c r="G1810" s="8"/>
      <c r="H1810" s="13"/>
    </row>
    <row r="1811" spans="1:8" x14ac:dyDescent="0.3">
      <c r="A1811" s="11"/>
      <c r="B1811" s="8"/>
      <c r="C1811" s="7" t="str">
        <f>IF(B1811="","",IFERROR(INDEX(Reactivos!$D$2:$D$435,MATCH(B1811,Reactivos!$A$2:$A$435,0)),"ID no existe"))</f>
        <v/>
      </c>
      <c r="D1811" s="8"/>
      <c r="E1811" s="7" t="str">
        <f>IF(B1811="","",IFERROR(INDEX(Reactivos!$H$2:$H$435,MATCH(B1811,Reactivos!$A$2:$A$435,0)),""))</f>
        <v/>
      </c>
      <c r="F1811" s="8"/>
      <c r="G1811" s="8"/>
      <c r="H1811" s="13"/>
    </row>
    <row r="1812" spans="1:8" x14ac:dyDescent="0.3">
      <c r="A1812" s="11"/>
      <c r="B1812" s="8"/>
      <c r="C1812" s="7" t="str">
        <f>IF(B1812="","",IFERROR(INDEX(Reactivos!$D$2:$D$435,MATCH(B1812,Reactivos!$A$2:$A$435,0)),"ID no existe"))</f>
        <v/>
      </c>
      <c r="D1812" s="8"/>
      <c r="E1812" s="7" t="str">
        <f>IF(B1812="","",IFERROR(INDEX(Reactivos!$H$2:$H$435,MATCH(B1812,Reactivos!$A$2:$A$435,0)),""))</f>
        <v/>
      </c>
      <c r="F1812" s="8"/>
      <c r="G1812" s="8"/>
      <c r="H1812" s="13"/>
    </row>
    <row r="1813" spans="1:8" x14ac:dyDescent="0.3">
      <c r="A1813" s="11"/>
      <c r="B1813" s="8"/>
      <c r="C1813" s="7" t="str">
        <f>IF(B1813="","",IFERROR(INDEX(Reactivos!$D$2:$D$435,MATCH(B1813,Reactivos!$A$2:$A$435,0)),"ID no existe"))</f>
        <v/>
      </c>
      <c r="D1813" s="8"/>
      <c r="E1813" s="7" t="str">
        <f>IF(B1813="","",IFERROR(INDEX(Reactivos!$H$2:$H$435,MATCH(B1813,Reactivos!$A$2:$A$435,0)),""))</f>
        <v/>
      </c>
      <c r="F1813" s="8"/>
      <c r="G1813" s="8"/>
      <c r="H1813" s="13"/>
    </row>
    <row r="1814" spans="1:8" x14ac:dyDescent="0.3">
      <c r="A1814" s="11"/>
      <c r="B1814" s="8"/>
      <c r="C1814" s="7" t="str">
        <f>IF(B1814="","",IFERROR(INDEX(Reactivos!$D$2:$D$435,MATCH(B1814,Reactivos!$A$2:$A$435,0)),"ID no existe"))</f>
        <v/>
      </c>
      <c r="D1814" s="8"/>
      <c r="E1814" s="7" t="str">
        <f>IF(B1814="","",IFERROR(INDEX(Reactivos!$H$2:$H$435,MATCH(B1814,Reactivos!$A$2:$A$435,0)),""))</f>
        <v/>
      </c>
      <c r="F1814" s="8"/>
      <c r="G1814" s="8"/>
      <c r="H1814" s="13"/>
    </row>
    <row r="1815" spans="1:8" x14ac:dyDescent="0.3">
      <c r="A1815" s="11"/>
      <c r="B1815" s="8"/>
      <c r="C1815" s="7" t="str">
        <f>IF(B1815="","",IFERROR(INDEX(Reactivos!$D$2:$D$435,MATCH(B1815,Reactivos!$A$2:$A$435,0)),"ID no existe"))</f>
        <v/>
      </c>
      <c r="D1815" s="8"/>
      <c r="E1815" s="7" t="str">
        <f>IF(B1815="","",IFERROR(INDEX(Reactivos!$H$2:$H$435,MATCH(B1815,Reactivos!$A$2:$A$435,0)),""))</f>
        <v/>
      </c>
      <c r="F1815" s="8"/>
      <c r="G1815" s="8"/>
      <c r="H1815" s="13"/>
    </row>
    <row r="1816" spans="1:8" x14ac:dyDescent="0.3">
      <c r="A1816" s="11"/>
      <c r="B1816" s="8"/>
      <c r="C1816" s="7" t="str">
        <f>IF(B1816="","",IFERROR(INDEX(Reactivos!$D$2:$D$435,MATCH(B1816,Reactivos!$A$2:$A$435,0)),"ID no existe"))</f>
        <v/>
      </c>
      <c r="D1816" s="8"/>
      <c r="E1816" s="7" t="str">
        <f>IF(B1816="","",IFERROR(INDEX(Reactivos!$H$2:$H$435,MATCH(B1816,Reactivos!$A$2:$A$435,0)),""))</f>
        <v/>
      </c>
      <c r="F1816" s="8"/>
      <c r="G1816" s="8"/>
      <c r="H1816" s="13"/>
    </row>
    <row r="1817" spans="1:8" x14ac:dyDescent="0.3">
      <c r="A1817" s="11"/>
      <c r="B1817" s="8"/>
      <c r="C1817" s="7" t="str">
        <f>IF(B1817="","",IFERROR(INDEX(Reactivos!$D$2:$D$435,MATCH(B1817,Reactivos!$A$2:$A$435,0)),"ID no existe"))</f>
        <v/>
      </c>
      <c r="D1817" s="8"/>
      <c r="E1817" s="7" t="str">
        <f>IF(B1817="","",IFERROR(INDEX(Reactivos!$H$2:$H$435,MATCH(B1817,Reactivos!$A$2:$A$435,0)),""))</f>
        <v/>
      </c>
      <c r="F1817" s="8"/>
      <c r="G1817" s="8"/>
      <c r="H1817" s="13"/>
    </row>
    <row r="1818" spans="1:8" x14ac:dyDescent="0.3">
      <c r="A1818" s="11"/>
      <c r="B1818" s="8"/>
      <c r="C1818" s="7" t="str">
        <f>IF(B1818="","",IFERROR(INDEX(Reactivos!$D$2:$D$435,MATCH(B1818,Reactivos!$A$2:$A$435,0)),"ID no existe"))</f>
        <v/>
      </c>
      <c r="D1818" s="8"/>
      <c r="E1818" s="7" t="str">
        <f>IF(B1818="","",IFERROR(INDEX(Reactivos!$H$2:$H$435,MATCH(B1818,Reactivos!$A$2:$A$435,0)),""))</f>
        <v/>
      </c>
      <c r="F1818" s="8"/>
      <c r="G1818" s="8"/>
      <c r="H1818" s="13"/>
    </row>
    <row r="1819" spans="1:8" x14ac:dyDescent="0.3">
      <c r="A1819" s="11"/>
      <c r="B1819" s="8"/>
      <c r="C1819" s="7" t="str">
        <f>IF(B1819="","",IFERROR(INDEX(Reactivos!$D$2:$D$435,MATCH(B1819,Reactivos!$A$2:$A$435,0)),"ID no existe"))</f>
        <v/>
      </c>
      <c r="D1819" s="8"/>
      <c r="E1819" s="7" t="str">
        <f>IF(B1819="","",IFERROR(INDEX(Reactivos!$H$2:$H$435,MATCH(B1819,Reactivos!$A$2:$A$435,0)),""))</f>
        <v/>
      </c>
      <c r="F1819" s="8"/>
      <c r="G1819" s="8"/>
      <c r="H1819" s="13"/>
    </row>
    <row r="1820" spans="1:8" x14ac:dyDescent="0.3">
      <c r="A1820" s="11"/>
      <c r="B1820" s="8"/>
      <c r="C1820" s="7" t="str">
        <f>IF(B1820="","",IFERROR(INDEX(Reactivos!$D$2:$D$435,MATCH(B1820,Reactivos!$A$2:$A$435,0)),"ID no existe"))</f>
        <v/>
      </c>
      <c r="D1820" s="8"/>
      <c r="E1820" s="7" t="str">
        <f>IF(B1820="","",IFERROR(INDEX(Reactivos!$H$2:$H$435,MATCH(B1820,Reactivos!$A$2:$A$435,0)),""))</f>
        <v/>
      </c>
      <c r="F1820" s="8"/>
      <c r="G1820" s="8"/>
      <c r="H1820" s="13"/>
    </row>
    <row r="1821" spans="1:8" x14ac:dyDescent="0.3">
      <c r="A1821" s="11"/>
      <c r="B1821" s="8"/>
      <c r="C1821" s="7" t="str">
        <f>IF(B1821="","",IFERROR(INDEX(Reactivos!$D$2:$D$435,MATCH(B1821,Reactivos!$A$2:$A$435,0)),"ID no existe"))</f>
        <v/>
      </c>
      <c r="D1821" s="8"/>
      <c r="E1821" s="7" t="str">
        <f>IF(B1821="","",IFERROR(INDEX(Reactivos!$H$2:$H$435,MATCH(B1821,Reactivos!$A$2:$A$435,0)),""))</f>
        <v/>
      </c>
      <c r="F1821" s="8"/>
      <c r="G1821" s="8"/>
      <c r="H1821" s="13"/>
    </row>
    <row r="1822" spans="1:8" x14ac:dyDescent="0.3">
      <c r="A1822" s="11"/>
      <c r="B1822" s="8"/>
      <c r="C1822" s="7" t="str">
        <f>IF(B1822="","",IFERROR(INDEX(Reactivos!$D$2:$D$435,MATCH(B1822,Reactivos!$A$2:$A$435,0)),"ID no existe"))</f>
        <v/>
      </c>
      <c r="D1822" s="8"/>
      <c r="E1822" s="7" t="str">
        <f>IF(B1822="","",IFERROR(INDEX(Reactivos!$H$2:$H$435,MATCH(B1822,Reactivos!$A$2:$A$435,0)),""))</f>
        <v/>
      </c>
      <c r="F1822" s="8"/>
      <c r="G1822" s="8"/>
      <c r="H1822" s="13"/>
    </row>
    <row r="1823" spans="1:8" x14ac:dyDescent="0.3">
      <c r="A1823" s="11"/>
      <c r="B1823" s="8"/>
      <c r="C1823" s="7" t="str">
        <f>IF(B1823="","",IFERROR(INDEX(Reactivos!$D$2:$D$435,MATCH(B1823,Reactivos!$A$2:$A$435,0)),"ID no existe"))</f>
        <v/>
      </c>
      <c r="D1823" s="8"/>
      <c r="E1823" s="7" t="str">
        <f>IF(B1823="","",IFERROR(INDEX(Reactivos!$H$2:$H$435,MATCH(B1823,Reactivos!$A$2:$A$435,0)),""))</f>
        <v/>
      </c>
      <c r="F1823" s="8"/>
      <c r="G1823" s="8"/>
      <c r="H1823" s="13"/>
    </row>
    <row r="1824" spans="1:8" x14ac:dyDescent="0.3">
      <c r="A1824" s="11"/>
      <c r="B1824" s="8"/>
      <c r="C1824" s="7" t="str">
        <f>IF(B1824="","",IFERROR(INDEX(Reactivos!$D$2:$D$435,MATCH(B1824,Reactivos!$A$2:$A$435,0)),"ID no existe"))</f>
        <v/>
      </c>
      <c r="D1824" s="8"/>
      <c r="E1824" s="7" t="str">
        <f>IF(B1824="","",IFERROR(INDEX(Reactivos!$H$2:$H$435,MATCH(B1824,Reactivos!$A$2:$A$435,0)),""))</f>
        <v/>
      </c>
      <c r="F1824" s="8"/>
      <c r="G1824" s="8"/>
      <c r="H1824" s="13"/>
    </row>
    <row r="1825" spans="1:8" x14ac:dyDescent="0.3">
      <c r="A1825" s="11"/>
      <c r="B1825" s="8"/>
      <c r="C1825" s="7" t="str">
        <f>IF(B1825="","",IFERROR(INDEX(Reactivos!$D$2:$D$435,MATCH(B1825,Reactivos!$A$2:$A$435,0)),"ID no existe"))</f>
        <v/>
      </c>
      <c r="D1825" s="8"/>
      <c r="E1825" s="7" t="str">
        <f>IF(B1825="","",IFERROR(INDEX(Reactivos!$H$2:$H$435,MATCH(B1825,Reactivos!$A$2:$A$435,0)),""))</f>
        <v/>
      </c>
      <c r="F1825" s="8"/>
      <c r="G1825" s="8"/>
      <c r="H1825" s="13"/>
    </row>
    <row r="1826" spans="1:8" x14ac:dyDescent="0.3">
      <c r="A1826" s="11"/>
      <c r="B1826" s="8"/>
      <c r="C1826" s="7" t="str">
        <f>IF(B1826="","",IFERROR(INDEX(Reactivos!$D$2:$D$435,MATCH(B1826,Reactivos!$A$2:$A$435,0)),"ID no existe"))</f>
        <v/>
      </c>
      <c r="D1826" s="8"/>
      <c r="E1826" s="7" t="str">
        <f>IF(B1826="","",IFERROR(INDEX(Reactivos!$H$2:$H$435,MATCH(B1826,Reactivos!$A$2:$A$435,0)),""))</f>
        <v/>
      </c>
      <c r="F1826" s="8"/>
      <c r="G1826" s="8"/>
      <c r="H1826" s="13"/>
    </row>
    <row r="1827" spans="1:8" x14ac:dyDescent="0.3">
      <c r="A1827" s="11"/>
      <c r="B1827" s="8"/>
      <c r="C1827" s="7" t="str">
        <f>IF(B1827="","",IFERROR(INDEX(Reactivos!$D$2:$D$435,MATCH(B1827,Reactivos!$A$2:$A$435,0)),"ID no existe"))</f>
        <v/>
      </c>
      <c r="D1827" s="8"/>
      <c r="E1827" s="7" t="str">
        <f>IF(B1827="","",IFERROR(INDEX(Reactivos!$H$2:$H$435,MATCH(B1827,Reactivos!$A$2:$A$435,0)),""))</f>
        <v/>
      </c>
      <c r="F1827" s="8"/>
      <c r="G1827" s="8"/>
      <c r="H1827" s="13"/>
    </row>
    <row r="1828" spans="1:8" x14ac:dyDescent="0.3">
      <c r="A1828" s="11"/>
      <c r="B1828" s="8"/>
      <c r="C1828" s="7" t="str">
        <f>IF(B1828="","",IFERROR(INDEX(Reactivos!$D$2:$D$435,MATCH(B1828,Reactivos!$A$2:$A$435,0)),"ID no existe"))</f>
        <v/>
      </c>
      <c r="D1828" s="8"/>
      <c r="E1828" s="7" t="str">
        <f>IF(B1828="","",IFERROR(INDEX(Reactivos!$H$2:$H$435,MATCH(B1828,Reactivos!$A$2:$A$435,0)),""))</f>
        <v/>
      </c>
      <c r="F1828" s="8"/>
      <c r="G1828" s="8"/>
      <c r="H1828" s="13"/>
    </row>
    <row r="1829" spans="1:8" x14ac:dyDescent="0.3">
      <c r="A1829" s="11"/>
      <c r="B1829" s="8"/>
      <c r="C1829" s="7" t="str">
        <f>IF(B1829="","",IFERROR(INDEX(Reactivos!$D$2:$D$435,MATCH(B1829,Reactivos!$A$2:$A$435,0)),"ID no existe"))</f>
        <v/>
      </c>
      <c r="D1829" s="8"/>
      <c r="E1829" s="7" t="str">
        <f>IF(B1829="","",IFERROR(INDEX(Reactivos!$H$2:$H$435,MATCH(B1829,Reactivos!$A$2:$A$435,0)),""))</f>
        <v/>
      </c>
      <c r="F1829" s="8"/>
      <c r="G1829" s="8"/>
      <c r="H1829" s="13"/>
    </row>
    <row r="1830" spans="1:8" x14ac:dyDescent="0.3">
      <c r="A1830" s="11"/>
      <c r="B1830" s="8"/>
      <c r="C1830" s="7" t="str">
        <f>IF(B1830="","",IFERROR(INDEX(Reactivos!$D$2:$D$435,MATCH(B1830,Reactivos!$A$2:$A$435,0)),"ID no existe"))</f>
        <v/>
      </c>
      <c r="D1830" s="8"/>
      <c r="E1830" s="7" t="str">
        <f>IF(B1830="","",IFERROR(INDEX(Reactivos!$H$2:$H$435,MATCH(B1830,Reactivos!$A$2:$A$435,0)),""))</f>
        <v/>
      </c>
      <c r="F1830" s="8"/>
      <c r="G1830" s="8"/>
      <c r="H1830" s="13"/>
    </row>
    <row r="1831" spans="1:8" x14ac:dyDescent="0.3">
      <c r="A1831" s="11"/>
      <c r="B1831" s="8"/>
      <c r="C1831" s="7" t="str">
        <f>IF(B1831="","",IFERROR(INDEX(Reactivos!$D$2:$D$435,MATCH(B1831,Reactivos!$A$2:$A$435,0)),"ID no existe"))</f>
        <v/>
      </c>
      <c r="D1831" s="8"/>
      <c r="E1831" s="7" t="str">
        <f>IF(B1831="","",IFERROR(INDEX(Reactivos!$H$2:$H$435,MATCH(B1831,Reactivos!$A$2:$A$435,0)),""))</f>
        <v/>
      </c>
      <c r="F1831" s="8"/>
      <c r="G1831" s="8"/>
      <c r="H1831" s="13"/>
    </row>
    <row r="1832" spans="1:8" x14ac:dyDescent="0.3">
      <c r="A1832" s="11"/>
      <c r="B1832" s="8"/>
      <c r="C1832" s="7" t="str">
        <f>IF(B1832="","",IFERROR(INDEX(Reactivos!$D$2:$D$435,MATCH(B1832,Reactivos!$A$2:$A$435,0)),"ID no existe"))</f>
        <v/>
      </c>
      <c r="D1832" s="8"/>
      <c r="E1832" s="7" t="str">
        <f>IF(B1832="","",IFERROR(INDEX(Reactivos!$H$2:$H$435,MATCH(B1832,Reactivos!$A$2:$A$435,0)),""))</f>
        <v/>
      </c>
      <c r="F1832" s="8"/>
      <c r="G1832" s="8"/>
      <c r="H1832" s="13"/>
    </row>
    <row r="1833" spans="1:8" x14ac:dyDescent="0.3">
      <c r="A1833" s="11"/>
      <c r="B1833" s="8"/>
      <c r="C1833" s="7" t="str">
        <f>IF(B1833="","",IFERROR(INDEX(Reactivos!$D$2:$D$435,MATCH(B1833,Reactivos!$A$2:$A$435,0)),"ID no existe"))</f>
        <v/>
      </c>
      <c r="D1833" s="8"/>
      <c r="E1833" s="7" t="str">
        <f>IF(B1833="","",IFERROR(INDEX(Reactivos!$H$2:$H$435,MATCH(B1833,Reactivos!$A$2:$A$435,0)),""))</f>
        <v/>
      </c>
      <c r="F1833" s="8"/>
      <c r="G1833" s="8"/>
      <c r="H1833" s="13"/>
    </row>
    <row r="1834" spans="1:8" x14ac:dyDescent="0.3">
      <c r="A1834" s="11"/>
      <c r="B1834" s="8"/>
      <c r="C1834" s="7" t="str">
        <f>IF(B1834="","",IFERROR(INDEX(Reactivos!$D$2:$D$435,MATCH(B1834,Reactivos!$A$2:$A$435,0)),"ID no existe"))</f>
        <v/>
      </c>
      <c r="D1834" s="8"/>
      <c r="E1834" s="7" t="str">
        <f>IF(B1834="","",IFERROR(INDEX(Reactivos!$H$2:$H$435,MATCH(B1834,Reactivos!$A$2:$A$435,0)),""))</f>
        <v/>
      </c>
      <c r="F1834" s="8"/>
      <c r="G1834" s="8"/>
      <c r="H1834" s="13"/>
    </row>
    <row r="1835" spans="1:8" x14ac:dyDescent="0.3">
      <c r="A1835" s="11"/>
      <c r="B1835" s="8"/>
      <c r="C1835" s="7" t="str">
        <f>IF(B1835="","",IFERROR(INDEX(Reactivos!$D$2:$D$435,MATCH(B1835,Reactivos!$A$2:$A$435,0)),"ID no existe"))</f>
        <v/>
      </c>
      <c r="D1835" s="8"/>
      <c r="E1835" s="7" t="str">
        <f>IF(B1835="","",IFERROR(INDEX(Reactivos!$H$2:$H$435,MATCH(B1835,Reactivos!$A$2:$A$435,0)),""))</f>
        <v/>
      </c>
      <c r="F1835" s="8"/>
      <c r="G1835" s="8"/>
      <c r="H1835" s="13"/>
    </row>
    <row r="1836" spans="1:8" x14ac:dyDescent="0.3">
      <c r="A1836" s="11"/>
      <c r="B1836" s="8"/>
      <c r="C1836" s="7" t="str">
        <f>IF(B1836="","",IFERROR(INDEX(Reactivos!$D$2:$D$435,MATCH(B1836,Reactivos!$A$2:$A$435,0)),"ID no existe"))</f>
        <v/>
      </c>
      <c r="D1836" s="8"/>
      <c r="E1836" s="7" t="str">
        <f>IF(B1836="","",IFERROR(INDEX(Reactivos!$H$2:$H$435,MATCH(B1836,Reactivos!$A$2:$A$435,0)),""))</f>
        <v/>
      </c>
      <c r="F1836" s="8"/>
      <c r="G1836" s="8"/>
      <c r="H1836" s="13"/>
    </row>
    <row r="1837" spans="1:8" x14ac:dyDescent="0.3">
      <c r="A1837" s="11"/>
      <c r="B1837" s="8"/>
      <c r="C1837" s="7" t="str">
        <f>IF(B1837="","",IFERROR(INDEX(Reactivos!$D$2:$D$435,MATCH(B1837,Reactivos!$A$2:$A$435,0)),"ID no existe"))</f>
        <v/>
      </c>
      <c r="D1837" s="8"/>
      <c r="E1837" s="7" t="str">
        <f>IF(B1837="","",IFERROR(INDEX(Reactivos!$H$2:$H$435,MATCH(B1837,Reactivos!$A$2:$A$435,0)),""))</f>
        <v/>
      </c>
      <c r="F1837" s="8"/>
      <c r="G1837" s="8"/>
      <c r="H1837" s="13"/>
    </row>
    <row r="1838" spans="1:8" x14ac:dyDescent="0.3">
      <c r="A1838" s="11"/>
      <c r="B1838" s="8"/>
      <c r="C1838" s="7" t="str">
        <f>IF(B1838="","",IFERROR(INDEX(Reactivos!$D$2:$D$435,MATCH(B1838,Reactivos!$A$2:$A$435,0)),"ID no existe"))</f>
        <v/>
      </c>
      <c r="D1838" s="8"/>
      <c r="E1838" s="7" t="str">
        <f>IF(B1838="","",IFERROR(INDEX(Reactivos!$H$2:$H$435,MATCH(B1838,Reactivos!$A$2:$A$435,0)),""))</f>
        <v/>
      </c>
      <c r="F1838" s="8"/>
      <c r="G1838" s="8"/>
      <c r="H1838" s="13"/>
    </row>
    <row r="1839" spans="1:8" x14ac:dyDescent="0.3">
      <c r="A1839" s="11"/>
      <c r="B1839" s="8"/>
      <c r="C1839" s="7" t="str">
        <f>IF(B1839="","",IFERROR(INDEX(Reactivos!$D$2:$D$435,MATCH(B1839,Reactivos!$A$2:$A$435,0)),"ID no existe"))</f>
        <v/>
      </c>
      <c r="D1839" s="8"/>
      <c r="E1839" s="7" t="str">
        <f>IF(B1839="","",IFERROR(INDEX(Reactivos!$H$2:$H$435,MATCH(B1839,Reactivos!$A$2:$A$435,0)),""))</f>
        <v/>
      </c>
      <c r="F1839" s="8"/>
      <c r="G1839" s="8"/>
      <c r="H1839" s="13"/>
    </row>
    <row r="1840" spans="1:8" x14ac:dyDescent="0.3">
      <c r="A1840" s="11"/>
      <c r="B1840" s="8"/>
      <c r="C1840" s="7" t="str">
        <f>IF(B1840="","",IFERROR(INDEX(Reactivos!$D$2:$D$435,MATCH(B1840,Reactivos!$A$2:$A$435,0)),"ID no existe"))</f>
        <v/>
      </c>
      <c r="D1840" s="8"/>
      <c r="E1840" s="7" t="str">
        <f>IF(B1840="","",IFERROR(INDEX(Reactivos!$H$2:$H$435,MATCH(B1840,Reactivos!$A$2:$A$435,0)),""))</f>
        <v/>
      </c>
      <c r="F1840" s="8"/>
      <c r="G1840" s="8"/>
      <c r="H1840" s="13"/>
    </row>
    <row r="1841" spans="1:8" x14ac:dyDescent="0.3">
      <c r="A1841" s="11"/>
      <c r="B1841" s="8"/>
      <c r="C1841" s="7" t="str">
        <f>IF(B1841="","",IFERROR(INDEX(Reactivos!$D$2:$D$435,MATCH(B1841,Reactivos!$A$2:$A$435,0)),"ID no existe"))</f>
        <v/>
      </c>
      <c r="D1841" s="8"/>
      <c r="E1841" s="7" t="str">
        <f>IF(B1841="","",IFERROR(INDEX(Reactivos!$H$2:$H$435,MATCH(B1841,Reactivos!$A$2:$A$435,0)),""))</f>
        <v/>
      </c>
      <c r="F1841" s="8"/>
      <c r="G1841" s="8"/>
      <c r="H1841" s="13"/>
    </row>
    <row r="1842" spans="1:8" x14ac:dyDescent="0.3">
      <c r="A1842" s="11"/>
      <c r="B1842" s="8"/>
      <c r="C1842" s="7" t="str">
        <f>IF(B1842="","",IFERROR(INDEX(Reactivos!$D$2:$D$435,MATCH(B1842,Reactivos!$A$2:$A$435,0)),"ID no existe"))</f>
        <v/>
      </c>
      <c r="D1842" s="8"/>
      <c r="E1842" s="7" t="str">
        <f>IF(B1842="","",IFERROR(INDEX(Reactivos!$H$2:$H$435,MATCH(B1842,Reactivos!$A$2:$A$435,0)),""))</f>
        <v/>
      </c>
      <c r="F1842" s="8"/>
      <c r="G1842" s="8"/>
      <c r="H1842" s="13"/>
    </row>
    <row r="1843" spans="1:8" x14ac:dyDescent="0.3">
      <c r="A1843" s="11"/>
      <c r="B1843" s="8"/>
      <c r="C1843" s="7" t="str">
        <f>IF(B1843="","",IFERROR(INDEX(Reactivos!$D$2:$D$435,MATCH(B1843,Reactivos!$A$2:$A$435,0)),"ID no existe"))</f>
        <v/>
      </c>
      <c r="D1843" s="8"/>
      <c r="E1843" s="7" t="str">
        <f>IF(B1843="","",IFERROR(INDEX(Reactivos!$H$2:$H$435,MATCH(B1843,Reactivos!$A$2:$A$435,0)),""))</f>
        <v/>
      </c>
      <c r="F1843" s="8"/>
      <c r="G1843" s="8"/>
      <c r="H1843" s="13"/>
    </row>
    <row r="1844" spans="1:8" x14ac:dyDescent="0.3">
      <c r="A1844" s="11"/>
      <c r="B1844" s="8"/>
      <c r="C1844" s="7" t="str">
        <f>IF(B1844="","",IFERROR(INDEX(Reactivos!$D$2:$D$435,MATCH(B1844,Reactivos!$A$2:$A$435,0)),"ID no existe"))</f>
        <v/>
      </c>
      <c r="D1844" s="8"/>
      <c r="E1844" s="7" t="str">
        <f>IF(B1844="","",IFERROR(INDEX(Reactivos!$H$2:$H$435,MATCH(B1844,Reactivos!$A$2:$A$435,0)),""))</f>
        <v/>
      </c>
      <c r="F1844" s="8"/>
      <c r="G1844" s="8"/>
      <c r="H1844" s="13"/>
    </row>
    <row r="1845" spans="1:8" x14ac:dyDescent="0.3">
      <c r="A1845" s="11"/>
      <c r="B1845" s="8"/>
      <c r="C1845" s="7" t="str">
        <f>IF(B1845="","",IFERROR(INDEX(Reactivos!$D$2:$D$435,MATCH(B1845,Reactivos!$A$2:$A$435,0)),"ID no existe"))</f>
        <v/>
      </c>
      <c r="D1845" s="8"/>
      <c r="E1845" s="7" t="str">
        <f>IF(B1845="","",IFERROR(INDEX(Reactivos!$H$2:$H$435,MATCH(B1845,Reactivos!$A$2:$A$435,0)),""))</f>
        <v/>
      </c>
      <c r="F1845" s="8"/>
      <c r="G1845" s="8"/>
      <c r="H1845" s="13"/>
    </row>
    <row r="1846" spans="1:8" x14ac:dyDescent="0.3">
      <c r="A1846" s="11"/>
      <c r="B1846" s="8"/>
      <c r="C1846" s="7" t="str">
        <f>IF(B1846="","",IFERROR(INDEX(Reactivos!$D$2:$D$435,MATCH(B1846,Reactivos!$A$2:$A$435,0)),"ID no existe"))</f>
        <v/>
      </c>
      <c r="D1846" s="8"/>
      <c r="E1846" s="7" t="str">
        <f>IF(B1846="","",IFERROR(INDEX(Reactivos!$H$2:$H$435,MATCH(B1846,Reactivos!$A$2:$A$435,0)),""))</f>
        <v/>
      </c>
      <c r="F1846" s="8"/>
      <c r="G1846" s="8"/>
      <c r="H1846" s="13"/>
    </row>
    <row r="1847" spans="1:8" x14ac:dyDescent="0.3">
      <c r="A1847" s="11"/>
      <c r="B1847" s="8"/>
      <c r="C1847" s="7" t="str">
        <f>IF(B1847="","",IFERROR(INDEX(Reactivos!$D$2:$D$435,MATCH(B1847,Reactivos!$A$2:$A$435,0)),"ID no existe"))</f>
        <v/>
      </c>
      <c r="D1847" s="8"/>
      <c r="E1847" s="7" t="str">
        <f>IF(B1847="","",IFERROR(INDEX(Reactivos!$H$2:$H$435,MATCH(B1847,Reactivos!$A$2:$A$435,0)),""))</f>
        <v/>
      </c>
      <c r="F1847" s="8"/>
      <c r="G1847" s="8"/>
      <c r="H1847" s="13"/>
    </row>
    <row r="1848" spans="1:8" x14ac:dyDescent="0.3">
      <c r="A1848" s="11"/>
      <c r="B1848" s="8"/>
      <c r="C1848" s="7" t="str">
        <f>IF(B1848="","",IFERROR(INDEX(Reactivos!$D$2:$D$435,MATCH(B1848,Reactivos!$A$2:$A$435,0)),"ID no existe"))</f>
        <v/>
      </c>
      <c r="D1848" s="8"/>
      <c r="E1848" s="7" t="str">
        <f>IF(B1848="","",IFERROR(INDEX(Reactivos!$H$2:$H$435,MATCH(B1848,Reactivos!$A$2:$A$435,0)),""))</f>
        <v/>
      </c>
      <c r="F1848" s="8"/>
      <c r="G1848" s="8"/>
      <c r="H1848" s="13"/>
    </row>
    <row r="1849" spans="1:8" x14ac:dyDescent="0.3">
      <c r="A1849" s="11"/>
      <c r="B1849" s="8"/>
      <c r="C1849" s="7" t="str">
        <f>IF(B1849="","",IFERROR(INDEX(Reactivos!$D$2:$D$435,MATCH(B1849,Reactivos!$A$2:$A$435,0)),"ID no existe"))</f>
        <v/>
      </c>
      <c r="D1849" s="8"/>
      <c r="E1849" s="7" t="str">
        <f>IF(B1849="","",IFERROR(INDEX(Reactivos!$H$2:$H$435,MATCH(B1849,Reactivos!$A$2:$A$435,0)),""))</f>
        <v/>
      </c>
      <c r="F1849" s="8"/>
      <c r="G1849" s="8"/>
      <c r="H1849" s="13"/>
    </row>
    <row r="1850" spans="1:8" x14ac:dyDescent="0.3">
      <c r="A1850" s="11"/>
      <c r="B1850" s="8"/>
      <c r="C1850" s="7" t="str">
        <f>IF(B1850="","",IFERROR(INDEX(Reactivos!$D$2:$D$435,MATCH(B1850,Reactivos!$A$2:$A$435,0)),"ID no existe"))</f>
        <v/>
      </c>
      <c r="D1850" s="8"/>
      <c r="E1850" s="7" t="str">
        <f>IF(B1850="","",IFERROR(INDEX(Reactivos!$H$2:$H$435,MATCH(B1850,Reactivos!$A$2:$A$435,0)),""))</f>
        <v/>
      </c>
      <c r="F1850" s="8"/>
      <c r="G1850" s="8"/>
      <c r="H1850" s="13"/>
    </row>
    <row r="1851" spans="1:8" x14ac:dyDescent="0.3">
      <c r="A1851" s="11"/>
      <c r="B1851" s="8"/>
      <c r="C1851" s="7" t="str">
        <f>IF(B1851="","",IFERROR(INDEX(Reactivos!$D$2:$D$435,MATCH(B1851,Reactivos!$A$2:$A$435,0)),"ID no existe"))</f>
        <v/>
      </c>
      <c r="D1851" s="8"/>
      <c r="E1851" s="7" t="str">
        <f>IF(B1851="","",IFERROR(INDEX(Reactivos!$H$2:$H$435,MATCH(B1851,Reactivos!$A$2:$A$435,0)),""))</f>
        <v/>
      </c>
      <c r="F1851" s="8"/>
      <c r="G1851" s="8"/>
      <c r="H1851" s="13"/>
    </row>
    <row r="1852" spans="1:8" x14ac:dyDescent="0.3">
      <c r="A1852" s="11"/>
      <c r="B1852" s="8"/>
      <c r="C1852" s="7" t="str">
        <f>IF(B1852="","",IFERROR(INDEX(Reactivos!$D$2:$D$435,MATCH(B1852,Reactivos!$A$2:$A$435,0)),"ID no existe"))</f>
        <v/>
      </c>
      <c r="D1852" s="8"/>
      <c r="E1852" s="7" t="str">
        <f>IF(B1852="","",IFERROR(INDEX(Reactivos!$H$2:$H$435,MATCH(B1852,Reactivos!$A$2:$A$435,0)),""))</f>
        <v/>
      </c>
      <c r="F1852" s="8"/>
      <c r="G1852" s="8"/>
      <c r="H1852" s="13"/>
    </row>
    <row r="1853" spans="1:8" x14ac:dyDescent="0.3">
      <c r="A1853" s="11"/>
      <c r="B1853" s="8"/>
      <c r="C1853" s="7" t="str">
        <f>IF(B1853="","",IFERROR(INDEX(Reactivos!$D$2:$D$435,MATCH(B1853,Reactivos!$A$2:$A$435,0)),"ID no existe"))</f>
        <v/>
      </c>
      <c r="D1853" s="8"/>
      <c r="E1853" s="7" t="str">
        <f>IF(B1853="","",IFERROR(INDEX(Reactivos!$H$2:$H$435,MATCH(B1853,Reactivos!$A$2:$A$435,0)),""))</f>
        <v/>
      </c>
      <c r="F1853" s="8"/>
      <c r="G1853" s="8"/>
      <c r="H1853" s="13"/>
    </row>
    <row r="1854" spans="1:8" x14ac:dyDescent="0.3">
      <c r="A1854" s="11"/>
      <c r="B1854" s="8"/>
      <c r="C1854" s="7" t="str">
        <f>IF(B1854="","",IFERROR(INDEX(Reactivos!$D$2:$D$435,MATCH(B1854,Reactivos!$A$2:$A$435,0)),"ID no existe"))</f>
        <v/>
      </c>
      <c r="D1854" s="8"/>
      <c r="E1854" s="7" t="str">
        <f>IF(B1854="","",IFERROR(INDEX(Reactivos!$H$2:$H$435,MATCH(B1854,Reactivos!$A$2:$A$435,0)),""))</f>
        <v/>
      </c>
      <c r="F1854" s="8"/>
      <c r="G1854" s="8"/>
      <c r="H1854" s="13"/>
    </row>
    <row r="1855" spans="1:8" x14ac:dyDescent="0.3">
      <c r="A1855" s="11"/>
      <c r="B1855" s="8"/>
      <c r="C1855" s="7" t="str">
        <f>IF(B1855="","",IFERROR(INDEX(Reactivos!$D$2:$D$435,MATCH(B1855,Reactivos!$A$2:$A$435,0)),"ID no existe"))</f>
        <v/>
      </c>
      <c r="D1855" s="8"/>
      <c r="E1855" s="7" t="str">
        <f>IF(B1855="","",IFERROR(INDEX(Reactivos!$H$2:$H$435,MATCH(B1855,Reactivos!$A$2:$A$435,0)),""))</f>
        <v/>
      </c>
      <c r="F1855" s="8"/>
      <c r="G1855" s="8"/>
      <c r="H1855" s="13"/>
    </row>
    <row r="1856" spans="1:8" x14ac:dyDescent="0.3">
      <c r="A1856" s="11"/>
      <c r="B1856" s="8"/>
      <c r="C1856" s="7" t="str">
        <f>IF(B1856="","",IFERROR(INDEX(Reactivos!$D$2:$D$435,MATCH(B1856,Reactivos!$A$2:$A$435,0)),"ID no existe"))</f>
        <v/>
      </c>
      <c r="D1856" s="8"/>
      <c r="E1856" s="7" t="str">
        <f>IF(B1856="","",IFERROR(INDEX(Reactivos!$H$2:$H$435,MATCH(B1856,Reactivos!$A$2:$A$435,0)),""))</f>
        <v/>
      </c>
      <c r="F1856" s="8"/>
      <c r="G1856" s="8"/>
      <c r="H1856" s="13"/>
    </row>
    <row r="1857" spans="1:8" x14ac:dyDescent="0.3">
      <c r="A1857" s="11"/>
      <c r="B1857" s="8"/>
      <c r="C1857" s="7" t="str">
        <f>IF(B1857="","",IFERROR(INDEX(Reactivos!$D$2:$D$435,MATCH(B1857,Reactivos!$A$2:$A$435,0)),"ID no existe"))</f>
        <v/>
      </c>
      <c r="D1857" s="8"/>
      <c r="E1857" s="7" t="str">
        <f>IF(B1857="","",IFERROR(INDEX(Reactivos!$H$2:$H$435,MATCH(B1857,Reactivos!$A$2:$A$435,0)),""))</f>
        <v/>
      </c>
      <c r="F1857" s="8"/>
      <c r="G1857" s="8"/>
      <c r="H1857" s="13"/>
    </row>
    <row r="1858" spans="1:8" x14ac:dyDescent="0.3">
      <c r="A1858" s="11"/>
      <c r="B1858" s="8"/>
      <c r="C1858" s="7" t="str">
        <f>IF(B1858="","",IFERROR(INDEX(Reactivos!$D$2:$D$435,MATCH(B1858,Reactivos!$A$2:$A$435,0)),"ID no existe"))</f>
        <v/>
      </c>
      <c r="D1858" s="8"/>
      <c r="E1858" s="7" t="str">
        <f>IF(B1858="","",IFERROR(INDEX(Reactivos!$H$2:$H$435,MATCH(B1858,Reactivos!$A$2:$A$435,0)),""))</f>
        <v/>
      </c>
      <c r="F1858" s="8"/>
      <c r="G1858" s="8"/>
      <c r="H1858" s="13"/>
    </row>
    <row r="1859" spans="1:8" x14ac:dyDescent="0.3">
      <c r="A1859" s="11"/>
      <c r="B1859" s="8"/>
      <c r="C1859" s="7" t="str">
        <f>IF(B1859="","",IFERROR(INDEX(Reactivos!$D$2:$D$435,MATCH(B1859,Reactivos!$A$2:$A$435,0)),"ID no existe"))</f>
        <v/>
      </c>
      <c r="D1859" s="8"/>
      <c r="E1859" s="7" t="str">
        <f>IF(B1859="","",IFERROR(INDEX(Reactivos!$H$2:$H$435,MATCH(B1859,Reactivos!$A$2:$A$435,0)),""))</f>
        <v/>
      </c>
      <c r="F1859" s="8"/>
      <c r="G1859" s="8"/>
      <c r="H1859" s="13"/>
    </row>
    <row r="1860" spans="1:8" x14ac:dyDescent="0.3">
      <c r="A1860" s="11"/>
      <c r="B1860" s="8"/>
      <c r="C1860" s="7" t="str">
        <f>IF(B1860="","",IFERROR(INDEX(Reactivos!$D$2:$D$435,MATCH(B1860,Reactivos!$A$2:$A$435,0)),"ID no existe"))</f>
        <v/>
      </c>
      <c r="D1860" s="8"/>
      <c r="E1860" s="7" t="str">
        <f>IF(B1860="","",IFERROR(INDEX(Reactivos!$H$2:$H$435,MATCH(B1860,Reactivos!$A$2:$A$435,0)),""))</f>
        <v/>
      </c>
      <c r="F1860" s="8"/>
      <c r="G1860" s="8"/>
      <c r="H1860" s="13"/>
    </row>
    <row r="1861" spans="1:8" x14ac:dyDescent="0.3">
      <c r="A1861" s="11"/>
      <c r="B1861" s="8"/>
      <c r="C1861" s="7" t="str">
        <f>IF(B1861="","",IFERROR(INDEX(Reactivos!$D$2:$D$435,MATCH(B1861,Reactivos!$A$2:$A$435,0)),"ID no existe"))</f>
        <v/>
      </c>
      <c r="D1861" s="8"/>
      <c r="E1861" s="7" t="str">
        <f>IF(B1861="","",IFERROR(INDEX(Reactivos!$H$2:$H$435,MATCH(B1861,Reactivos!$A$2:$A$435,0)),""))</f>
        <v/>
      </c>
      <c r="F1861" s="8"/>
      <c r="G1861" s="8"/>
      <c r="H1861" s="13"/>
    </row>
    <row r="1862" spans="1:8" x14ac:dyDescent="0.3">
      <c r="A1862" s="11"/>
      <c r="B1862" s="8"/>
      <c r="C1862" s="7" t="str">
        <f>IF(B1862="","",IFERROR(INDEX(Reactivos!$D$2:$D$435,MATCH(B1862,Reactivos!$A$2:$A$435,0)),"ID no existe"))</f>
        <v/>
      </c>
      <c r="D1862" s="8"/>
      <c r="E1862" s="7" t="str">
        <f>IF(B1862="","",IFERROR(INDEX(Reactivos!$H$2:$H$435,MATCH(B1862,Reactivos!$A$2:$A$435,0)),""))</f>
        <v/>
      </c>
      <c r="F1862" s="8"/>
      <c r="G1862" s="8"/>
      <c r="H1862" s="13"/>
    </row>
    <row r="1863" spans="1:8" x14ac:dyDescent="0.3">
      <c r="A1863" s="11"/>
      <c r="B1863" s="8"/>
      <c r="C1863" s="7" t="str">
        <f>IF(B1863="","",IFERROR(INDEX(Reactivos!$D$2:$D$435,MATCH(B1863,Reactivos!$A$2:$A$435,0)),"ID no existe"))</f>
        <v/>
      </c>
      <c r="D1863" s="8"/>
      <c r="E1863" s="7" t="str">
        <f>IF(B1863="","",IFERROR(INDEX(Reactivos!$H$2:$H$435,MATCH(B1863,Reactivos!$A$2:$A$435,0)),""))</f>
        <v/>
      </c>
      <c r="F1863" s="8"/>
      <c r="G1863" s="8"/>
      <c r="H1863" s="13"/>
    </row>
    <row r="1864" spans="1:8" x14ac:dyDescent="0.3">
      <c r="A1864" s="11"/>
      <c r="B1864" s="8"/>
      <c r="C1864" s="7" t="str">
        <f>IF(B1864="","",IFERROR(INDEX(Reactivos!$D$2:$D$435,MATCH(B1864,Reactivos!$A$2:$A$435,0)),"ID no existe"))</f>
        <v/>
      </c>
      <c r="D1864" s="8"/>
      <c r="E1864" s="7" t="str">
        <f>IF(B1864="","",IFERROR(INDEX(Reactivos!$H$2:$H$435,MATCH(B1864,Reactivos!$A$2:$A$435,0)),""))</f>
        <v/>
      </c>
      <c r="F1864" s="8"/>
      <c r="G1864" s="8"/>
      <c r="H1864" s="13"/>
    </row>
    <row r="1865" spans="1:8" x14ac:dyDescent="0.3">
      <c r="A1865" s="11"/>
      <c r="B1865" s="8"/>
      <c r="C1865" s="7" t="str">
        <f>IF(B1865="","",IFERROR(INDEX(Reactivos!$D$2:$D$435,MATCH(B1865,Reactivos!$A$2:$A$435,0)),"ID no existe"))</f>
        <v/>
      </c>
      <c r="D1865" s="8"/>
      <c r="E1865" s="7" t="str">
        <f>IF(B1865="","",IFERROR(INDEX(Reactivos!$H$2:$H$435,MATCH(B1865,Reactivos!$A$2:$A$435,0)),""))</f>
        <v/>
      </c>
      <c r="F1865" s="8"/>
      <c r="G1865" s="8"/>
      <c r="H1865" s="13"/>
    </row>
    <row r="1866" spans="1:8" x14ac:dyDescent="0.3">
      <c r="A1866" s="11"/>
      <c r="B1866" s="8"/>
      <c r="C1866" s="7" t="str">
        <f>IF(B1866="","",IFERROR(INDEX(Reactivos!$D$2:$D$435,MATCH(B1866,Reactivos!$A$2:$A$435,0)),"ID no existe"))</f>
        <v/>
      </c>
      <c r="D1866" s="8"/>
      <c r="E1866" s="7" t="str">
        <f>IF(B1866="","",IFERROR(INDEX(Reactivos!$H$2:$H$435,MATCH(B1866,Reactivos!$A$2:$A$435,0)),""))</f>
        <v/>
      </c>
      <c r="F1866" s="8"/>
      <c r="G1866" s="8"/>
      <c r="H1866" s="13"/>
    </row>
    <row r="1867" spans="1:8" x14ac:dyDescent="0.3">
      <c r="A1867" s="11"/>
      <c r="B1867" s="8"/>
      <c r="C1867" s="7" t="str">
        <f>IF(B1867="","",IFERROR(INDEX(Reactivos!$D$2:$D$435,MATCH(B1867,Reactivos!$A$2:$A$435,0)),"ID no existe"))</f>
        <v/>
      </c>
      <c r="D1867" s="8"/>
      <c r="E1867" s="7" t="str">
        <f>IF(B1867="","",IFERROR(INDEX(Reactivos!$H$2:$H$435,MATCH(B1867,Reactivos!$A$2:$A$435,0)),""))</f>
        <v/>
      </c>
      <c r="F1867" s="8"/>
      <c r="G1867" s="8"/>
      <c r="H1867" s="13"/>
    </row>
    <row r="1868" spans="1:8" x14ac:dyDescent="0.3">
      <c r="A1868" s="11"/>
      <c r="B1868" s="8"/>
      <c r="C1868" s="7" t="str">
        <f>IF(B1868="","",IFERROR(INDEX(Reactivos!$D$2:$D$435,MATCH(B1868,Reactivos!$A$2:$A$435,0)),"ID no existe"))</f>
        <v/>
      </c>
      <c r="D1868" s="8"/>
      <c r="E1868" s="7" t="str">
        <f>IF(B1868="","",IFERROR(INDEX(Reactivos!$H$2:$H$435,MATCH(B1868,Reactivos!$A$2:$A$435,0)),""))</f>
        <v/>
      </c>
      <c r="F1868" s="8"/>
      <c r="G1868" s="8"/>
      <c r="H1868" s="13"/>
    </row>
    <row r="1869" spans="1:8" x14ac:dyDescent="0.3">
      <c r="A1869" s="11"/>
      <c r="B1869" s="8"/>
      <c r="C1869" s="7" t="str">
        <f>IF(B1869="","",IFERROR(INDEX(Reactivos!$D$2:$D$435,MATCH(B1869,Reactivos!$A$2:$A$435,0)),"ID no existe"))</f>
        <v/>
      </c>
      <c r="D1869" s="8"/>
      <c r="E1869" s="7" t="str">
        <f>IF(B1869="","",IFERROR(INDEX(Reactivos!$H$2:$H$435,MATCH(B1869,Reactivos!$A$2:$A$435,0)),""))</f>
        <v/>
      </c>
      <c r="F1869" s="8"/>
      <c r="G1869" s="8"/>
      <c r="H1869" s="13"/>
    </row>
    <row r="1870" spans="1:8" x14ac:dyDescent="0.3">
      <c r="A1870" s="11"/>
      <c r="B1870" s="8"/>
      <c r="C1870" s="7" t="str">
        <f>IF(B1870="","",IFERROR(INDEX(Reactivos!$D$2:$D$435,MATCH(B1870,Reactivos!$A$2:$A$435,0)),"ID no existe"))</f>
        <v/>
      </c>
      <c r="D1870" s="8"/>
      <c r="E1870" s="7" t="str">
        <f>IF(B1870="","",IFERROR(INDEX(Reactivos!$H$2:$H$435,MATCH(B1870,Reactivos!$A$2:$A$435,0)),""))</f>
        <v/>
      </c>
      <c r="F1870" s="8"/>
      <c r="G1870" s="8"/>
      <c r="H1870" s="13"/>
    </row>
    <row r="1871" spans="1:8" x14ac:dyDescent="0.3">
      <c r="A1871" s="11"/>
      <c r="B1871" s="8"/>
      <c r="C1871" s="7" t="str">
        <f>IF(B1871="","",IFERROR(INDEX(Reactivos!$D$2:$D$435,MATCH(B1871,Reactivos!$A$2:$A$435,0)),"ID no existe"))</f>
        <v/>
      </c>
      <c r="D1871" s="8"/>
      <c r="E1871" s="7" t="str">
        <f>IF(B1871="","",IFERROR(INDEX(Reactivos!$H$2:$H$435,MATCH(B1871,Reactivos!$A$2:$A$435,0)),""))</f>
        <v/>
      </c>
      <c r="F1871" s="8"/>
      <c r="G1871" s="8"/>
      <c r="H1871" s="13"/>
    </row>
    <row r="1872" spans="1:8" x14ac:dyDescent="0.3">
      <c r="A1872" s="11"/>
      <c r="B1872" s="8"/>
      <c r="C1872" s="7" t="str">
        <f>IF(B1872="","",IFERROR(INDEX(Reactivos!$D$2:$D$435,MATCH(B1872,Reactivos!$A$2:$A$435,0)),"ID no existe"))</f>
        <v/>
      </c>
      <c r="D1872" s="8"/>
      <c r="E1872" s="7" t="str">
        <f>IF(B1872="","",IFERROR(INDEX(Reactivos!$H$2:$H$435,MATCH(B1872,Reactivos!$A$2:$A$435,0)),""))</f>
        <v/>
      </c>
      <c r="F1872" s="8"/>
      <c r="G1872" s="8"/>
      <c r="H1872" s="13"/>
    </row>
    <row r="1873" spans="1:8" x14ac:dyDescent="0.3">
      <c r="A1873" s="11"/>
      <c r="B1873" s="8"/>
      <c r="C1873" s="7" t="str">
        <f>IF(B1873="","",IFERROR(INDEX(Reactivos!$D$2:$D$435,MATCH(B1873,Reactivos!$A$2:$A$435,0)),"ID no existe"))</f>
        <v/>
      </c>
      <c r="D1873" s="8"/>
      <c r="E1873" s="7" t="str">
        <f>IF(B1873="","",IFERROR(INDEX(Reactivos!$H$2:$H$435,MATCH(B1873,Reactivos!$A$2:$A$435,0)),""))</f>
        <v/>
      </c>
      <c r="F1873" s="8"/>
      <c r="G1873" s="8"/>
      <c r="H1873" s="13"/>
    </row>
    <row r="1874" spans="1:8" x14ac:dyDescent="0.3">
      <c r="A1874" s="11"/>
      <c r="B1874" s="8"/>
      <c r="C1874" s="7" t="str">
        <f>IF(B1874="","",IFERROR(INDEX(Reactivos!$D$2:$D$435,MATCH(B1874,Reactivos!$A$2:$A$435,0)),"ID no existe"))</f>
        <v/>
      </c>
      <c r="D1874" s="8"/>
      <c r="E1874" s="7" t="str">
        <f>IF(B1874="","",IFERROR(INDEX(Reactivos!$H$2:$H$435,MATCH(B1874,Reactivos!$A$2:$A$435,0)),""))</f>
        <v/>
      </c>
      <c r="F1874" s="8"/>
      <c r="G1874" s="8"/>
      <c r="H1874" s="13"/>
    </row>
    <row r="1875" spans="1:8" x14ac:dyDescent="0.3">
      <c r="A1875" s="11"/>
      <c r="B1875" s="8"/>
      <c r="C1875" s="7" t="str">
        <f>IF(B1875="","",IFERROR(INDEX(Reactivos!$D$2:$D$435,MATCH(B1875,Reactivos!$A$2:$A$435,0)),"ID no existe"))</f>
        <v/>
      </c>
      <c r="D1875" s="8"/>
      <c r="E1875" s="7" t="str">
        <f>IF(B1875="","",IFERROR(INDEX(Reactivos!$H$2:$H$435,MATCH(B1875,Reactivos!$A$2:$A$435,0)),""))</f>
        <v/>
      </c>
      <c r="F1875" s="8"/>
      <c r="G1875" s="8"/>
      <c r="H1875" s="13"/>
    </row>
    <row r="1876" spans="1:8" x14ac:dyDescent="0.3">
      <c r="A1876" s="11"/>
      <c r="B1876" s="8"/>
      <c r="C1876" s="7" t="str">
        <f>IF(B1876="","",IFERROR(INDEX(Reactivos!$D$2:$D$435,MATCH(B1876,Reactivos!$A$2:$A$435,0)),"ID no existe"))</f>
        <v/>
      </c>
      <c r="D1876" s="8"/>
      <c r="E1876" s="7" t="str">
        <f>IF(B1876="","",IFERROR(INDEX(Reactivos!$H$2:$H$435,MATCH(B1876,Reactivos!$A$2:$A$435,0)),""))</f>
        <v/>
      </c>
      <c r="F1876" s="8"/>
      <c r="G1876" s="8"/>
      <c r="H1876" s="13"/>
    </row>
    <row r="1877" spans="1:8" x14ac:dyDescent="0.3">
      <c r="A1877" s="11"/>
      <c r="B1877" s="8"/>
      <c r="C1877" s="7" t="str">
        <f>IF(B1877="","",IFERROR(INDEX(Reactivos!$D$2:$D$435,MATCH(B1877,Reactivos!$A$2:$A$435,0)),"ID no existe"))</f>
        <v/>
      </c>
      <c r="D1877" s="8"/>
      <c r="E1877" s="7" t="str">
        <f>IF(B1877="","",IFERROR(INDEX(Reactivos!$H$2:$H$435,MATCH(B1877,Reactivos!$A$2:$A$435,0)),""))</f>
        <v/>
      </c>
      <c r="F1877" s="8"/>
      <c r="G1877" s="8"/>
      <c r="H1877" s="13"/>
    </row>
    <row r="1878" spans="1:8" x14ac:dyDescent="0.3">
      <c r="A1878" s="11"/>
      <c r="B1878" s="8"/>
      <c r="C1878" s="7" t="str">
        <f>IF(B1878="","",IFERROR(INDEX(Reactivos!$D$2:$D$435,MATCH(B1878,Reactivos!$A$2:$A$435,0)),"ID no existe"))</f>
        <v/>
      </c>
      <c r="D1878" s="8"/>
      <c r="E1878" s="7" t="str">
        <f>IF(B1878="","",IFERROR(INDEX(Reactivos!$H$2:$H$435,MATCH(B1878,Reactivos!$A$2:$A$435,0)),""))</f>
        <v/>
      </c>
      <c r="F1878" s="8"/>
      <c r="G1878" s="8"/>
      <c r="H1878" s="13"/>
    </row>
    <row r="1879" spans="1:8" x14ac:dyDescent="0.3">
      <c r="A1879" s="11"/>
      <c r="B1879" s="8"/>
      <c r="C1879" s="7" t="str">
        <f>IF(B1879="","",IFERROR(INDEX(Reactivos!$D$2:$D$435,MATCH(B1879,Reactivos!$A$2:$A$435,0)),"ID no existe"))</f>
        <v/>
      </c>
      <c r="D1879" s="8"/>
      <c r="E1879" s="7" t="str">
        <f>IF(B1879="","",IFERROR(INDEX(Reactivos!$H$2:$H$435,MATCH(B1879,Reactivos!$A$2:$A$435,0)),""))</f>
        <v/>
      </c>
      <c r="F1879" s="8"/>
      <c r="G1879" s="8"/>
      <c r="H1879" s="13"/>
    </row>
    <row r="1880" spans="1:8" x14ac:dyDescent="0.3">
      <c r="A1880" s="11"/>
      <c r="B1880" s="8"/>
      <c r="C1880" s="7" t="str">
        <f>IF(B1880="","",IFERROR(INDEX(Reactivos!$D$2:$D$435,MATCH(B1880,Reactivos!$A$2:$A$435,0)),"ID no existe"))</f>
        <v/>
      </c>
      <c r="D1880" s="8"/>
      <c r="E1880" s="7" t="str">
        <f>IF(B1880="","",IFERROR(INDEX(Reactivos!$H$2:$H$435,MATCH(B1880,Reactivos!$A$2:$A$435,0)),""))</f>
        <v/>
      </c>
      <c r="F1880" s="8"/>
      <c r="G1880" s="8"/>
      <c r="H1880" s="13"/>
    </row>
    <row r="1881" spans="1:8" x14ac:dyDescent="0.3">
      <c r="A1881" s="11"/>
      <c r="B1881" s="8"/>
      <c r="C1881" s="7" t="str">
        <f>IF(B1881="","",IFERROR(INDEX(Reactivos!$D$2:$D$435,MATCH(B1881,Reactivos!$A$2:$A$435,0)),"ID no existe"))</f>
        <v/>
      </c>
      <c r="D1881" s="8"/>
      <c r="E1881" s="7" t="str">
        <f>IF(B1881="","",IFERROR(INDEX(Reactivos!$H$2:$H$435,MATCH(B1881,Reactivos!$A$2:$A$435,0)),""))</f>
        <v/>
      </c>
      <c r="F1881" s="8"/>
      <c r="G1881" s="8"/>
      <c r="H1881" s="13"/>
    </row>
    <row r="1882" spans="1:8" x14ac:dyDescent="0.3">
      <c r="A1882" s="11"/>
      <c r="B1882" s="8"/>
      <c r="C1882" s="7" t="str">
        <f>IF(B1882="","",IFERROR(INDEX(Reactivos!$D$2:$D$435,MATCH(B1882,Reactivos!$A$2:$A$435,0)),"ID no existe"))</f>
        <v/>
      </c>
      <c r="D1882" s="8"/>
      <c r="E1882" s="7" t="str">
        <f>IF(B1882="","",IFERROR(INDEX(Reactivos!$H$2:$H$435,MATCH(B1882,Reactivos!$A$2:$A$435,0)),""))</f>
        <v/>
      </c>
      <c r="F1882" s="8"/>
      <c r="G1882" s="8"/>
      <c r="H1882" s="13"/>
    </row>
    <row r="1883" spans="1:8" x14ac:dyDescent="0.3">
      <c r="A1883" s="11"/>
      <c r="B1883" s="8"/>
      <c r="C1883" s="7" t="str">
        <f>IF(B1883="","",IFERROR(INDEX(Reactivos!$D$2:$D$435,MATCH(B1883,Reactivos!$A$2:$A$435,0)),"ID no existe"))</f>
        <v/>
      </c>
      <c r="D1883" s="8"/>
      <c r="E1883" s="7" t="str">
        <f>IF(B1883="","",IFERROR(INDEX(Reactivos!$H$2:$H$435,MATCH(B1883,Reactivos!$A$2:$A$435,0)),""))</f>
        <v/>
      </c>
      <c r="F1883" s="8"/>
      <c r="G1883" s="8"/>
      <c r="H1883" s="13"/>
    </row>
    <row r="1884" spans="1:8" x14ac:dyDescent="0.3">
      <c r="A1884" s="11"/>
      <c r="B1884" s="8"/>
      <c r="C1884" s="7" t="str">
        <f>IF(B1884="","",IFERROR(INDEX(Reactivos!$D$2:$D$435,MATCH(B1884,Reactivos!$A$2:$A$435,0)),"ID no existe"))</f>
        <v/>
      </c>
      <c r="D1884" s="8"/>
      <c r="E1884" s="7" t="str">
        <f>IF(B1884="","",IFERROR(INDEX(Reactivos!$H$2:$H$435,MATCH(B1884,Reactivos!$A$2:$A$435,0)),""))</f>
        <v/>
      </c>
      <c r="F1884" s="8"/>
      <c r="G1884" s="8"/>
      <c r="H1884" s="13"/>
    </row>
    <row r="1885" spans="1:8" x14ac:dyDescent="0.3">
      <c r="A1885" s="11"/>
      <c r="B1885" s="8"/>
      <c r="C1885" s="7" t="str">
        <f>IF(B1885="","",IFERROR(INDEX(Reactivos!$D$2:$D$435,MATCH(B1885,Reactivos!$A$2:$A$435,0)),"ID no existe"))</f>
        <v/>
      </c>
      <c r="D1885" s="8"/>
      <c r="E1885" s="7" t="str">
        <f>IF(B1885="","",IFERROR(INDEX(Reactivos!$H$2:$H$435,MATCH(B1885,Reactivos!$A$2:$A$435,0)),""))</f>
        <v/>
      </c>
      <c r="F1885" s="8"/>
      <c r="G1885" s="8"/>
      <c r="H1885" s="13"/>
    </row>
    <row r="1886" spans="1:8" x14ac:dyDescent="0.3">
      <c r="A1886" s="11"/>
      <c r="B1886" s="8"/>
      <c r="C1886" s="7" t="str">
        <f>IF(B1886="","",IFERROR(INDEX(Reactivos!$D$2:$D$435,MATCH(B1886,Reactivos!$A$2:$A$435,0)),"ID no existe"))</f>
        <v/>
      </c>
      <c r="D1886" s="8"/>
      <c r="E1886" s="7" t="str">
        <f>IF(B1886="","",IFERROR(INDEX(Reactivos!$H$2:$H$435,MATCH(B1886,Reactivos!$A$2:$A$435,0)),""))</f>
        <v/>
      </c>
      <c r="F1886" s="8"/>
      <c r="G1886" s="8"/>
      <c r="H1886" s="13"/>
    </row>
    <row r="1887" spans="1:8" x14ac:dyDescent="0.3">
      <c r="A1887" s="11"/>
      <c r="B1887" s="8"/>
      <c r="C1887" s="7" t="str">
        <f>IF(B1887="","",IFERROR(INDEX(Reactivos!$D$2:$D$435,MATCH(B1887,Reactivos!$A$2:$A$435,0)),"ID no existe"))</f>
        <v/>
      </c>
      <c r="D1887" s="8"/>
      <c r="E1887" s="7" t="str">
        <f>IF(B1887="","",IFERROR(INDEX(Reactivos!$H$2:$H$435,MATCH(B1887,Reactivos!$A$2:$A$435,0)),""))</f>
        <v/>
      </c>
      <c r="F1887" s="8"/>
      <c r="G1887" s="8"/>
      <c r="H1887" s="13"/>
    </row>
    <row r="1888" spans="1:8" x14ac:dyDescent="0.3">
      <c r="A1888" s="11"/>
      <c r="B1888" s="8"/>
      <c r="C1888" s="7" t="str">
        <f>IF(B1888="","",IFERROR(INDEX(Reactivos!$D$2:$D$435,MATCH(B1888,Reactivos!$A$2:$A$435,0)),"ID no existe"))</f>
        <v/>
      </c>
      <c r="D1888" s="8"/>
      <c r="E1888" s="7" t="str">
        <f>IF(B1888="","",IFERROR(INDEX(Reactivos!$H$2:$H$435,MATCH(B1888,Reactivos!$A$2:$A$435,0)),""))</f>
        <v/>
      </c>
      <c r="F1888" s="8"/>
      <c r="G1888" s="8"/>
      <c r="H1888" s="13"/>
    </row>
    <row r="1889" spans="1:8" x14ac:dyDescent="0.3">
      <c r="A1889" s="11"/>
      <c r="B1889" s="8"/>
      <c r="C1889" s="7" t="str">
        <f>IF(B1889="","",IFERROR(INDEX(Reactivos!$D$2:$D$435,MATCH(B1889,Reactivos!$A$2:$A$435,0)),"ID no existe"))</f>
        <v/>
      </c>
      <c r="D1889" s="8"/>
      <c r="E1889" s="7" t="str">
        <f>IF(B1889="","",IFERROR(INDEX(Reactivos!$H$2:$H$435,MATCH(B1889,Reactivos!$A$2:$A$435,0)),""))</f>
        <v/>
      </c>
      <c r="F1889" s="8"/>
      <c r="G1889" s="8"/>
      <c r="H1889" s="13"/>
    </row>
    <row r="1890" spans="1:8" x14ac:dyDescent="0.3">
      <c r="A1890" s="11"/>
      <c r="B1890" s="8"/>
      <c r="C1890" s="7" t="str">
        <f>IF(B1890="","",IFERROR(INDEX(Reactivos!$D$2:$D$435,MATCH(B1890,Reactivos!$A$2:$A$435,0)),"ID no existe"))</f>
        <v/>
      </c>
      <c r="D1890" s="8"/>
      <c r="E1890" s="7" t="str">
        <f>IF(B1890="","",IFERROR(INDEX(Reactivos!$H$2:$H$435,MATCH(B1890,Reactivos!$A$2:$A$435,0)),""))</f>
        <v/>
      </c>
      <c r="F1890" s="8"/>
      <c r="G1890" s="8"/>
      <c r="H1890" s="13"/>
    </row>
    <row r="1891" spans="1:8" x14ac:dyDescent="0.3">
      <c r="A1891" s="11"/>
      <c r="B1891" s="8"/>
      <c r="C1891" s="7" t="str">
        <f>IF(B1891="","",IFERROR(INDEX(Reactivos!$D$2:$D$435,MATCH(B1891,Reactivos!$A$2:$A$435,0)),"ID no existe"))</f>
        <v/>
      </c>
      <c r="D1891" s="8"/>
      <c r="E1891" s="7" t="str">
        <f>IF(B1891="","",IFERROR(INDEX(Reactivos!$H$2:$H$435,MATCH(B1891,Reactivos!$A$2:$A$435,0)),""))</f>
        <v/>
      </c>
      <c r="F1891" s="8"/>
      <c r="G1891" s="8"/>
      <c r="H1891" s="13"/>
    </row>
    <row r="1892" spans="1:8" x14ac:dyDescent="0.3">
      <c r="A1892" s="11"/>
      <c r="B1892" s="8"/>
      <c r="C1892" s="7" t="str">
        <f>IF(B1892="","",IFERROR(INDEX(Reactivos!$D$2:$D$435,MATCH(B1892,Reactivos!$A$2:$A$435,0)),"ID no existe"))</f>
        <v/>
      </c>
      <c r="D1892" s="8"/>
      <c r="E1892" s="7" t="str">
        <f>IF(B1892="","",IFERROR(INDEX(Reactivos!$H$2:$H$435,MATCH(B1892,Reactivos!$A$2:$A$435,0)),""))</f>
        <v/>
      </c>
      <c r="F1892" s="8"/>
      <c r="G1892" s="8"/>
      <c r="H1892" s="13"/>
    </row>
    <row r="1893" spans="1:8" x14ac:dyDescent="0.3">
      <c r="A1893" s="11"/>
      <c r="B1893" s="8"/>
      <c r="C1893" s="7" t="str">
        <f>IF(B1893="","",IFERROR(INDEX(Reactivos!$D$2:$D$435,MATCH(B1893,Reactivos!$A$2:$A$435,0)),"ID no existe"))</f>
        <v/>
      </c>
      <c r="D1893" s="8"/>
      <c r="E1893" s="7" t="str">
        <f>IF(B1893="","",IFERROR(INDEX(Reactivos!$H$2:$H$435,MATCH(B1893,Reactivos!$A$2:$A$435,0)),""))</f>
        <v/>
      </c>
      <c r="F1893" s="8"/>
      <c r="G1893" s="8"/>
      <c r="H1893" s="13"/>
    </row>
    <row r="1894" spans="1:8" x14ac:dyDescent="0.3">
      <c r="A1894" s="11"/>
      <c r="B1894" s="8"/>
      <c r="C1894" s="7" t="str">
        <f>IF(B1894="","",IFERROR(INDEX(Reactivos!$D$2:$D$435,MATCH(B1894,Reactivos!$A$2:$A$435,0)),"ID no existe"))</f>
        <v/>
      </c>
      <c r="D1894" s="8"/>
      <c r="E1894" s="7" t="str">
        <f>IF(B1894="","",IFERROR(INDEX(Reactivos!$H$2:$H$435,MATCH(B1894,Reactivos!$A$2:$A$435,0)),""))</f>
        <v/>
      </c>
      <c r="F1894" s="8"/>
      <c r="G1894" s="8"/>
      <c r="H1894" s="13"/>
    </row>
    <row r="1895" spans="1:8" x14ac:dyDescent="0.3">
      <c r="A1895" s="11"/>
      <c r="B1895" s="8"/>
      <c r="C1895" s="7" t="str">
        <f>IF(B1895="","",IFERROR(INDEX(Reactivos!$D$2:$D$435,MATCH(B1895,Reactivos!$A$2:$A$435,0)),"ID no existe"))</f>
        <v/>
      </c>
      <c r="D1895" s="8"/>
      <c r="E1895" s="7" t="str">
        <f>IF(B1895="","",IFERROR(INDEX(Reactivos!$H$2:$H$435,MATCH(B1895,Reactivos!$A$2:$A$435,0)),""))</f>
        <v/>
      </c>
      <c r="F1895" s="8"/>
      <c r="G1895" s="8"/>
      <c r="H1895" s="13"/>
    </row>
    <row r="1896" spans="1:8" x14ac:dyDescent="0.3">
      <c r="A1896" s="11"/>
      <c r="B1896" s="8"/>
      <c r="C1896" s="7" t="str">
        <f>IF(B1896="","",IFERROR(INDEX(Reactivos!$D$2:$D$435,MATCH(B1896,Reactivos!$A$2:$A$435,0)),"ID no existe"))</f>
        <v/>
      </c>
      <c r="D1896" s="8"/>
      <c r="E1896" s="7" t="str">
        <f>IF(B1896="","",IFERROR(INDEX(Reactivos!$H$2:$H$435,MATCH(B1896,Reactivos!$A$2:$A$435,0)),""))</f>
        <v/>
      </c>
      <c r="F1896" s="8"/>
      <c r="G1896" s="8"/>
      <c r="H1896" s="13"/>
    </row>
    <row r="1897" spans="1:8" x14ac:dyDescent="0.3">
      <c r="A1897" s="11"/>
      <c r="B1897" s="8"/>
      <c r="C1897" s="7" t="str">
        <f>IF(B1897="","",IFERROR(INDEX(Reactivos!$D$2:$D$435,MATCH(B1897,Reactivos!$A$2:$A$435,0)),"ID no existe"))</f>
        <v/>
      </c>
      <c r="D1897" s="8"/>
      <c r="E1897" s="7" t="str">
        <f>IF(B1897="","",IFERROR(INDEX(Reactivos!$H$2:$H$435,MATCH(B1897,Reactivos!$A$2:$A$435,0)),""))</f>
        <v/>
      </c>
      <c r="F1897" s="8"/>
      <c r="G1897" s="8"/>
      <c r="H1897" s="13"/>
    </row>
    <row r="1898" spans="1:8" x14ac:dyDescent="0.3">
      <c r="A1898" s="11"/>
      <c r="B1898" s="8"/>
      <c r="C1898" s="7" t="str">
        <f>IF(B1898="","",IFERROR(INDEX(Reactivos!$D$2:$D$435,MATCH(B1898,Reactivos!$A$2:$A$435,0)),"ID no existe"))</f>
        <v/>
      </c>
      <c r="D1898" s="8"/>
      <c r="E1898" s="7" t="str">
        <f>IF(B1898="","",IFERROR(INDEX(Reactivos!$H$2:$H$435,MATCH(B1898,Reactivos!$A$2:$A$435,0)),""))</f>
        <v/>
      </c>
      <c r="F1898" s="8"/>
      <c r="G1898" s="8"/>
      <c r="H1898" s="13"/>
    </row>
    <row r="1899" spans="1:8" x14ac:dyDescent="0.3">
      <c r="A1899" s="11"/>
      <c r="B1899" s="8"/>
      <c r="C1899" s="7" t="str">
        <f>IF(B1899="","",IFERROR(INDEX(Reactivos!$D$2:$D$435,MATCH(B1899,Reactivos!$A$2:$A$435,0)),"ID no existe"))</f>
        <v/>
      </c>
      <c r="D1899" s="8"/>
      <c r="E1899" s="7" t="str">
        <f>IF(B1899="","",IFERROR(INDEX(Reactivos!$H$2:$H$435,MATCH(B1899,Reactivos!$A$2:$A$435,0)),""))</f>
        <v/>
      </c>
      <c r="F1899" s="8"/>
      <c r="G1899" s="8"/>
      <c r="H1899" s="13"/>
    </row>
    <row r="1900" spans="1:8" x14ac:dyDescent="0.3">
      <c r="A1900" s="11"/>
      <c r="B1900" s="8"/>
      <c r="C1900" s="7" t="str">
        <f>IF(B1900="","",IFERROR(INDEX(Reactivos!$D$2:$D$435,MATCH(B1900,Reactivos!$A$2:$A$435,0)),"ID no existe"))</f>
        <v/>
      </c>
      <c r="D1900" s="8"/>
      <c r="E1900" s="7" t="str">
        <f>IF(B1900="","",IFERROR(INDEX(Reactivos!$H$2:$H$435,MATCH(B1900,Reactivos!$A$2:$A$435,0)),""))</f>
        <v/>
      </c>
      <c r="F1900" s="8"/>
      <c r="G1900" s="8"/>
      <c r="H1900" s="13"/>
    </row>
    <row r="1901" spans="1:8" x14ac:dyDescent="0.3">
      <c r="A1901" s="11"/>
      <c r="B1901" s="8"/>
      <c r="C1901" s="7" t="str">
        <f>IF(B1901="","",IFERROR(INDEX(Reactivos!$D$2:$D$435,MATCH(B1901,Reactivos!$A$2:$A$435,0)),"ID no existe"))</f>
        <v/>
      </c>
      <c r="D1901" s="8"/>
      <c r="E1901" s="7" t="str">
        <f>IF(B1901="","",IFERROR(INDEX(Reactivos!$H$2:$H$435,MATCH(B1901,Reactivos!$A$2:$A$435,0)),""))</f>
        <v/>
      </c>
      <c r="F1901" s="8"/>
      <c r="G1901" s="8"/>
      <c r="H1901" s="13"/>
    </row>
    <row r="1902" spans="1:8" x14ac:dyDescent="0.3">
      <c r="A1902" s="11"/>
      <c r="B1902" s="8"/>
      <c r="C1902" s="7" t="str">
        <f>IF(B1902="","",IFERROR(INDEX(Reactivos!$D$2:$D$435,MATCH(B1902,Reactivos!$A$2:$A$435,0)),"ID no existe"))</f>
        <v/>
      </c>
      <c r="D1902" s="8"/>
      <c r="E1902" s="7" t="str">
        <f>IF(B1902="","",IFERROR(INDEX(Reactivos!$H$2:$H$435,MATCH(B1902,Reactivos!$A$2:$A$435,0)),""))</f>
        <v/>
      </c>
      <c r="F1902" s="8"/>
      <c r="G1902" s="8"/>
      <c r="H1902" s="13"/>
    </row>
    <row r="1903" spans="1:8" x14ac:dyDescent="0.3">
      <c r="A1903" s="11"/>
      <c r="B1903" s="8"/>
      <c r="C1903" s="7" t="str">
        <f>IF(B1903="","",IFERROR(INDEX(Reactivos!$D$2:$D$435,MATCH(B1903,Reactivos!$A$2:$A$435,0)),"ID no existe"))</f>
        <v/>
      </c>
      <c r="D1903" s="8"/>
      <c r="E1903" s="7" t="str">
        <f>IF(B1903="","",IFERROR(INDEX(Reactivos!$H$2:$H$435,MATCH(B1903,Reactivos!$A$2:$A$435,0)),""))</f>
        <v/>
      </c>
      <c r="F1903" s="8"/>
      <c r="G1903" s="8"/>
      <c r="H1903" s="13"/>
    </row>
    <row r="1904" spans="1:8" x14ac:dyDescent="0.3">
      <c r="A1904" s="11"/>
      <c r="B1904" s="8"/>
      <c r="C1904" s="7" t="str">
        <f>IF(B1904="","",IFERROR(INDEX(Reactivos!$D$2:$D$435,MATCH(B1904,Reactivos!$A$2:$A$435,0)),"ID no existe"))</f>
        <v/>
      </c>
      <c r="D1904" s="8"/>
      <c r="E1904" s="7" t="str">
        <f>IF(B1904="","",IFERROR(INDEX(Reactivos!$H$2:$H$435,MATCH(B1904,Reactivos!$A$2:$A$435,0)),""))</f>
        <v/>
      </c>
      <c r="F1904" s="8"/>
      <c r="G1904" s="8"/>
      <c r="H1904" s="13"/>
    </row>
    <row r="1905" spans="1:8" x14ac:dyDescent="0.3">
      <c r="A1905" s="11"/>
      <c r="B1905" s="8"/>
      <c r="C1905" s="7" t="str">
        <f>IF(B1905="","",IFERROR(INDEX(Reactivos!$D$2:$D$435,MATCH(B1905,Reactivos!$A$2:$A$435,0)),"ID no existe"))</f>
        <v/>
      </c>
      <c r="D1905" s="8"/>
      <c r="E1905" s="7" t="str">
        <f>IF(B1905="","",IFERROR(INDEX(Reactivos!$H$2:$H$435,MATCH(B1905,Reactivos!$A$2:$A$435,0)),""))</f>
        <v/>
      </c>
      <c r="F1905" s="8"/>
      <c r="G1905" s="8"/>
      <c r="H1905" s="13"/>
    </row>
    <row r="1906" spans="1:8" x14ac:dyDescent="0.3">
      <c r="A1906" s="11"/>
      <c r="B1906" s="8"/>
      <c r="C1906" s="7" t="str">
        <f>IF(B1906="","",IFERROR(INDEX(Reactivos!$D$2:$D$435,MATCH(B1906,Reactivos!$A$2:$A$435,0)),"ID no existe"))</f>
        <v/>
      </c>
      <c r="D1906" s="8"/>
      <c r="E1906" s="7" t="str">
        <f>IF(B1906="","",IFERROR(INDEX(Reactivos!$H$2:$H$435,MATCH(B1906,Reactivos!$A$2:$A$435,0)),""))</f>
        <v/>
      </c>
      <c r="F1906" s="8"/>
      <c r="G1906" s="8"/>
      <c r="H1906" s="13"/>
    </row>
    <row r="1907" spans="1:8" x14ac:dyDescent="0.3">
      <c r="A1907" s="11"/>
      <c r="B1907" s="8"/>
      <c r="C1907" s="7" t="str">
        <f>IF(B1907="","",IFERROR(INDEX(Reactivos!$D$2:$D$435,MATCH(B1907,Reactivos!$A$2:$A$435,0)),"ID no existe"))</f>
        <v/>
      </c>
      <c r="D1907" s="8"/>
      <c r="E1907" s="7" t="str">
        <f>IF(B1907="","",IFERROR(INDEX(Reactivos!$H$2:$H$435,MATCH(B1907,Reactivos!$A$2:$A$435,0)),""))</f>
        <v/>
      </c>
      <c r="F1907" s="8"/>
      <c r="G1907" s="8"/>
      <c r="H1907" s="13"/>
    </row>
    <row r="1908" spans="1:8" x14ac:dyDescent="0.3">
      <c r="A1908" s="11"/>
      <c r="B1908" s="8"/>
      <c r="C1908" s="7" t="str">
        <f>IF(B1908="","",IFERROR(INDEX(Reactivos!$D$2:$D$435,MATCH(B1908,Reactivos!$A$2:$A$435,0)),"ID no existe"))</f>
        <v/>
      </c>
      <c r="D1908" s="8"/>
      <c r="E1908" s="7" t="str">
        <f>IF(B1908="","",IFERROR(INDEX(Reactivos!$H$2:$H$435,MATCH(B1908,Reactivos!$A$2:$A$435,0)),""))</f>
        <v/>
      </c>
      <c r="F1908" s="8"/>
      <c r="G1908" s="8"/>
      <c r="H1908" s="13"/>
    </row>
    <row r="1909" spans="1:8" x14ac:dyDescent="0.3">
      <c r="A1909" s="11"/>
      <c r="B1909" s="8"/>
      <c r="C1909" s="7" t="str">
        <f>IF(B1909="","",IFERROR(INDEX(Reactivos!$D$2:$D$435,MATCH(B1909,Reactivos!$A$2:$A$435,0)),"ID no existe"))</f>
        <v/>
      </c>
      <c r="D1909" s="8"/>
      <c r="E1909" s="7" t="str">
        <f>IF(B1909="","",IFERROR(INDEX(Reactivos!$H$2:$H$435,MATCH(B1909,Reactivos!$A$2:$A$435,0)),""))</f>
        <v/>
      </c>
      <c r="F1909" s="8"/>
      <c r="G1909" s="8"/>
      <c r="H1909" s="13"/>
    </row>
    <row r="1910" spans="1:8" x14ac:dyDescent="0.3">
      <c r="A1910" s="11"/>
      <c r="B1910" s="8"/>
      <c r="C1910" s="7" t="str">
        <f>IF(B1910="","",IFERROR(INDEX(Reactivos!$D$2:$D$435,MATCH(B1910,Reactivos!$A$2:$A$435,0)),"ID no existe"))</f>
        <v/>
      </c>
      <c r="D1910" s="8"/>
      <c r="E1910" s="7" t="str">
        <f>IF(B1910="","",IFERROR(INDEX(Reactivos!$H$2:$H$435,MATCH(B1910,Reactivos!$A$2:$A$435,0)),""))</f>
        <v/>
      </c>
      <c r="F1910" s="8"/>
      <c r="G1910" s="8"/>
      <c r="H1910" s="13"/>
    </row>
    <row r="1911" spans="1:8" x14ac:dyDescent="0.3">
      <c r="A1911" s="11"/>
      <c r="B1911" s="8"/>
      <c r="C1911" s="7" t="str">
        <f>IF(B1911="","",IFERROR(INDEX(Reactivos!$D$2:$D$435,MATCH(B1911,Reactivos!$A$2:$A$435,0)),"ID no existe"))</f>
        <v/>
      </c>
      <c r="D1911" s="8"/>
      <c r="E1911" s="7" t="str">
        <f>IF(B1911="","",IFERROR(INDEX(Reactivos!$H$2:$H$435,MATCH(B1911,Reactivos!$A$2:$A$435,0)),""))</f>
        <v/>
      </c>
      <c r="F1911" s="8"/>
      <c r="G1911" s="8"/>
      <c r="H1911" s="13"/>
    </row>
    <row r="1912" spans="1:8" x14ac:dyDescent="0.3">
      <c r="A1912" s="11"/>
      <c r="B1912" s="8"/>
      <c r="C1912" s="7" t="str">
        <f>IF(B1912="","",IFERROR(INDEX(Reactivos!$D$2:$D$435,MATCH(B1912,Reactivos!$A$2:$A$435,0)),"ID no existe"))</f>
        <v/>
      </c>
      <c r="D1912" s="8"/>
      <c r="E1912" s="7" t="str">
        <f>IF(B1912="","",IFERROR(INDEX(Reactivos!$H$2:$H$435,MATCH(B1912,Reactivos!$A$2:$A$435,0)),""))</f>
        <v/>
      </c>
      <c r="F1912" s="8"/>
      <c r="G1912" s="8"/>
      <c r="H1912" s="13"/>
    </row>
    <row r="1913" spans="1:8" x14ac:dyDescent="0.3">
      <c r="A1913" s="11"/>
      <c r="B1913" s="8"/>
      <c r="C1913" s="7" t="str">
        <f>IF(B1913="","",IFERROR(INDEX(Reactivos!$D$2:$D$435,MATCH(B1913,Reactivos!$A$2:$A$435,0)),"ID no existe"))</f>
        <v/>
      </c>
      <c r="D1913" s="8"/>
      <c r="E1913" s="7" t="str">
        <f>IF(B1913="","",IFERROR(INDEX(Reactivos!$H$2:$H$435,MATCH(B1913,Reactivos!$A$2:$A$435,0)),""))</f>
        <v/>
      </c>
      <c r="F1913" s="8"/>
      <c r="G1913" s="8"/>
      <c r="H1913" s="13"/>
    </row>
    <row r="1914" spans="1:8" x14ac:dyDescent="0.3">
      <c r="A1914" s="11"/>
      <c r="B1914" s="8"/>
      <c r="C1914" s="7" t="str">
        <f>IF(B1914="","",IFERROR(INDEX(Reactivos!$D$2:$D$435,MATCH(B1914,Reactivos!$A$2:$A$435,0)),"ID no existe"))</f>
        <v/>
      </c>
      <c r="D1914" s="8"/>
      <c r="E1914" s="7" t="str">
        <f>IF(B1914="","",IFERROR(INDEX(Reactivos!$H$2:$H$435,MATCH(B1914,Reactivos!$A$2:$A$435,0)),""))</f>
        <v/>
      </c>
      <c r="F1914" s="8"/>
      <c r="G1914" s="8"/>
      <c r="H1914" s="13"/>
    </row>
    <row r="1915" spans="1:8" x14ac:dyDescent="0.3">
      <c r="A1915" s="11"/>
      <c r="B1915" s="8"/>
      <c r="C1915" s="7" t="str">
        <f>IF(B1915="","",IFERROR(INDEX(Reactivos!$D$2:$D$435,MATCH(B1915,Reactivos!$A$2:$A$435,0)),"ID no existe"))</f>
        <v/>
      </c>
      <c r="D1915" s="8"/>
      <c r="E1915" s="7" t="str">
        <f>IF(B1915="","",IFERROR(INDEX(Reactivos!$H$2:$H$435,MATCH(B1915,Reactivos!$A$2:$A$435,0)),""))</f>
        <v/>
      </c>
      <c r="F1915" s="8"/>
      <c r="G1915" s="8"/>
      <c r="H1915" s="13"/>
    </row>
    <row r="1916" spans="1:8" x14ac:dyDescent="0.3">
      <c r="A1916" s="11"/>
      <c r="B1916" s="8"/>
      <c r="C1916" s="7" t="str">
        <f>IF(B1916="","",IFERROR(INDEX(Reactivos!$D$2:$D$435,MATCH(B1916,Reactivos!$A$2:$A$435,0)),"ID no existe"))</f>
        <v/>
      </c>
      <c r="D1916" s="8"/>
      <c r="E1916" s="7" t="str">
        <f>IF(B1916="","",IFERROR(INDEX(Reactivos!$H$2:$H$435,MATCH(B1916,Reactivos!$A$2:$A$435,0)),""))</f>
        <v/>
      </c>
      <c r="F1916" s="8"/>
      <c r="G1916" s="8"/>
      <c r="H1916" s="13"/>
    </row>
    <row r="1917" spans="1:8" x14ac:dyDescent="0.3">
      <c r="A1917" s="11"/>
      <c r="B1917" s="8"/>
      <c r="C1917" s="7" t="str">
        <f>IF(B1917="","",IFERROR(INDEX(Reactivos!$D$2:$D$435,MATCH(B1917,Reactivos!$A$2:$A$435,0)),"ID no existe"))</f>
        <v/>
      </c>
      <c r="D1917" s="8"/>
      <c r="E1917" s="7" t="str">
        <f>IF(B1917="","",IFERROR(INDEX(Reactivos!$H$2:$H$435,MATCH(B1917,Reactivos!$A$2:$A$435,0)),""))</f>
        <v/>
      </c>
      <c r="F1917" s="8"/>
      <c r="G1917" s="8"/>
      <c r="H1917" s="13"/>
    </row>
    <row r="1918" spans="1:8" x14ac:dyDescent="0.3">
      <c r="A1918" s="11"/>
      <c r="B1918" s="8"/>
      <c r="C1918" s="7" t="str">
        <f>IF(B1918="","",IFERROR(INDEX(Reactivos!$D$2:$D$435,MATCH(B1918,Reactivos!$A$2:$A$435,0)),"ID no existe"))</f>
        <v/>
      </c>
      <c r="D1918" s="8"/>
      <c r="E1918" s="7" t="str">
        <f>IF(B1918="","",IFERROR(INDEX(Reactivos!$H$2:$H$435,MATCH(B1918,Reactivos!$A$2:$A$435,0)),""))</f>
        <v/>
      </c>
      <c r="F1918" s="8"/>
      <c r="G1918" s="8"/>
      <c r="H1918" s="13"/>
    </row>
    <row r="1919" spans="1:8" x14ac:dyDescent="0.3">
      <c r="A1919" s="11"/>
      <c r="B1919" s="8"/>
      <c r="C1919" s="7" t="str">
        <f>IF(B1919="","",IFERROR(INDEX(Reactivos!$D$2:$D$435,MATCH(B1919,Reactivos!$A$2:$A$435,0)),"ID no existe"))</f>
        <v/>
      </c>
      <c r="D1919" s="8"/>
      <c r="E1919" s="7" t="str">
        <f>IF(B1919="","",IFERROR(INDEX(Reactivos!$H$2:$H$435,MATCH(B1919,Reactivos!$A$2:$A$435,0)),""))</f>
        <v/>
      </c>
      <c r="F1919" s="8"/>
      <c r="G1919" s="8"/>
      <c r="H1919" s="13"/>
    </row>
    <row r="1920" spans="1:8" x14ac:dyDescent="0.3">
      <c r="A1920" s="11"/>
      <c r="B1920" s="8"/>
      <c r="C1920" s="7" t="str">
        <f>IF(B1920="","",IFERROR(INDEX(Reactivos!$D$2:$D$435,MATCH(B1920,Reactivos!$A$2:$A$435,0)),"ID no existe"))</f>
        <v/>
      </c>
      <c r="D1920" s="8"/>
      <c r="E1920" s="7" t="str">
        <f>IF(B1920="","",IFERROR(INDEX(Reactivos!$H$2:$H$435,MATCH(B1920,Reactivos!$A$2:$A$435,0)),""))</f>
        <v/>
      </c>
      <c r="F1920" s="8"/>
      <c r="G1920" s="8"/>
      <c r="H1920" s="13"/>
    </row>
    <row r="1921" spans="1:8" x14ac:dyDescent="0.3">
      <c r="A1921" s="11"/>
      <c r="B1921" s="8"/>
      <c r="C1921" s="7" t="str">
        <f>IF(B1921="","",IFERROR(INDEX(Reactivos!$D$2:$D$435,MATCH(B1921,Reactivos!$A$2:$A$435,0)),"ID no existe"))</f>
        <v/>
      </c>
      <c r="D1921" s="8"/>
      <c r="E1921" s="7" t="str">
        <f>IF(B1921="","",IFERROR(INDEX(Reactivos!$H$2:$H$435,MATCH(B1921,Reactivos!$A$2:$A$435,0)),""))</f>
        <v/>
      </c>
      <c r="F1921" s="8"/>
      <c r="G1921" s="8"/>
      <c r="H1921" s="13"/>
    </row>
    <row r="1922" spans="1:8" x14ac:dyDescent="0.3">
      <c r="A1922" s="11"/>
      <c r="B1922" s="8"/>
      <c r="C1922" s="7" t="str">
        <f>IF(B1922="","",IFERROR(INDEX(Reactivos!$D$2:$D$435,MATCH(B1922,Reactivos!$A$2:$A$435,0)),"ID no existe"))</f>
        <v/>
      </c>
      <c r="D1922" s="8"/>
      <c r="E1922" s="7" t="str">
        <f>IF(B1922="","",IFERROR(INDEX(Reactivos!$H$2:$H$435,MATCH(B1922,Reactivos!$A$2:$A$435,0)),""))</f>
        <v/>
      </c>
      <c r="F1922" s="8"/>
      <c r="G1922" s="8"/>
      <c r="H1922" s="13"/>
    </row>
    <row r="1923" spans="1:8" x14ac:dyDescent="0.3">
      <c r="A1923" s="11"/>
      <c r="B1923" s="8"/>
      <c r="C1923" s="7" t="str">
        <f>IF(B1923="","",IFERROR(INDEX(Reactivos!$D$2:$D$435,MATCH(B1923,Reactivos!$A$2:$A$435,0)),"ID no existe"))</f>
        <v/>
      </c>
      <c r="D1923" s="8"/>
      <c r="E1923" s="7" t="str">
        <f>IF(B1923="","",IFERROR(INDEX(Reactivos!$H$2:$H$435,MATCH(B1923,Reactivos!$A$2:$A$435,0)),""))</f>
        <v/>
      </c>
      <c r="F1923" s="8"/>
      <c r="G1923" s="8"/>
      <c r="H1923" s="13"/>
    </row>
    <row r="1924" spans="1:8" x14ac:dyDescent="0.3">
      <c r="A1924" s="11"/>
      <c r="B1924" s="8"/>
      <c r="C1924" s="7" t="str">
        <f>IF(B1924="","",IFERROR(INDEX(Reactivos!$D$2:$D$435,MATCH(B1924,Reactivos!$A$2:$A$435,0)),"ID no existe"))</f>
        <v/>
      </c>
      <c r="D1924" s="8"/>
      <c r="E1924" s="7" t="str">
        <f>IF(B1924="","",IFERROR(INDEX(Reactivos!$H$2:$H$435,MATCH(B1924,Reactivos!$A$2:$A$435,0)),""))</f>
        <v/>
      </c>
      <c r="F1924" s="8"/>
      <c r="G1924" s="8"/>
      <c r="H1924" s="13"/>
    </row>
    <row r="1925" spans="1:8" x14ac:dyDescent="0.3">
      <c r="A1925" s="11"/>
      <c r="B1925" s="8"/>
      <c r="C1925" s="7" t="str">
        <f>IF(B1925="","",IFERROR(INDEX(Reactivos!$D$2:$D$435,MATCH(B1925,Reactivos!$A$2:$A$435,0)),"ID no existe"))</f>
        <v/>
      </c>
      <c r="D1925" s="8"/>
      <c r="E1925" s="7" t="str">
        <f>IF(B1925="","",IFERROR(INDEX(Reactivos!$H$2:$H$435,MATCH(B1925,Reactivos!$A$2:$A$435,0)),""))</f>
        <v/>
      </c>
      <c r="F1925" s="8"/>
      <c r="G1925" s="8"/>
      <c r="H1925" s="13"/>
    </row>
    <row r="1926" spans="1:8" x14ac:dyDescent="0.3">
      <c r="A1926" s="11"/>
      <c r="B1926" s="8"/>
      <c r="C1926" s="7" t="str">
        <f>IF(B1926="","",IFERROR(INDEX(Reactivos!$D$2:$D$435,MATCH(B1926,Reactivos!$A$2:$A$435,0)),"ID no existe"))</f>
        <v/>
      </c>
      <c r="D1926" s="8"/>
      <c r="E1926" s="7" t="str">
        <f>IF(B1926="","",IFERROR(INDEX(Reactivos!$H$2:$H$435,MATCH(B1926,Reactivos!$A$2:$A$435,0)),""))</f>
        <v/>
      </c>
      <c r="F1926" s="8"/>
      <c r="G1926" s="8"/>
      <c r="H1926" s="13"/>
    </row>
    <row r="1927" spans="1:8" x14ac:dyDescent="0.3">
      <c r="A1927" s="11"/>
      <c r="B1927" s="8"/>
      <c r="C1927" s="7" t="str">
        <f>IF(B1927="","",IFERROR(INDEX(Reactivos!$D$2:$D$435,MATCH(B1927,Reactivos!$A$2:$A$435,0)),"ID no existe"))</f>
        <v/>
      </c>
      <c r="D1927" s="8"/>
      <c r="E1927" s="7" t="str">
        <f>IF(B1927="","",IFERROR(INDEX(Reactivos!$H$2:$H$435,MATCH(B1927,Reactivos!$A$2:$A$435,0)),""))</f>
        <v/>
      </c>
      <c r="F1927" s="8"/>
      <c r="G1927" s="8"/>
      <c r="H1927" s="13"/>
    </row>
    <row r="1928" spans="1:8" x14ac:dyDescent="0.3">
      <c r="A1928" s="11"/>
      <c r="B1928" s="8"/>
      <c r="C1928" s="7" t="str">
        <f>IF(B1928="","",IFERROR(INDEX(Reactivos!$D$2:$D$435,MATCH(B1928,Reactivos!$A$2:$A$435,0)),"ID no existe"))</f>
        <v/>
      </c>
      <c r="D1928" s="8"/>
      <c r="E1928" s="7" t="str">
        <f>IF(B1928="","",IFERROR(INDEX(Reactivos!$H$2:$H$435,MATCH(B1928,Reactivos!$A$2:$A$435,0)),""))</f>
        <v/>
      </c>
      <c r="F1928" s="8"/>
      <c r="G1928" s="8"/>
      <c r="H1928" s="13"/>
    </row>
    <row r="1929" spans="1:8" x14ac:dyDescent="0.3">
      <c r="A1929" s="11"/>
      <c r="B1929" s="8"/>
      <c r="C1929" s="7" t="str">
        <f>IF(B1929="","",IFERROR(INDEX(Reactivos!$D$2:$D$435,MATCH(B1929,Reactivos!$A$2:$A$435,0)),"ID no existe"))</f>
        <v/>
      </c>
      <c r="D1929" s="8"/>
      <c r="E1929" s="7" t="str">
        <f>IF(B1929="","",IFERROR(INDEX(Reactivos!$H$2:$H$435,MATCH(B1929,Reactivos!$A$2:$A$435,0)),""))</f>
        <v/>
      </c>
      <c r="F1929" s="8"/>
      <c r="G1929" s="8"/>
      <c r="H1929" s="13"/>
    </row>
    <row r="1930" spans="1:8" x14ac:dyDescent="0.3">
      <c r="A1930" s="11"/>
      <c r="B1930" s="8"/>
      <c r="C1930" s="7" t="str">
        <f>IF(B1930="","",IFERROR(INDEX(Reactivos!$D$2:$D$435,MATCH(B1930,Reactivos!$A$2:$A$435,0)),"ID no existe"))</f>
        <v/>
      </c>
      <c r="D1930" s="8"/>
      <c r="E1930" s="7" t="str">
        <f>IF(B1930="","",IFERROR(INDEX(Reactivos!$H$2:$H$435,MATCH(B1930,Reactivos!$A$2:$A$435,0)),""))</f>
        <v/>
      </c>
      <c r="F1930" s="8"/>
      <c r="G1930" s="8"/>
      <c r="H1930" s="13"/>
    </row>
    <row r="1931" spans="1:8" x14ac:dyDescent="0.3">
      <c r="A1931" s="11"/>
      <c r="B1931" s="8"/>
      <c r="C1931" s="7" t="str">
        <f>IF(B1931="","",IFERROR(INDEX(Reactivos!$D$2:$D$435,MATCH(B1931,Reactivos!$A$2:$A$435,0)),"ID no existe"))</f>
        <v/>
      </c>
      <c r="D1931" s="8"/>
      <c r="E1931" s="7" t="str">
        <f>IF(B1931="","",IFERROR(INDEX(Reactivos!$H$2:$H$435,MATCH(B1931,Reactivos!$A$2:$A$435,0)),""))</f>
        <v/>
      </c>
      <c r="F1931" s="8"/>
      <c r="G1931" s="8"/>
      <c r="H1931" s="13"/>
    </row>
    <row r="1932" spans="1:8" x14ac:dyDescent="0.3">
      <c r="A1932" s="11"/>
      <c r="B1932" s="8"/>
      <c r="C1932" s="7" t="str">
        <f>IF(B1932="","",IFERROR(INDEX(Reactivos!$D$2:$D$435,MATCH(B1932,Reactivos!$A$2:$A$435,0)),"ID no existe"))</f>
        <v/>
      </c>
      <c r="D1932" s="8"/>
      <c r="E1932" s="7" t="str">
        <f>IF(B1932="","",IFERROR(INDEX(Reactivos!$H$2:$H$435,MATCH(B1932,Reactivos!$A$2:$A$435,0)),""))</f>
        <v/>
      </c>
      <c r="F1932" s="8"/>
      <c r="G1932" s="8"/>
      <c r="H1932" s="13"/>
    </row>
    <row r="1933" spans="1:8" x14ac:dyDescent="0.3">
      <c r="A1933" s="11"/>
      <c r="B1933" s="8"/>
      <c r="C1933" s="7" t="str">
        <f>IF(B1933="","",IFERROR(INDEX(Reactivos!$D$2:$D$435,MATCH(B1933,Reactivos!$A$2:$A$435,0)),"ID no existe"))</f>
        <v/>
      </c>
      <c r="D1933" s="8"/>
      <c r="E1933" s="7" t="str">
        <f>IF(B1933="","",IFERROR(INDEX(Reactivos!$H$2:$H$435,MATCH(B1933,Reactivos!$A$2:$A$435,0)),""))</f>
        <v/>
      </c>
      <c r="F1933" s="8"/>
      <c r="G1933" s="8"/>
      <c r="H1933" s="13"/>
    </row>
    <row r="1934" spans="1:8" x14ac:dyDescent="0.3">
      <c r="A1934" s="11"/>
      <c r="B1934" s="8"/>
      <c r="C1934" s="7" t="str">
        <f>IF(B1934="","",IFERROR(INDEX(Reactivos!$D$2:$D$435,MATCH(B1934,Reactivos!$A$2:$A$435,0)),"ID no existe"))</f>
        <v/>
      </c>
      <c r="D1934" s="8"/>
      <c r="E1934" s="7" t="str">
        <f>IF(B1934="","",IFERROR(INDEX(Reactivos!$H$2:$H$435,MATCH(B1934,Reactivos!$A$2:$A$435,0)),""))</f>
        <v/>
      </c>
      <c r="F1934" s="8"/>
      <c r="G1934" s="8"/>
      <c r="H1934" s="13"/>
    </row>
    <row r="1935" spans="1:8" x14ac:dyDescent="0.3">
      <c r="A1935" s="11"/>
      <c r="B1935" s="8"/>
      <c r="C1935" s="7" t="str">
        <f>IF(B1935="","",IFERROR(INDEX(Reactivos!$D$2:$D$435,MATCH(B1935,Reactivos!$A$2:$A$435,0)),"ID no existe"))</f>
        <v/>
      </c>
      <c r="D1935" s="8"/>
      <c r="E1935" s="7" t="str">
        <f>IF(B1935="","",IFERROR(INDEX(Reactivos!$H$2:$H$435,MATCH(B1935,Reactivos!$A$2:$A$435,0)),""))</f>
        <v/>
      </c>
      <c r="F1935" s="8"/>
      <c r="G1935" s="8"/>
      <c r="H1935" s="13"/>
    </row>
    <row r="1936" spans="1:8" x14ac:dyDescent="0.3">
      <c r="A1936" s="11"/>
      <c r="B1936" s="8"/>
      <c r="C1936" s="7" t="str">
        <f>IF(B1936="","",IFERROR(INDEX(Reactivos!$D$2:$D$435,MATCH(B1936,Reactivos!$A$2:$A$435,0)),"ID no existe"))</f>
        <v/>
      </c>
      <c r="D1936" s="8"/>
      <c r="E1936" s="7" t="str">
        <f>IF(B1936="","",IFERROR(INDEX(Reactivos!$H$2:$H$435,MATCH(B1936,Reactivos!$A$2:$A$435,0)),""))</f>
        <v/>
      </c>
      <c r="F1936" s="8"/>
      <c r="G1936" s="8"/>
      <c r="H1936" s="13"/>
    </row>
    <row r="1937" spans="1:8" x14ac:dyDescent="0.3">
      <c r="A1937" s="11"/>
      <c r="B1937" s="8"/>
      <c r="C1937" s="7" t="str">
        <f>IF(B1937="","",IFERROR(INDEX(Reactivos!$D$2:$D$435,MATCH(B1937,Reactivos!$A$2:$A$435,0)),"ID no existe"))</f>
        <v/>
      </c>
      <c r="D1937" s="8"/>
      <c r="E1937" s="7" t="str">
        <f>IF(B1937="","",IFERROR(INDEX(Reactivos!$H$2:$H$435,MATCH(B1937,Reactivos!$A$2:$A$435,0)),""))</f>
        <v/>
      </c>
      <c r="F1937" s="8"/>
      <c r="G1937" s="8"/>
      <c r="H1937" s="13"/>
    </row>
    <row r="1938" spans="1:8" x14ac:dyDescent="0.3">
      <c r="A1938" s="11"/>
      <c r="B1938" s="8"/>
      <c r="C1938" s="7" t="str">
        <f>IF(B1938="","",IFERROR(INDEX(Reactivos!$D$2:$D$435,MATCH(B1938,Reactivos!$A$2:$A$435,0)),"ID no existe"))</f>
        <v/>
      </c>
      <c r="D1938" s="8"/>
      <c r="E1938" s="7" t="str">
        <f>IF(B1938="","",IFERROR(INDEX(Reactivos!$H$2:$H$435,MATCH(B1938,Reactivos!$A$2:$A$435,0)),""))</f>
        <v/>
      </c>
      <c r="F1938" s="8"/>
      <c r="G1938" s="8"/>
      <c r="H1938" s="13"/>
    </row>
    <row r="1939" spans="1:8" x14ac:dyDescent="0.3">
      <c r="A1939" s="11"/>
      <c r="B1939" s="8"/>
      <c r="C1939" s="7" t="str">
        <f>IF(B1939="","",IFERROR(INDEX(Reactivos!$D$2:$D$435,MATCH(B1939,Reactivos!$A$2:$A$435,0)),"ID no existe"))</f>
        <v/>
      </c>
      <c r="D1939" s="8"/>
      <c r="E1939" s="7" t="str">
        <f>IF(B1939="","",IFERROR(INDEX(Reactivos!$H$2:$H$435,MATCH(B1939,Reactivos!$A$2:$A$435,0)),""))</f>
        <v/>
      </c>
      <c r="F1939" s="8"/>
      <c r="G1939" s="8"/>
      <c r="H1939" s="13"/>
    </row>
    <row r="1940" spans="1:8" x14ac:dyDescent="0.3">
      <c r="A1940" s="11"/>
      <c r="B1940" s="8"/>
      <c r="C1940" s="7" t="str">
        <f>IF(B1940="","",IFERROR(INDEX(Reactivos!$D$2:$D$435,MATCH(B1940,Reactivos!$A$2:$A$435,0)),"ID no existe"))</f>
        <v/>
      </c>
      <c r="D1940" s="8"/>
      <c r="E1940" s="7" t="str">
        <f>IF(B1940="","",IFERROR(INDEX(Reactivos!$H$2:$H$435,MATCH(B1940,Reactivos!$A$2:$A$435,0)),""))</f>
        <v/>
      </c>
      <c r="F1940" s="8"/>
      <c r="G1940" s="8"/>
      <c r="H1940" s="13"/>
    </row>
    <row r="1941" spans="1:8" x14ac:dyDescent="0.3">
      <c r="A1941" s="11"/>
      <c r="B1941" s="8"/>
      <c r="C1941" s="7" t="str">
        <f>IF(B1941="","",IFERROR(INDEX(Reactivos!$D$2:$D$435,MATCH(B1941,Reactivos!$A$2:$A$435,0)),"ID no existe"))</f>
        <v/>
      </c>
      <c r="D1941" s="8"/>
      <c r="E1941" s="7" t="str">
        <f>IF(B1941="","",IFERROR(INDEX(Reactivos!$H$2:$H$435,MATCH(B1941,Reactivos!$A$2:$A$435,0)),""))</f>
        <v/>
      </c>
      <c r="F1941" s="8"/>
      <c r="G1941" s="8"/>
      <c r="H1941" s="13"/>
    </row>
    <row r="1942" spans="1:8" x14ac:dyDescent="0.3">
      <c r="A1942" s="11"/>
      <c r="B1942" s="8"/>
      <c r="C1942" s="7" t="str">
        <f>IF(B1942="","",IFERROR(INDEX(Reactivos!$D$2:$D$435,MATCH(B1942,Reactivos!$A$2:$A$435,0)),"ID no existe"))</f>
        <v/>
      </c>
      <c r="D1942" s="8"/>
      <c r="E1942" s="7" t="str">
        <f>IF(B1942="","",IFERROR(INDEX(Reactivos!$H$2:$H$435,MATCH(B1942,Reactivos!$A$2:$A$435,0)),""))</f>
        <v/>
      </c>
      <c r="F1942" s="8"/>
      <c r="G1942" s="8"/>
      <c r="H1942" s="13"/>
    </row>
    <row r="1943" spans="1:8" x14ac:dyDescent="0.3">
      <c r="A1943" s="11"/>
      <c r="B1943" s="8"/>
      <c r="C1943" s="7" t="str">
        <f>IF(B1943="","",IFERROR(INDEX(Reactivos!$D$2:$D$435,MATCH(B1943,Reactivos!$A$2:$A$435,0)),"ID no existe"))</f>
        <v/>
      </c>
      <c r="D1943" s="8"/>
      <c r="E1943" s="7" t="str">
        <f>IF(B1943="","",IFERROR(INDEX(Reactivos!$H$2:$H$435,MATCH(B1943,Reactivos!$A$2:$A$435,0)),""))</f>
        <v/>
      </c>
      <c r="F1943" s="8"/>
      <c r="G1943" s="8"/>
      <c r="H1943" s="13"/>
    </row>
    <row r="1944" spans="1:8" x14ac:dyDescent="0.3">
      <c r="A1944" s="11"/>
      <c r="B1944" s="8"/>
      <c r="C1944" s="7" t="str">
        <f>IF(B1944="","",IFERROR(INDEX(Reactivos!$D$2:$D$435,MATCH(B1944,Reactivos!$A$2:$A$435,0)),"ID no existe"))</f>
        <v/>
      </c>
      <c r="D1944" s="8"/>
      <c r="E1944" s="7" t="str">
        <f>IF(B1944="","",IFERROR(INDEX(Reactivos!$H$2:$H$435,MATCH(B1944,Reactivos!$A$2:$A$435,0)),""))</f>
        <v/>
      </c>
      <c r="F1944" s="8"/>
      <c r="G1944" s="8"/>
      <c r="H1944" s="13"/>
    </row>
    <row r="1945" spans="1:8" x14ac:dyDescent="0.3">
      <c r="A1945" s="11"/>
      <c r="B1945" s="8"/>
      <c r="C1945" s="7" t="str">
        <f>IF(B1945="","",IFERROR(INDEX(Reactivos!$D$2:$D$435,MATCH(B1945,Reactivos!$A$2:$A$435,0)),"ID no existe"))</f>
        <v/>
      </c>
      <c r="D1945" s="8"/>
      <c r="E1945" s="7" t="str">
        <f>IF(B1945="","",IFERROR(INDEX(Reactivos!$H$2:$H$435,MATCH(B1945,Reactivos!$A$2:$A$435,0)),""))</f>
        <v/>
      </c>
      <c r="F1945" s="8"/>
      <c r="G1945" s="8"/>
      <c r="H1945" s="13"/>
    </row>
    <row r="1946" spans="1:8" x14ac:dyDescent="0.3">
      <c r="A1946" s="11"/>
      <c r="B1946" s="8"/>
      <c r="C1946" s="7" t="str">
        <f>IF(B1946="","",IFERROR(INDEX(Reactivos!$D$2:$D$435,MATCH(B1946,Reactivos!$A$2:$A$435,0)),"ID no existe"))</f>
        <v/>
      </c>
      <c r="D1946" s="8"/>
      <c r="E1946" s="7" t="str">
        <f>IF(B1946="","",IFERROR(INDEX(Reactivos!$H$2:$H$435,MATCH(B1946,Reactivos!$A$2:$A$435,0)),""))</f>
        <v/>
      </c>
      <c r="F1946" s="8"/>
      <c r="G1946" s="8"/>
      <c r="H1946" s="13"/>
    </row>
    <row r="1947" spans="1:8" x14ac:dyDescent="0.3">
      <c r="A1947" s="11"/>
      <c r="B1947" s="8"/>
      <c r="C1947" s="7" t="str">
        <f>IF(B1947="","",IFERROR(INDEX(Reactivos!$D$2:$D$435,MATCH(B1947,Reactivos!$A$2:$A$435,0)),"ID no existe"))</f>
        <v/>
      </c>
      <c r="D1947" s="8"/>
      <c r="E1947" s="7" t="str">
        <f>IF(B1947="","",IFERROR(INDEX(Reactivos!$H$2:$H$435,MATCH(B1947,Reactivos!$A$2:$A$435,0)),""))</f>
        <v/>
      </c>
      <c r="F1947" s="8"/>
      <c r="G1947" s="8"/>
      <c r="H1947" s="13"/>
    </row>
    <row r="1948" spans="1:8" x14ac:dyDescent="0.3">
      <c r="A1948" s="11"/>
      <c r="B1948" s="8"/>
      <c r="C1948" s="7" t="str">
        <f>IF(B1948="","",IFERROR(INDEX(Reactivos!$D$2:$D$435,MATCH(B1948,Reactivos!$A$2:$A$435,0)),"ID no existe"))</f>
        <v/>
      </c>
      <c r="D1948" s="8"/>
      <c r="E1948" s="7" t="str">
        <f>IF(B1948="","",IFERROR(INDEX(Reactivos!$H$2:$H$435,MATCH(B1948,Reactivos!$A$2:$A$435,0)),""))</f>
        <v/>
      </c>
      <c r="F1948" s="8"/>
      <c r="G1948" s="8"/>
      <c r="H1948" s="13"/>
    </row>
    <row r="1949" spans="1:8" x14ac:dyDescent="0.3">
      <c r="A1949" s="11"/>
      <c r="B1949" s="8"/>
      <c r="C1949" s="7" t="str">
        <f>IF(B1949="","",IFERROR(INDEX(Reactivos!$D$2:$D$435,MATCH(B1949,Reactivos!$A$2:$A$435,0)),"ID no existe"))</f>
        <v/>
      </c>
      <c r="D1949" s="8"/>
      <c r="E1949" s="7" t="str">
        <f>IF(B1949="","",IFERROR(INDEX(Reactivos!$H$2:$H$435,MATCH(B1949,Reactivos!$A$2:$A$435,0)),""))</f>
        <v/>
      </c>
      <c r="F1949" s="8"/>
      <c r="G1949" s="8"/>
      <c r="H1949" s="13"/>
    </row>
    <row r="1950" spans="1:8" x14ac:dyDescent="0.3">
      <c r="A1950" s="11"/>
      <c r="B1950" s="8"/>
      <c r="C1950" s="7" t="str">
        <f>IF(B1950="","",IFERROR(INDEX(Reactivos!$D$2:$D$435,MATCH(B1950,Reactivos!$A$2:$A$435,0)),"ID no existe"))</f>
        <v/>
      </c>
      <c r="D1950" s="8"/>
      <c r="E1950" s="7" t="str">
        <f>IF(B1950="","",IFERROR(INDEX(Reactivos!$H$2:$H$435,MATCH(B1950,Reactivos!$A$2:$A$435,0)),""))</f>
        <v/>
      </c>
      <c r="F1950" s="8"/>
      <c r="G1950" s="8"/>
      <c r="H1950" s="13"/>
    </row>
    <row r="1951" spans="1:8" x14ac:dyDescent="0.3">
      <c r="A1951" s="11"/>
      <c r="B1951" s="8"/>
      <c r="C1951" s="7" t="str">
        <f>IF(B1951="","",IFERROR(INDEX(Reactivos!$D$2:$D$435,MATCH(B1951,Reactivos!$A$2:$A$435,0)),"ID no existe"))</f>
        <v/>
      </c>
      <c r="D1951" s="8"/>
      <c r="E1951" s="7" t="str">
        <f>IF(B1951="","",IFERROR(INDEX(Reactivos!$H$2:$H$435,MATCH(B1951,Reactivos!$A$2:$A$435,0)),""))</f>
        <v/>
      </c>
      <c r="F1951" s="8"/>
      <c r="G1951" s="8"/>
      <c r="H1951" s="13"/>
    </row>
    <row r="1952" spans="1:8" x14ac:dyDescent="0.3">
      <c r="A1952" s="11"/>
      <c r="B1952" s="8"/>
      <c r="C1952" s="7" t="str">
        <f>IF(B1952="","",IFERROR(INDEX(Reactivos!$D$2:$D$435,MATCH(B1952,Reactivos!$A$2:$A$435,0)),"ID no existe"))</f>
        <v/>
      </c>
      <c r="D1952" s="8"/>
      <c r="E1952" s="7" t="str">
        <f>IF(B1952="","",IFERROR(INDEX(Reactivos!$H$2:$H$435,MATCH(B1952,Reactivos!$A$2:$A$435,0)),""))</f>
        <v/>
      </c>
      <c r="F1952" s="8"/>
      <c r="G1952" s="8"/>
      <c r="H1952" s="13"/>
    </row>
    <row r="1953" spans="1:8" x14ac:dyDescent="0.3">
      <c r="A1953" s="11"/>
      <c r="B1953" s="8"/>
      <c r="C1953" s="7" t="str">
        <f>IF(B1953="","",IFERROR(INDEX(Reactivos!$D$2:$D$435,MATCH(B1953,Reactivos!$A$2:$A$435,0)),"ID no existe"))</f>
        <v/>
      </c>
      <c r="D1953" s="8"/>
      <c r="E1953" s="7" t="str">
        <f>IF(B1953="","",IFERROR(INDEX(Reactivos!$H$2:$H$435,MATCH(B1953,Reactivos!$A$2:$A$435,0)),""))</f>
        <v/>
      </c>
      <c r="F1953" s="8"/>
      <c r="G1953" s="8"/>
      <c r="H1953" s="13"/>
    </row>
    <row r="1954" spans="1:8" x14ac:dyDescent="0.3">
      <c r="A1954" s="11"/>
      <c r="B1954" s="8"/>
      <c r="C1954" s="7" t="str">
        <f>IF(B1954="","",IFERROR(INDEX(Reactivos!$D$2:$D$435,MATCH(B1954,Reactivos!$A$2:$A$435,0)),"ID no existe"))</f>
        <v/>
      </c>
      <c r="D1954" s="8"/>
      <c r="E1954" s="7" t="str">
        <f>IF(B1954="","",IFERROR(INDEX(Reactivos!$H$2:$H$435,MATCH(B1954,Reactivos!$A$2:$A$435,0)),""))</f>
        <v/>
      </c>
      <c r="F1954" s="8"/>
      <c r="G1954" s="8"/>
      <c r="H1954" s="13"/>
    </row>
    <row r="1955" spans="1:8" x14ac:dyDescent="0.3">
      <c r="A1955" s="11"/>
      <c r="B1955" s="8"/>
      <c r="C1955" s="7" t="str">
        <f>IF(B1955="","",IFERROR(INDEX(Reactivos!$D$2:$D$435,MATCH(B1955,Reactivos!$A$2:$A$435,0)),"ID no existe"))</f>
        <v/>
      </c>
      <c r="D1955" s="8"/>
      <c r="E1955" s="7" t="str">
        <f>IF(B1955="","",IFERROR(INDEX(Reactivos!$H$2:$H$435,MATCH(B1955,Reactivos!$A$2:$A$435,0)),""))</f>
        <v/>
      </c>
      <c r="F1955" s="8"/>
      <c r="G1955" s="8"/>
      <c r="H1955" s="13"/>
    </row>
    <row r="1956" spans="1:8" x14ac:dyDescent="0.3">
      <c r="A1956" s="11"/>
      <c r="B1956" s="8"/>
      <c r="C1956" s="7" t="str">
        <f>IF(B1956="","",IFERROR(INDEX(Reactivos!$D$2:$D$435,MATCH(B1956,Reactivos!$A$2:$A$435,0)),"ID no existe"))</f>
        <v/>
      </c>
      <c r="D1956" s="8"/>
      <c r="E1956" s="7" t="str">
        <f>IF(B1956="","",IFERROR(INDEX(Reactivos!$H$2:$H$435,MATCH(B1956,Reactivos!$A$2:$A$435,0)),""))</f>
        <v/>
      </c>
      <c r="F1956" s="8"/>
      <c r="G1956" s="8"/>
      <c r="H1956" s="13"/>
    </row>
    <row r="1957" spans="1:8" x14ac:dyDescent="0.3">
      <c r="A1957" s="11"/>
      <c r="B1957" s="8"/>
      <c r="C1957" s="7" t="str">
        <f>IF(B1957="","",IFERROR(INDEX(Reactivos!$D$2:$D$435,MATCH(B1957,Reactivos!$A$2:$A$435,0)),"ID no existe"))</f>
        <v/>
      </c>
      <c r="D1957" s="8"/>
      <c r="E1957" s="7" t="str">
        <f>IF(B1957="","",IFERROR(INDEX(Reactivos!$H$2:$H$435,MATCH(B1957,Reactivos!$A$2:$A$435,0)),""))</f>
        <v/>
      </c>
      <c r="F1957" s="8"/>
      <c r="G1957" s="8"/>
      <c r="H1957" s="13"/>
    </row>
    <row r="1958" spans="1:8" x14ac:dyDescent="0.3">
      <c r="A1958" s="11"/>
      <c r="B1958" s="8"/>
      <c r="C1958" s="7" t="str">
        <f>IF(B1958="","",IFERROR(INDEX(Reactivos!$D$2:$D$435,MATCH(B1958,Reactivos!$A$2:$A$435,0)),"ID no existe"))</f>
        <v/>
      </c>
      <c r="D1958" s="8"/>
      <c r="E1958" s="7" t="str">
        <f>IF(B1958="","",IFERROR(INDEX(Reactivos!$H$2:$H$435,MATCH(B1958,Reactivos!$A$2:$A$435,0)),""))</f>
        <v/>
      </c>
      <c r="F1958" s="8"/>
      <c r="G1958" s="8"/>
      <c r="H1958" s="13"/>
    </row>
    <row r="1959" spans="1:8" x14ac:dyDescent="0.3">
      <c r="A1959" s="11"/>
      <c r="B1959" s="8"/>
      <c r="C1959" s="7" t="str">
        <f>IF(B1959="","",IFERROR(INDEX(Reactivos!$D$2:$D$435,MATCH(B1959,Reactivos!$A$2:$A$435,0)),"ID no existe"))</f>
        <v/>
      </c>
      <c r="D1959" s="8"/>
      <c r="E1959" s="7" t="str">
        <f>IF(B1959="","",IFERROR(INDEX(Reactivos!$H$2:$H$435,MATCH(B1959,Reactivos!$A$2:$A$435,0)),""))</f>
        <v/>
      </c>
      <c r="F1959" s="8"/>
      <c r="G1959" s="8"/>
      <c r="H1959" s="13"/>
    </row>
    <row r="1960" spans="1:8" x14ac:dyDescent="0.3">
      <c r="A1960" s="11"/>
      <c r="B1960" s="8"/>
      <c r="C1960" s="7" t="str">
        <f>IF(B1960="","",IFERROR(INDEX(Reactivos!$D$2:$D$435,MATCH(B1960,Reactivos!$A$2:$A$435,0)),"ID no existe"))</f>
        <v/>
      </c>
      <c r="D1960" s="8"/>
      <c r="E1960" s="7" t="str">
        <f>IF(B1960="","",IFERROR(INDEX(Reactivos!$H$2:$H$435,MATCH(B1960,Reactivos!$A$2:$A$435,0)),""))</f>
        <v/>
      </c>
      <c r="F1960" s="8"/>
      <c r="G1960" s="8"/>
      <c r="H1960" s="13"/>
    </row>
    <row r="1961" spans="1:8" x14ac:dyDescent="0.3">
      <c r="A1961" s="11"/>
      <c r="B1961" s="8"/>
      <c r="C1961" s="7" t="str">
        <f>IF(B1961="","",IFERROR(INDEX(Reactivos!$D$2:$D$435,MATCH(B1961,Reactivos!$A$2:$A$435,0)),"ID no existe"))</f>
        <v/>
      </c>
      <c r="D1961" s="8"/>
      <c r="E1961" s="7" t="str">
        <f>IF(B1961="","",IFERROR(INDEX(Reactivos!$H$2:$H$435,MATCH(B1961,Reactivos!$A$2:$A$435,0)),""))</f>
        <v/>
      </c>
      <c r="F1961" s="8"/>
      <c r="G1961" s="8"/>
      <c r="H1961" s="13"/>
    </row>
    <row r="1962" spans="1:8" x14ac:dyDescent="0.3">
      <c r="A1962" s="11"/>
      <c r="B1962" s="8"/>
      <c r="C1962" s="7" t="str">
        <f>IF(B1962="","",IFERROR(INDEX(Reactivos!$D$2:$D$435,MATCH(B1962,Reactivos!$A$2:$A$435,0)),"ID no existe"))</f>
        <v/>
      </c>
      <c r="D1962" s="8"/>
      <c r="E1962" s="7" t="str">
        <f>IF(B1962="","",IFERROR(INDEX(Reactivos!$H$2:$H$435,MATCH(B1962,Reactivos!$A$2:$A$435,0)),""))</f>
        <v/>
      </c>
      <c r="F1962" s="8"/>
      <c r="G1962" s="8"/>
      <c r="H1962" s="13"/>
    </row>
    <row r="1963" spans="1:8" x14ac:dyDescent="0.3">
      <c r="A1963" s="11"/>
      <c r="B1963" s="8"/>
      <c r="C1963" s="7" t="str">
        <f>IF(B1963="","",IFERROR(INDEX(Reactivos!$D$2:$D$435,MATCH(B1963,Reactivos!$A$2:$A$435,0)),"ID no existe"))</f>
        <v/>
      </c>
      <c r="D1963" s="8"/>
      <c r="E1963" s="7" t="str">
        <f>IF(B1963="","",IFERROR(INDEX(Reactivos!$H$2:$H$435,MATCH(B1963,Reactivos!$A$2:$A$435,0)),""))</f>
        <v/>
      </c>
      <c r="F1963" s="8"/>
      <c r="G1963" s="8"/>
      <c r="H1963" s="13"/>
    </row>
    <row r="1964" spans="1:8" x14ac:dyDescent="0.3">
      <c r="A1964" s="11"/>
      <c r="B1964" s="8"/>
      <c r="C1964" s="7" t="str">
        <f>IF(B1964="","",IFERROR(INDEX(Reactivos!$D$2:$D$435,MATCH(B1964,Reactivos!$A$2:$A$435,0)),"ID no existe"))</f>
        <v/>
      </c>
      <c r="D1964" s="8"/>
      <c r="E1964" s="7" t="str">
        <f>IF(B1964="","",IFERROR(INDEX(Reactivos!$H$2:$H$435,MATCH(B1964,Reactivos!$A$2:$A$435,0)),""))</f>
        <v/>
      </c>
      <c r="F1964" s="8"/>
      <c r="G1964" s="8"/>
      <c r="H1964" s="13"/>
    </row>
    <row r="1965" spans="1:8" x14ac:dyDescent="0.3">
      <c r="A1965" s="11"/>
      <c r="B1965" s="8"/>
      <c r="C1965" s="7" t="str">
        <f>IF(B1965="","",IFERROR(INDEX(Reactivos!$D$2:$D$435,MATCH(B1965,Reactivos!$A$2:$A$435,0)),"ID no existe"))</f>
        <v/>
      </c>
      <c r="D1965" s="8"/>
      <c r="E1965" s="7" t="str">
        <f>IF(B1965="","",IFERROR(INDEX(Reactivos!$H$2:$H$435,MATCH(B1965,Reactivos!$A$2:$A$435,0)),""))</f>
        <v/>
      </c>
      <c r="F1965" s="8"/>
      <c r="G1965" s="8"/>
      <c r="H1965" s="13"/>
    </row>
    <row r="1966" spans="1:8" x14ac:dyDescent="0.3">
      <c r="A1966" s="11"/>
      <c r="B1966" s="8"/>
      <c r="C1966" s="7" t="str">
        <f>IF(B1966="","",IFERROR(INDEX(Reactivos!$D$2:$D$435,MATCH(B1966,Reactivos!$A$2:$A$435,0)),"ID no existe"))</f>
        <v/>
      </c>
      <c r="D1966" s="8"/>
      <c r="E1966" s="7" t="str">
        <f>IF(B1966="","",IFERROR(INDEX(Reactivos!$H$2:$H$435,MATCH(B1966,Reactivos!$A$2:$A$435,0)),""))</f>
        <v/>
      </c>
      <c r="F1966" s="8"/>
      <c r="G1966" s="8"/>
      <c r="H1966" s="13"/>
    </row>
    <row r="1967" spans="1:8" x14ac:dyDescent="0.3">
      <c r="A1967" s="11"/>
      <c r="B1967" s="8"/>
      <c r="C1967" s="7" t="str">
        <f>IF(B1967="","",IFERROR(INDEX(Reactivos!$D$2:$D$435,MATCH(B1967,Reactivos!$A$2:$A$435,0)),"ID no existe"))</f>
        <v/>
      </c>
      <c r="D1967" s="8"/>
      <c r="E1967" s="7" t="str">
        <f>IF(B1967="","",IFERROR(INDEX(Reactivos!$H$2:$H$435,MATCH(B1967,Reactivos!$A$2:$A$435,0)),""))</f>
        <v/>
      </c>
      <c r="F1967" s="8"/>
      <c r="G1967" s="8"/>
      <c r="H1967" s="13"/>
    </row>
    <row r="1968" spans="1:8" x14ac:dyDescent="0.3">
      <c r="A1968" s="11"/>
      <c r="B1968" s="8"/>
      <c r="C1968" s="7" t="str">
        <f>IF(B1968="","",IFERROR(INDEX(Reactivos!$D$2:$D$435,MATCH(B1968,Reactivos!$A$2:$A$435,0)),"ID no existe"))</f>
        <v/>
      </c>
      <c r="D1968" s="8"/>
      <c r="E1968" s="7" t="str">
        <f>IF(B1968="","",IFERROR(INDEX(Reactivos!$H$2:$H$435,MATCH(B1968,Reactivos!$A$2:$A$435,0)),""))</f>
        <v/>
      </c>
      <c r="F1968" s="8"/>
      <c r="G1968" s="8"/>
      <c r="H1968" s="13"/>
    </row>
    <row r="1969" spans="1:8" x14ac:dyDescent="0.3">
      <c r="A1969" s="11"/>
      <c r="B1969" s="8"/>
      <c r="C1969" s="7" t="str">
        <f>IF(B1969="","",IFERROR(INDEX(Reactivos!$D$2:$D$435,MATCH(B1969,Reactivos!$A$2:$A$435,0)),"ID no existe"))</f>
        <v/>
      </c>
      <c r="D1969" s="8"/>
      <c r="E1969" s="7" t="str">
        <f>IF(B1969="","",IFERROR(INDEX(Reactivos!$H$2:$H$435,MATCH(B1969,Reactivos!$A$2:$A$435,0)),""))</f>
        <v/>
      </c>
      <c r="F1969" s="8"/>
      <c r="G1969" s="8"/>
      <c r="H1969" s="13"/>
    </row>
    <row r="1970" spans="1:8" x14ac:dyDescent="0.3">
      <c r="A1970" s="11"/>
      <c r="B1970" s="8"/>
      <c r="C1970" s="7" t="str">
        <f>IF(B1970="","",IFERROR(INDEX(Reactivos!$D$2:$D$435,MATCH(B1970,Reactivos!$A$2:$A$435,0)),"ID no existe"))</f>
        <v/>
      </c>
      <c r="D1970" s="8"/>
      <c r="E1970" s="7" t="str">
        <f>IF(B1970="","",IFERROR(INDEX(Reactivos!$H$2:$H$435,MATCH(B1970,Reactivos!$A$2:$A$435,0)),""))</f>
        <v/>
      </c>
      <c r="F1970" s="8"/>
      <c r="G1970" s="8"/>
      <c r="H1970" s="13"/>
    </row>
    <row r="1971" spans="1:8" x14ac:dyDescent="0.3">
      <c r="A1971" s="11"/>
      <c r="B1971" s="8"/>
      <c r="C1971" s="7" t="str">
        <f>IF(B1971="","",IFERROR(INDEX(Reactivos!$D$2:$D$435,MATCH(B1971,Reactivos!$A$2:$A$435,0)),"ID no existe"))</f>
        <v/>
      </c>
      <c r="D1971" s="8"/>
      <c r="E1971" s="7" t="str">
        <f>IF(B1971="","",IFERROR(INDEX(Reactivos!$H$2:$H$435,MATCH(B1971,Reactivos!$A$2:$A$435,0)),""))</f>
        <v/>
      </c>
      <c r="F1971" s="8"/>
      <c r="G1971" s="8"/>
      <c r="H1971" s="13"/>
    </row>
    <row r="1972" spans="1:8" x14ac:dyDescent="0.3">
      <c r="A1972" s="11"/>
      <c r="B1972" s="8"/>
      <c r="C1972" s="7" t="str">
        <f>IF(B1972="","",IFERROR(INDEX(Reactivos!$D$2:$D$435,MATCH(B1972,Reactivos!$A$2:$A$435,0)),"ID no existe"))</f>
        <v/>
      </c>
      <c r="D1972" s="8"/>
      <c r="E1972" s="7" t="str">
        <f>IF(B1972="","",IFERROR(INDEX(Reactivos!$H$2:$H$435,MATCH(B1972,Reactivos!$A$2:$A$435,0)),""))</f>
        <v/>
      </c>
      <c r="F1972" s="8"/>
      <c r="G1972" s="8"/>
      <c r="H1972" s="13"/>
    </row>
    <row r="1973" spans="1:8" x14ac:dyDescent="0.3">
      <c r="A1973" s="11"/>
      <c r="B1973" s="8"/>
      <c r="C1973" s="7" t="str">
        <f>IF(B1973="","",IFERROR(INDEX(Reactivos!$D$2:$D$435,MATCH(B1973,Reactivos!$A$2:$A$435,0)),"ID no existe"))</f>
        <v/>
      </c>
      <c r="D1973" s="8"/>
      <c r="E1973" s="7" t="str">
        <f>IF(B1973="","",IFERROR(INDEX(Reactivos!$H$2:$H$435,MATCH(B1973,Reactivos!$A$2:$A$435,0)),""))</f>
        <v/>
      </c>
      <c r="F1973" s="8"/>
      <c r="G1973" s="8"/>
      <c r="H1973" s="13"/>
    </row>
    <row r="1974" spans="1:8" x14ac:dyDescent="0.3">
      <c r="A1974" s="11"/>
      <c r="B1974" s="8"/>
      <c r="C1974" s="7" t="str">
        <f>IF(B1974="","",IFERROR(INDEX(Reactivos!$D$2:$D$435,MATCH(B1974,Reactivos!$A$2:$A$435,0)),"ID no existe"))</f>
        <v/>
      </c>
      <c r="D1974" s="8"/>
      <c r="E1974" s="7" t="str">
        <f>IF(B1974="","",IFERROR(INDEX(Reactivos!$H$2:$H$435,MATCH(B1974,Reactivos!$A$2:$A$435,0)),""))</f>
        <v/>
      </c>
      <c r="F1974" s="8"/>
      <c r="G1974" s="8"/>
      <c r="H1974" s="13"/>
    </row>
    <row r="1975" spans="1:8" x14ac:dyDescent="0.3">
      <c r="A1975" s="11"/>
      <c r="B1975" s="8"/>
      <c r="C1975" s="7" t="str">
        <f>IF(B1975="","",IFERROR(INDEX(Reactivos!$D$2:$D$435,MATCH(B1975,Reactivos!$A$2:$A$435,0)),"ID no existe"))</f>
        <v/>
      </c>
      <c r="D1975" s="8"/>
      <c r="E1975" s="7" t="str">
        <f>IF(B1975="","",IFERROR(INDEX(Reactivos!$H$2:$H$435,MATCH(B1975,Reactivos!$A$2:$A$435,0)),""))</f>
        <v/>
      </c>
      <c r="F1975" s="8"/>
      <c r="G1975" s="8"/>
      <c r="H1975" s="13"/>
    </row>
    <row r="1976" spans="1:8" x14ac:dyDescent="0.3">
      <c r="A1976" s="11"/>
      <c r="B1976" s="8"/>
      <c r="C1976" s="7" t="str">
        <f>IF(B1976="","",IFERROR(INDEX(Reactivos!$D$2:$D$435,MATCH(B1976,Reactivos!$A$2:$A$435,0)),"ID no existe"))</f>
        <v/>
      </c>
      <c r="D1976" s="8"/>
      <c r="E1976" s="7" t="str">
        <f>IF(B1976="","",IFERROR(INDEX(Reactivos!$H$2:$H$435,MATCH(B1976,Reactivos!$A$2:$A$435,0)),""))</f>
        <v/>
      </c>
      <c r="F1976" s="8"/>
      <c r="G1976" s="8"/>
      <c r="H1976" s="13"/>
    </row>
    <row r="1977" spans="1:8" x14ac:dyDescent="0.3">
      <c r="A1977" s="11"/>
      <c r="B1977" s="8"/>
      <c r="C1977" s="7" t="str">
        <f>IF(B1977="","",IFERROR(INDEX(Reactivos!$D$2:$D$435,MATCH(B1977,Reactivos!$A$2:$A$435,0)),"ID no existe"))</f>
        <v/>
      </c>
      <c r="D1977" s="8"/>
      <c r="E1977" s="7" t="str">
        <f>IF(B1977="","",IFERROR(INDEX(Reactivos!$H$2:$H$435,MATCH(B1977,Reactivos!$A$2:$A$435,0)),""))</f>
        <v/>
      </c>
      <c r="F1977" s="8"/>
      <c r="G1977" s="8"/>
      <c r="H1977" s="13"/>
    </row>
    <row r="1978" spans="1:8" x14ac:dyDescent="0.3">
      <c r="A1978" s="11"/>
      <c r="B1978" s="8"/>
      <c r="C1978" s="7" t="str">
        <f>IF(B1978="","",IFERROR(INDEX(Reactivos!$D$2:$D$435,MATCH(B1978,Reactivos!$A$2:$A$435,0)),"ID no existe"))</f>
        <v/>
      </c>
      <c r="D1978" s="8"/>
      <c r="E1978" s="7" t="str">
        <f>IF(B1978="","",IFERROR(INDEX(Reactivos!$H$2:$H$435,MATCH(B1978,Reactivos!$A$2:$A$435,0)),""))</f>
        <v/>
      </c>
      <c r="F1978" s="8"/>
      <c r="G1978" s="8"/>
      <c r="H1978" s="13"/>
    </row>
    <row r="1979" spans="1:8" x14ac:dyDescent="0.3">
      <c r="A1979" s="11"/>
      <c r="B1979" s="8"/>
      <c r="C1979" s="7" t="str">
        <f>IF(B1979="","",IFERROR(INDEX(Reactivos!$D$2:$D$435,MATCH(B1979,Reactivos!$A$2:$A$435,0)),"ID no existe"))</f>
        <v/>
      </c>
      <c r="D1979" s="8"/>
      <c r="E1979" s="7" t="str">
        <f>IF(B1979="","",IFERROR(INDEX(Reactivos!$H$2:$H$435,MATCH(B1979,Reactivos!$A$2:$A$435,0)),""))</f>
        <v/>
      </c>
      <c r="F1979" s="8"/>
      <c r="G1979" s="8"/>
      <c r="H1979" s="13"/>
    </row>
    <row r="1980" spans="1:8" x14ac:dyDescent="0.3">
      <c r="A1980" s="11"/>
      <c r="B1980" s="8"/>
      <c r="C1980" s="7" t="str">
        <f>IF(B1980="","",IFERROR(INDEX(Reactivos!$D$2:$D$435,MATCH(B1980,Reactivos!$A$2:$A$435,0)),"ID no existe"))</f>
        <v/>
      </c>
      <c r="D1980" s="8"/>
      <c r="E1980" s="7" t="str">
        <f>IF(B1980="","",IFERROR(INDEX(Reactivos!$H$2:$H$435,MATCH(B1980,Reactivos!$A$2:$A$435,0)),""))</f>
        <v/>
      </c>
      <c r="F1980" s="8"/>
      <c r="G1980" s="8"/>
      <c r="H1980" s="13"/>
    </row>
    <row r="1981" spans="1:8" x14ac:dyDescent="0.3">
      <c r="A1981" s="11"/>
      <c r="B1981" s="8"/>
      <c r="C1981" s="7" t="str">
        <f>IF(B1981="","",IFERROR(INDEX(Reactivos!$D$2:$D$435,MATCH(B1981,Reactivos!$A$2:$A$435,0)),"ID no existe"))</f>
        <v/>
      </c>
      <c r="D1981" s="8"/>
      <c r="E1981" s="7" t="str">
        <f>IF(B1981="","",IFERROR(INDEX(Reactivos!$H$2:$H$435,MATCH(B1981,Reactivos!$A$2:$A$435,0)),""))</f>
        <v/>
      </c>
      <c r="F1981" s="8"/>
      <c r="G1981" s="8"/>
      <c r="H1981" s="13"/>
    </row>
    <row r="1982" spans="1:8" x14ac:dyDescent="0.3">
      <c r="A1982" s="11"/>
      <c r="B1982" s="8"/>
      <c r="C1982" s="7" t="str">
        <f>IF(B1982="","",IFERROR(INDEX(Reactivos!$D$2:$D$435,MATCH(B1982,Reactivos!$A$2:$A$435,0)),"ID no existe"))</f>
        <v/>
      </c>
      <c r="D1982" s="8"/>
      <c r="E1982" s="7" t="str">
        <f>IF(B1982="","",IFERROR(INDEX(Reactivos!$H$2:$H$435,MATCH(B1982,Reactivos!$A$2:$A$435,0)),""))</f>
        <v/>
      </c>
      <c r="F1982" s="8"/>
      <c r="G1982" s="8"/>
      <c r="H1982" s="13"/>
    </row>
    <row r="1983" spans="1:8" x14ac:dyDescent="0.3">
      <c r="A1983" s="11"/>
      <c r="B1983" s="8"/>
      <c r="C1983" s="7" t="str">
        <f>IF(B1983="","",IFERROR(INDEX(Reactivos!$D$2:$D$435,MATCH(B1983,Reactivos!$A$2:$A$435,0)),"ID no existe"))</f>
        <v/>
      </c>
      <c r="D1983" s="8"/>
      <c r="E1983" s="7" t="str">
        <f>IF(B1983="","",IFERROR(INDEX(Reactivos!$H$2:$H$435,MATCH(B1983,Reactivos!$A$2:$A$435,0)),""))</f>
        <v/>
      </c>
      <c r="F1983" s="8"/>
      <c r="G1983" s="8"/>
      <c r="H1983" s="13"/>
    </row>
    <row r="1984" spans="1:8" x14ac:dyDescent="0.3">
      <c r="A1984" s="11"/>
      <c r="B1984" s="8"/>
      <c r="C1984" s="7" t="str">
        <f>IF(B1984="","",IFERROR(INDEX(Reactivos!$D$2:$D$435,MATCH(B1984,Reactivos!$A$2:$A$435,0)),"ID no existe"))</f>
        <v/>
      </c>
      <c r="D1984" s="8"/>
      <c r="E1984" s="7" t="str">
        <f>IF(B1984="","",IFERROR(INDEX(Reactivos!$H$2:$H$435,MATCH(B1984,Reactivos!$A$2:$A$435,0)),""))</f>
        <v/>
      </c>
      <c r="F1984" s="8"/>
      <c r="G1984" s="8"/>
      <c r="H1984" s="13"/>
    </row>
    <row r="1985" spans="1:8" x14ac:dyDescent="0.3">
      <c r="A1985" s="11"/>
      <c r="B1985" s="8"/>
      <c r="C1985" s="7" t="str">
        <f>IF(B1985="","",IFERROR(INDEX(Reactivos!$D$2:$D$435,MATCH(B1985,Reactivos!$A$2:$A$435,0)),"ID no existe"))</f>
        <v/>
      </c>
      <c r="D1985" s="8"/>
      <c r="E1985" s="7" t="str">
        <f>IF(B1985="","",IFERROR(INDEX(Reactivos!$H$2:$H$435,MATCH(B1985,Reactivos!$A$2:$A$435,0)),""))</f>
        <v/>
      </c>
      <c r="F1985" s="8"/>
      <c r="G1985" s="8"/>
      <c r="H1985" s="13"/>
    </row>
    <row r="1986" spans="1:8" x14ac:dyDescent="0.3">
      <c r="A1986" s="11"/>
      <c r="B1986" s="8"/>
      <c r="C1986" s="7" t="str">
        <f>IF(B1986="","",IFERROR(INDEX(Reactivos!$D$2:$D$435,MATCH(B1986,Reactivos!$A$2:$A$435,0)),"ID no existe"))</f>
        <v/>
      </c>
      <c r="D1986" s="8"/>
      <c r="E1986" s="7" t="str">
        <f>IF(B1986="","",IFERROR(INDEX(Reactivos!$H$2:$H$435,MATCH(B1986,Reactivos!$A$2:$A$435,0)),""))</f>
        <v/>
      </c>
      <c r="F1986" s="8"/>
      <c r="G1986" s="8"/>
      <c r="H1986" s="13"/>
    </row>
    <row r="1987" spans="1:8" x14ac:dyDescent="0.3">
      <c r="A1987" s="11"/>
      <c r="B1987" s="8"/>
      <c r="C1987" s="7" t="str">
        <f>IF(B1987="","",IFERROR(INDEX(Reactivos!$D$2:$D$435,MATCH(B1987,Reactivos!$A$2:$A$435,0)),"ID no existe"))</f>
        <v/>
      </c>
      <c r="D1987" s="8"/>
      <c r="E1987" s="7" t="str">
        <f>IF(B1987="","",IFERROR(INDEX(Reactivos!$H$2:$H$435,MATCH(B1987,Reactivos!$A$2:$A$435,0)),""))</f>
        <v/>
      </c>
      <c r="F1987" s="8"/>
      <c r="G1987" s="8"/>
      <c r="H1987" s="13"/>
    </row>
    <row r="1988" spans="1:8" x14ac:dyDescent="0.3">
      <c r="A1988" s="11"/>
      <c r="B1988" s="8"/>
      <c r="C1988" s="7" t="str">
        <f>IF(B1988="","",IFERROR(INDEX(Reactivos!$D$2:$D$435,MATCH(B1988,Reactivos!$A$2:$A$435,0)),"ID no existe"))</f>
        <v/>
      </c>
      <c r="D1988" s="8"/>
      <c r="E1988" s="7" t="str">
        <f>IF(B1988="","",IFERROR(INDEX(Reactivos!$H$2:$H$435,MATCH(B1988,Reactivos!$A$2:$A$435,0)),""))</f>
        <v/>
      </c>
      <c r="F1988" s="8"/>
      <c r="G1988" s="8"/>
      <c r="H1988" s="13"/>
    </row>
    <row r="1989" spans="1:8" x14ac:dyDescent="0.3">
      <c r="A1989" s="11"/>
      <c r="B1989" s="8"/>
      <c r="C1989" s="7" t="str">
        <f>IF(B1989="","",IFERROR(INDEX(Reactivos!$D$2:$D$435,MATCH(B1989,Reactivos!$A$2:$A$435,0)),"ID no existe"))</f>
        <v/>
      </c>
      <c r="D1989" s="8"/>
      <c r="E1989" s="7" t="str">
        <f>IF(B1989="","",IFERROR(INDEX(Reactivos!$H$2:$H$435,MATCH(B1989,Reactivos!$A$2:$A$435,0)),""))</f>
        <v/>
      </c>
      <c r="F1989" s="8"/>
      <c r="G1989" s="8"/>
      <c r="H1989" s="13"/>
    </row>
    <row r="1990" spans="1:8" x14ac:dyDescent="0.3">
      <c r="A1990" s="11"/>
      <c r="B1990" s="8"/>
      <c r="C1990" s="7" t="str">
        <f>IF(B1990="","",IFERROR(INDEX(Reactivos!$D$2:$D$435,MATCH(B1990,Reactivos!$A$2:$A$435,0)),"ID no existe"))</f>
        <v/>
      </c>
      <c r="D1990" s="8"/>
      <c r="E1990" s="7" t="str">
        <f>IF(B1990="","",IFERROR(INDEX(Reactivos!$H$2:$H$435,MATCH(B1990,Reactivos!$A$2:$A$435,0)),""))</f>
        <v/>
      </c>
      <c r="F1990" s="8"/>
      <c r="G1990" s="8"/>
      <c r="H1990" s="13"/>
    </row>
    <row r="1991" spans="1:8" x14ac:dyDescent="0.3">
      <c r="A1991" s="11"/>
      <c r="B1991" s="8"/>
      <c r="C1991" s="7" t="str">
        <f>IF(B1991="","",IFERROR(INDEX(Reactivos!$D$2:$D$435,MATCH(B1991,Reactivos!$A$2:$A$435,0)),"ID no existe"))</f>
        <v/>
      </c>
      <c r="D1991" s="8"/>
      <c r="E1991" s="7" t="str">
        <f>IF(B1991="","",IFERROR(INDEX(Reactivos!$H$2:$H$435,MATCH(B1991,Reactivos!$A$2:$A$435,0)),""))</f>
        <v/>
      </c>
      <c r="F1991" s="8"/>
      <c r="G1991" s="8"/>
      <c r="H1991" s="13"/>
    </row>
    <row r="1992" spans="1:8" x14ac:dyDescent="0.3">
      <c r="A1992" s="11"/>
      <c r="B1992" s="8"/>
      <c r="C1992" s="7" t="str">
        <f>IF(B1992="","",IFERROR(INDEX(Reactivos!$D$2:$D$435,MATCH(B1992,Reactivos!$A$2:$A$435,0)),"ID no existe"))</f>
        <v/>
      </c>
      <c r="D1992" s="8"/>
      <c r="E1992" s="7" t="str">
        <f>IF(B1992="","",IFERROR(INDEX(Reactivos!$H$2:$H$435,MATCH(B1992,Reactivos!$A$2:$A$435,0)),""))</f>
        <v/>
      </c>
      <c r="F1992" s="8"/>
      <c r="G1992" s="8"/>
      <c r="H1992" s="13"/>
    </row>
    <row r="1993" spans="1:8" x14ac:dyDescent="0.3">
      <c r="A1993" s="11"/>
      <c r="B1993" s="8"/>
      <c r="C1993" s="7" t="str">
        <f>IF(B1993="","",IFERROR(INDEX(Reactivos!$D$2:$D$435,MATCH(B1993,Reactivos!$A$2:$A$435,0)),"ID no existe"))</f>
        <v/>
      </c>
      <c r="D1993" s="8"/>
      <c r="E1993" s="7" t="str">
        <f>IF(B1993="","",IFERROR(INDEX(Reactivos!$H$2:$H$435,MATCH(B1993,Reactivos!$A$2:$A$435,0)),""))</f>
        <v/>
      </c>
      <c r="F1993" s="8"/>
      <c r="G1993" s="8"/>
      <c r="H1993" s="13"/>
    </row>
    <row r="1994" spans="1:8" x14ac:dyDescent="0.3">
      <c r="A1994" s="11"/>
      <c r="B1994" s="8"/>
      <c r="C1994" s="7" t="str">
        <f>IF(B1994="","",IFERROR(INDEX(Reactivos!$D$2:$D$435,MATCH(B1994,Reactivos!$A$2:$A$435,0)),"ID no existe"))</f>
        <v/>
      </c>
      <c r="D1994" s="8"/>
      <c r="E1994" s="7" t="str">
        <f>IF(B1994="","",IFERROR(INDEX(Reactivos!$H$2:$H$435,MATCH(B1994,Reactivos!$A$2:$A$435,0)),""))</f>
        <v/>
      </c>
      <c r="F1994" s="8"/>
      <c r="G1994" s="8"/>
      <c r="H1994" s="13"/>
    </row>
    <row r="1995" spans="1:8" x14ac:dyDescent="0.3">
      <c r="A1995" s="11"/>
      <c r="B1995" s="8"/>
      <c r="C1995" s="7" t="str">
        <f>IF(B1995="","",IFERROR(INDEX(Reactivos!$D$2:$D$435,MATCH(B1995,Reactivos!$A$2:$A$435,0)),"ID no existe"))</f>
        <v/>
      </c>
      <c r="D1995" s="8"/>
      <c r="E1995" s="7" t="str">
        <f>IF(B1995="","",IFERROR(INDEX(Reactivos!$H$2:$H$435,MATCH(B1995,Reactivos!$A$2:$A$435,0)),""))</f>
        <v/>
      </c>
      <c r="F1995" s="8"/>
      <c r="G1995" s="8"/>
      <c r="H1995" s="13"/>
    </row>
    <row r="1996" spans="1:8" x14ac:dyDescent="0.3">
      <c r="A1996" s="11"/>
      <c r="B1996" s="8"/>
      <c r="C1996" s="7" t="str">
        <f>IF(B1996="","",IFERROR(INDEX(Reactivos!$D$2:$D$435,MATCH(B1996,Reactivos!$A$2:$A$435,0)),"ID no existe"))</f>
        <v/>
      </c>
      <c r="D1996" s="8"/>
      <c r="E1996" s="7" t="str">
        <f>IF(B1996="","",IFERROR(INDEX(Reactivos!$H$2:$H$435,MATCH(B1996,Reactivos!$A$2:$A$435,0)),""))</f>
        <v/>
      </c>
      <c r="F1996" s="8"/>
      <c r="G1996" s="8"/>
      <c r="H1996" s="13"/>
    </row>
    <row r="1997" spans="1:8" x14ac:dyDescent="0.3">
      <c r="A1997" s="11"/>
      <c r="B1997" s="8"/>
      <c r="C1997" s="7" t="str">
        <f>IF(B1997="","",IFERROR(INDEX(Reactivos!$D$2:$D$435,MATCH(B1997,Reactivos!$A$2:$A$435,0)),"ID no existe"))</f>
        <v/>
      </c>
      <c r="D1997" s="8"/>
      <c r="E1997" s="7" t="str">
        <f>IF(B1997="","",IFERROR(INDEX(Reactivos!$H$2:$H$435,MATCH(B1997,Reactivos!$A$2:$A$435,0)),""))</f>
        <v/>
      </c>
      <c r="F1997" s="8"/>
      <c r="G1997" s="8"/>
      <c r="H1997" s="13"/>
    </row>
    <row r="1998" spans="1:8" x14ac:dyDescent="0.3">
      <c r="A1998" s="11"/>
      <c r="B1998" s="8"/>
      <c r="C1998" s="7" t="str">
        <f>IF(B1998="","",IFERROR(INDEX(Reactivos!$D$2:$D$435,MATCH(B1998,Reactivos!$A$2:$A$435,0)),"ID no existe"))</f>
        <v/>
      </c>
      <c r="D1998" s="8"/>
      <c r="E1998" s="7" t="str">
        <f>IF(B1998="","",IFERROR(INDEX(Reactivos!$H$2:$H$435,MATCH(B1998,Reactivos!$A$2:$A$435,0)),""))</f>
        <v/>
      </c>
      <c r="F1998" s="8"/>
      <c r="G1998" s="8"/>
      <c r="H1998" s="13"/>
    </row>
    <row r="1999" spans="1:8" x14ac:dyDescent="0.3">
      <c r="A1999" s="11"/>
      <c r="B1999" s="8"/>
      <c r="C1999" s="7" t="str">
        <f>IF(B1999="","",IFERROR(INDEX(Reactivos!$D$2:$D$435,MATCH(B1999,Reactivos!$A$2:$A$435,0)),"ID no existe"))</f>
        <v/>
      </c>
      <c r="D1999" s="8"/>
      <c r="E1999" s="7" t="str">
        <f>IF(B1999="","",IFERROR(INDEX(Reactivos!$H$2:$H$435,MATCH(B1999,Reactivos!$A$2:$A$435,0)),""))</f>
        <v/>
      </c>
      <c r="F1999" s="8"/>
      <c r="G1999" s="8"/>
      <c r="H1999" s="13"/>
    </row>
    <row r="2000" spans="1:8" x14ac:dyDescent="0.3">
      <c r="A2000" s="11"/>
      <c r="B2000" s="8"/>
      <c r="C2000" s="7" t="str">
        <f>IF(B2000="","",IFERROR(INDEX(Reactivos!$D$2:$D$435,MATCH(B2000,Reactivos!$A$2:$A$435,0)),"ID no existe"))</f>
        <v/>
      </c>
      <c r="D2000" s="8"/>
      <c r="E2000" s="7" t="str">
        <f>IF(B2000="","",IFERROR(INDEX(Reactivos!$H$2:$H$435,MATCH(B2000,Reactivos!$A$2:$A$435,0)),""))</f>
        <v/>
      </c>
      <c r="F2000" s="8"/>
      <c r="G2000" s="8"/>
      <c r="H2000" s="13"/>
    </row>
    <row r="2001" spans="1:8" x14ac:dyDescent="0.3">
      <c r="A2001" s="11"/>
      <c r="B2001" s="8"/>
      <c r="C2001" s="7" t="str">
        <f>IF(B2001="","",IFERROR(INDEX(Reactivos!$D$2:$D$435,MATCH(B2001,Reactivos!$A$2:$A$435,0)),"ID no existe"))</f>
        <v/>
      </c>
      <c r="D2001" s="8"/>
      <c r="E2001" s="7" t="str">
        <f>IF(B2001="","",IFERROR(INDEX(Reactivos!$H$2:$H$435,MATCH(B2001,Reactivos!$A$2:$A$435,0)),""))</f>
        <v/>
      </c>
      <c r="F2001" s="8"/>
      <c r="G2001" s="8"/>
      <c r="H2001" s="13"/>
    </row>
  </sheetData>
  <conditionalFormatting sqref="C2:C2001">
    <cfRule type="expression" dxfId="7" priority="1">
      <formula>C2="ID no existe"</formula>
    </cfRule>
  </conditionalFormatting>
  <dataValidations count="2">
    <dataValidation type="decimal" operator="greaterThan" allowBlank="1" showErrorMessage="1" error="Escriba la cantidad usada como número positivo (si fue un error, registre otra fila con la corrección en Observación)." sqref="D2:D2001" xr:uid="{00000000-0002-0000-0300-000001000000}">
      <formula1>0</formula1>
    </dataValidation>
    <dataValidation type="date" operator="greaterThan" allowBlank="1" showErrorMessage="1" error="Fecha inválida" sqref="A2:A2001" xr:uid="{00000000-0002-0000-0300-000002000000}">
      <formula1>32874</formula1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300-000002000000}">
            <xm:f>AND(D2&lt;&gt;"",B2&lt;&gt;"",IFERROR(INDEX(Reactivos!$M$2:$M$435,MATCH(B2,Reactivos!$A$2:$A$435,0))&lt;0,FALSE))</xm:f>
            <x14:dxf>
              <fill>
                <patternFill patternType="solid">
                  <fgColor rgb="FFF8CBAD"/>
                </patternFill>
              </fill>
            </x14:dxf>
          </x14:cfRule>
          <xm:sqref>D2:D2001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="Elija un ID de la hoja Reactivos (escriba parte del ID para buscarlo)." xr:uid="{00000000-0002-0000-0300-000000000000}">
          <x14:formula1>
            <xm:f>Reactivos!$A$2:$A$435</xm:f>
          </x14:formula1>
          <xm:sqref>B2:B2001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86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13" customWidth="1"/>
    <col min="2" max="2" width="9" customWidth="1"/>
    <col min="3" max="3" width="38" customWidth="1"/>
    <col min="4" max="4" width="34" customWidth="1"/>
    <col min="5" max="7" width="14" customWidth="1"/>
    <col min="8" max="8" width="13" customWidth="1"/>
    <col min="9" max="10" width="12" customWidth="1"/>
    <col min="11" max="11" width="10" customWidth="1"/>
    <col min="12" max="12" width="9" customWidth="1"/>
    <col min="13" max="13" width="16" customWidth="1"/>
    <col min="14" max="14" width="10" customWidth="1"/>
    <col min="15" max="15" width="22" customWidth="1"/>
    <col min="16" max="16" width="34" customWidth="1"/>
    <col min="17" max="17" width="16" customWidth="1"/>
    <col min="18" max="18" width="12" customWidth="1"/>
    <col min="19" max="19" width="36" customWidth="1"/>
    <col min="20" max="20" width="48" customWidth="1"/>
  </cols>
  <sheetData>
    <row r="1" spans="1:20" ht="42" customHeight="1" x14ac:dyDescent="0.3">
      <c r="A1" s="5" t="s">
        <v>79</v>
      </c>
      <c r="B1" s="6" t="s">
        <v>80</v>
      </c>
      <c r="C1" s="5" t="s">
        <v>81</v>
      </c>
      <c r="D1" s="6" t="s">
        <v>1761</v>
      </c>
      <c r="E1" s="6" t="s">
        <v>92</v>
      </c>
      <c r="F1" s="6" t="s">
        <v>1762</v>
      </c>
      <c r="G1" s="6" t="s">
        <v>1763</v>
      </c>
      <c r="H1" s="6" t="s">
        <v>1764</v>
      </c>
      <c r="I1" s="6" t="s">
        <v>1765</v>
      </c>
      <c r="J1" s="6" t="s">
        <v>28</v>
      </c>
      <c r="K1" s="6" t="s">
        <v>27</v>
      </c>
      <c r="L1" s="6" t="s">
        <v>1766</v>
      </c>
      <c r="M1" s="6" t="s">
        <v>1767</v>
      </c>
      <c r="N1" s="6" t="s">
        <v>23</v>
      </c>
      <c r="O1" s="6" t="s">
        <v>24</v>
      </c>
      <c r="P1" s="5" t="s">
        <v>1768</v>
      </c>
      <c r="Q1" s="6" t="s">
        <v>1769</v>
      </c>
      <c r="R1" s="6" t="s">
        <v>1770</v>
      </c>
      <c r="S1" s="6" t="s">
        <v>98</v>
      </c>
      <c r="T1" s="5" t="s">
        <v>99</v>
      </c>
    </row>
    <row r="2" spans="1:20" x14ac:dyDescent="0.3">
      <c r="A2" s="7" t="s">
        <v>1771</v>
      </c>
      <c r="B2" s="8" t="s">
        <v>47</v>
      </c>
      <c r="C2" s="9"/>
      <c r="D2" s="8" t="s">
        <v>1772</v>
      </c>
      <c r="E2" s="8" t="s">
        <v>1773</v>
      </c>
      <c r="F2" s="8" t="s">
        <v>1774</v>
      </c>
      <c r="G2" s="8" t="s">
        <v>1775</v>
      </c>
      <c r="H2" s="8" t="s">
        <v>1776</v>
      </c>
      <c r="I2" s="8" t="s">
        <v>1777</v>
      </c>
      <c r="J2" s="8" t="s">
        <v>39</v>
      </c>
      <c r="K2" s="8"/>
      <c r="L2" s="8">
        <v>1</v>
      </c>
      <c r="M2" s="8" t="s">
        <v>33</v>
      </c>
      <c r="N2" s="8" t="s">
        <v>34</v>
      </c>
      <c r="O2" s="8"/>
      <c r="P2" s="7" t="str">
        <f t="shared" ref="P2:P33" si="0">IF(D2="","",IF(M2="Baja","No: dado de baja",IF(M2="Fuera de servicio","No: fuera de servicio",IF(M2="En mantenimiento","No: en mantenimiento",IF(O2&lt;&gt;"","Sí, pero está en "&amp;O2&amp;": hacer el traslado a Carepa","Sí")))))</f>
        <v>Sí</v>
      </c>
      <c r="Q2" s="8"/>
      <c r="R2" s="11"/>
      <c r="S2" s="13"/>
      <c r="T2" s="9" t="s">
        <v>1778</v>
      </c>
    </row>
    <row r="3" spans="1:20" x14ac:dyDescent="0.3">
      <c r="A3" s="7" t="s">
        <v>1779</v>
      </c>
      <c r="B3" s="8" t="s">
        <v>47</v>
      </c>
      <c r="C3" s="9"/>
      <c r="D3" s="8" t="s">
        <v>1772</v>
      </c>
      <c r="E3" s="8" t="s">
        <v>1773</v>
      </c>
      <c r="F3" s="8" t="s">
        <v>1774</v>
      </c>
      <c r="G3" s="8" t="s">
        <v>1780</v>
      </c>
      <c r="H3" s="8" t="s">
        <v>1781</v>
      </c>
      <c r="I3" s="8" t="s">
        <v>1782</v>
      </c>
      <c r="J3" s="8" t="s">
        <v>39</v>
      </c>
      <c r="K3" s="8"/>
      <c r="L3" s="8">
        <v>1</v>
      </c>
      <c r="M3" s="8" t="s">
        <v>33</v>
      </c>
      <c r="N3" s="8" t="s">
        <v>34</v>
      </c>
      <c r="O3" s="8"/>
      <c r="P3" s="7" t="str">
        <f t="shared" si="0"/>
        <v>Sí</v>
      </c>
      <c r="Q3" s="8"/>
      <c r="R3" s="11"/>
      <c r="S3" s="13"/>
      <c r="T3" s="9" t="s">
        <v>1783</v>
      </c>
    </row>
    <row r="4" spans="1:20" x14ac:dyDescent="0.3">
      <c r="A4" s="7" t="s">
        <v>1784</v>
      </c>
      <c r="B4" s="8" t="s">
        <v>47</v>
      </c>
      <c r="C4" s="9"/>
      <c r="D4" s="8" t="s">
        <v>1772</v>
      </c>
      <c r="E4" s="8" t="s">
        <v>1773</v>
      </c>
      <c r="F4" s="8" t="s">
        <v>1774</v>
      </c>
      <c r="G4" s="8" t="s">
        <v>1785</v>
      </c>
      <c r="H4" s="8" t="s">
        <v>1786</v>
      </c>
      <c r="I4" s="8" t="s">
        <v>1787</v>
      </c>
      <c r="J4" s="8" t="s">
        <v>39</v>
      </c>
      <c r="K4" s="8"/>
      <c r="L4" s="8">
        <v>1</v>
      </c>
      <c r="M4" s="8" t="s">
        <v>33</v>
      </c>
      <c r="N4" s="8" t="s">
        <v>34</v>
      </c>
      <c r="O4" s="8"/>
      <c r="P4" s="7" t="str">
        <f t="shared" si="0"/>
        <v>Sí</v>
      </c>
      <c r="Q4" s="8"/>
      <c r="R4" s="11"/>
      <c r="S4" s="13"/>
      <c r="T4" s="9" t="s">
        <v>1788</v>
      </c>
    </row>
    <row r="5" spans="1:20" x14ac:dyDescent="0.3">
      <c r="A5" s="7" t="s">
        <v>1789</v>
      </c>
      <c r="B5" s="8" t="s">
        <v>47</v>
      </c>
      <c r="C5" s="9"/>
      <c r="D5" s="8" t="s">
        <v>1772</v>
      </c>
      <c r="E5" s="8" t="s">
        <v>1773</v>
      </c>
      <c r="F5" s="8" t="s">
        <v>1774</v>
      </c>
      <c r="G5" s="8" t="s">
        <v>1790</v>
      </c>
      <c r="H5" s="8" t="s">
        <v>1791</v>
      </c>
      <c r="I5" s="8" t="s">
        <v>1792</v>
      </c>
      <c r="J5" s="8" t="s">
        <v>39</v>
      </c>
      <c r="K5" s="8"/>
      <c r="L5" s="8">
        <v>1</v>
      </c>
      <c r="M5" s="8" t="s">
        <v>33</v>
      </c>
      <c r="N5" s="8" t="s">
        <v>34</v>
      </c>
      <c r="O5" s="8"/>
      <c r="P5" s="7" t="str">
        <f t="shared" si="0"/>
        <v>Sí</v>
      </c>
      <c r="Q5" s="8"/>
      <c r="R5" s="11"/>
      <c r="S5" s="13"/>
      <c r="T5" s="9" t="s">
        <v>1793</v>
      </c>
    </row>
    <row r="6" spans="1:20" x14ac:dyDescent="0.3">
      <c r="A6" s="7" t="s">
        <v>1794</v>
      </c>
      <c r="B6" s="8" t="s">
        <v>47</v>
      </c>
      <c r="C6" s="9"/>
      <c r="D6" s="8" t="s">
        <v>1772</v>
      </c>
      <c r="E6" s="8" t="s">
        <v>1773</v>
      </c>
      <c r="F6" s="8" t="s">
        <v>1774</v>
      </c>
      <c r="G6" s="8" t="s">
        <v>1795</v>
      </c>
      <c r="H6" s="8" t="s">
        <v>1796</v>
      </c>
      <c r="I6" s="8" t="s">
        <v>1797</v>
      </c>
      <c r="J6" s="8" t="s">
        <v>39</v>
      </c>
      <c r="K6" s="8"/>
      <c r="L6" s="8">
        <v>1</v>
      </c>
      <c r="M6" s="8" t="s">
        <v>33</v>
      </c>
      <c r="N6" s="8" t="s">
        <v>34</v>
      </c>
      <c r="O6" s="8"/>
      <c r="P6" s="7" t="str">
        <f t="shared" si="0"/>
        <v>Sí</v>
      </c>
      <c r="Q6" s="8"/>
      <c r="R6" s="11"/>
      <c r="S6" s="13"/>
      <c r="T6" s="9" t="s">
        <v>1798</v>
      </c>
    </row>
    <row r="7" spans="1:20" x14ac:dyDescent="0.3">
      <c r="A7" s="7" t="s">
        <v>1799</v>
      </c>
      <c r="B7" s="8" t="s">
        <v>47</v>
      </c>
      <c r="C7" s="9"/>
      <c r="D7" s="8" t="s">
        <v>1772</v>
      </c>
      <c r="E7" s="8" t="s">
        <v>1773</v>
      </c>
      <c r="F7" s="8" t="s">
        <v>1774</v>
      </c>
      <c r="G7" s="8" t="s">
        <v>1800</v>
      </c>
      <c r="H7" s="8" t="s">
        <v>1801</v>
      </c>
      <c r="I7" s="8" t="s">
        <v>1802</v>
      </c>
      <c r="J7" s="8" t="s">
        <v>39</v>
      </c>
      <c r="K7" s="8"/>
      <c r="L7" s="8">
        <v>1</v>
      </c>
      <c r="M7" s="8" t="s">
        <v>33</v>
      </c>
      <c r="N7" s="8" t="s">
        <v>34</v>
      </c>
      <c r="O7" s="8"/>
      <c r="P7" s="7" t="str">
        <f t="shared" si="0"/>
        <v>Sí</v>
      </c>
      <c r="Q7" s="8"/>
      <c r="R7" s="11"/>
      <c r="S7" s="13"/>
      <c r="T7" s="9" t="s">
        <v>1803</v>
      </c>
    </row>
    <row r="8" spans="1:20" x14ac:dyDescent="0.3">
      <c r="A8" s="7" t="s">
        <v>1804</v>
      </c>
      <c r="B8" s="8" t="s">
        <v>47</v>
      </c>
      <c r="C8" s="9"/>
      <c r="D8" s="8" t="s">
        <v>1772</v>
      </c>
      <c r="E8" s="8" t="s">
        <v>1773</v>
      </c>
      <c r="F8" s="8" t="s">
        <v>1774</v>
      </c>
      <c r="G8" s="8" t="s">
        <v>1805</v>
      </c>
      <c r="H8" s="8" t="s">
        <v>1806</v>
      </c>
      <c r="I8" s="8" t="s">
        <v>1807</v>
      </c>
      <c r="J8" s="8" t="s">
        <v>39</v>
      </c>
      <c r="K8" s="8"/>
      <c r="L8" s="8">
        <v>1</v>
      </c>
      <c r="M8" s="8" t="s">
        <v>33</v>
      </c>
      <c r="N8" s="8" t="s">
        <v>34</v>
      </c>
      <c r="O8" s="8"/>
      <c r="P8" s="7" t="str">
        <f t="shared" si="0"/>
        <v>Sí</v>
      </c>
      <c r="Q8" s="8"/>
      <c r="R8" s="11"/>
      <c r="S8" s="13"/>
      <c r="T8" s="9" t="s">
        <v>1808</v>
      </c>
    </row>
    <row r="9" spans="1:20" x14ac:dyDescent="0.3">
      <c r="A9" s="7" t="s">
        <v>1809</v>
      </c>
      <c r="B9" s="8" t="s">
        <v>47</v>
      </c>
      <c r="C9" s="9"/>
      <c r="D9" s="8" t="s">
        <v>1772</v>
      </c>
      <c r="E9" s="8" t="s">
        <v>1773</v>
      </c>
      <c r="F9" s="8" t="s">
        <v>1774</v>
      </c>
      <c r="G9" s="8" t="s">
        <v>1810</v>
      </c>
      <c r="H9" s="8" t="s">
        <v>1811</v>
      </c>
      <c r="I9" s="8" t="s">
        <v>1812</v>
      </c>
      <c r="J9" s="8" t="s">
        <v>39</v>
      </c>
      <c r="K9" s="8"/>
      <c r="L9" s="8">
        <v>1</v>
      </c>
      <c r="M9" s="8" t="s">
        <v>33</v>
      </c>
      <c r="N9" s="8" t="s">
        <v>34</v>
      </c>
      <c r="O9" s="8"/>
      <c r="P9" s="7" t="str">
        <f t="shared" si="0"/>
        <v>Sí</v>
      </c>
      <c r="Q9" s="8"/>
      <c r="R9" s="11"/>
      <c r="S9" s="13"/>
      <c r="T9" s="9" t="s">
        <v>1813</v>
      </c>
    </row>
    <row r="10" spans="1:20" x14ac:dyDescent="0.3">
      <c r="A10" s="7" t="s">
        <v>1814</v>
      </c>
      <c r="B10" s="8" t="s">
        <v>47</v>
      </c>
      <c r="C10" s="9"/>
      <c r="D10" s="8" t="s">
        <v>1772</v>
      </c>
      <c r="E10" s="8" t="s">
        <v>1773</v>
      </c>
      <c r="F10" s="8" t="s">
        <v>1774</v>
      </c>
      <c r="G10" s="8" t="s">
        <v>1815</v>
      </c>
      <c r="H10" s="8" t="s">
        <v>1816</v>
      </c>
      <c r="I10" s="8" t="s">
        <v>1817</v>
      </c>
      <c r="J10" s="8" t="s">
        <v>39</v>
      </c>
      <c r="K10" s="8"/>
      <c r="L10" s="8">
        <v>1</v>
      </c>
      <c r="M10" s="8" t="s">
        <v>33</v>
      </c>
      <c r="N10" s="8" t="s">
        <v>34</v>
      </c>
      <c r="O10" s="8"/>
      <c r="P10" s="7" t="str">
        <f t="shared" si="0"/>
        <v>Sí</v>
      </c>
      <c r="Q10" s="8"/>
      <c r="R10" s="11"/>
      <c r="S10" s="13"/>
      <c r="T10" s="9" t="s">
        <v>1818</v>
      </c>
    </row>
    <row r="11" spans="1:20" x14ac:dyDescent="0.3">
      <c r="A11" s="7" t="s">
        <v>1819</v>
      </c>
      <c r="B11" s="8" t="s">
        <v>47</v>
      </c>
      <c r="C11" s="9"/>
      <c r="D11" s="8" t="s">
        <v>1772</v>
      </c>
      <c r="E11" s="8" t="s">
        <v>1773</v>
      </c>
      <c r="F11" s="8" t="s">
        <v>1774</v>
      </c>
      <c r="G11" s="8" t="s">
        <v>1820</v>
      </c>
      <c r="H11" s="8" t="s">
        <v>1821</v>
      </c>
      <c r="I11" s="8" t="s">
        <v>1822</v>
      </c>
      <c r="J11" s="8" t="s">
        <v>39</v>
      </c>
      <c r="K11" s="8"/>
      <c r="L11" s="8">
        <v>1</v>
      </c>
      <c r="M11" s="8" t="s">
        <v>33</v>
      </c>
      <c r="N11" s="8" t="s">
        <v>34</v>
      </c>
      <c r="O11" s="8"/>
      <c r="P11" s="7" t="str">
        <f t="shared" si="0"/>
        <v>Sí</v>
      </c>
      <c r="Q11" s="8"/>
      <c r="R11" s="11"/>
      <c r="S11" s="13"/>
      <c r="T11" s="9" t="s">
        <v>1823</v>
      </c>
    </row>
    <row r="12" spans="1:20" x14ac:dyDescent="0.3">
      <c r="A12" s="7" t="s">
        <v>1824</v>
      </c>
      <c r="B12" s="8" t="s">
        <v>47</v>
      </c>
      <c r="C12" s="9"/>
      <c r="D12" s="8" t="s">
        <v>1772</v>
      </c>
      <c r="E12" s="8" t="s">
        <v>1773</v>
      </c>
      <c r="F12" s="8" t="s">
        <v>1774</v>
      </c>
      <c r="G12" s="8" t="s">
        <v>1825</v>
      </c>
      <c r="H12" s="8" t="s">
        <v>1826</v>
      </c>
      <c r="I12" s="8" t="s">
        <v>1827</v>
      </c>
      <c r="J12" s="8" t="s">
        <v>39</v>
      </c>
      <c r="K12" s="8"/>
      <c r="L12" s="8">
        <v>1</v>
      </c>
      <c r="M12" s="8" t="s">
        <v>33</v>
      </c>
      <c r="N12" s="8" t="s">
        <v>34</v>
      </c>
      <c r="O12" s="8"/>
      <c r="P12" s="7" t="str">
        <f t="shared" si="0"/>
        <v>Sí</v>
      </c>
      <c r="Q12" s="8"/>
      <c r="R12" s="11"/>
      <c r="S12" s="13"/>
      <c r="T12" s="9" t="s">
        <v>1828</v>
      </c>
    </row>
    <row r="13" spans="1:20" x14ac:dyDescent="0.3">
      <c r="A13" s="7" t="s">
        <v>1829</v>
      </c>
      <c r="B13" s="8" t="s">
        <v>47</v>
      </c>
      <c r="C13" s="9"/>
      <c r="D13" s="8" t="s">
        <v>1772</v>
      </c>
      <c r="E13" s="8" t="s">
        <v>1773</v>
      </c>
      <c r="F13" s="8" t="s">
        <v>1774</v>
      </c>
      <c r="G13" s="8" t="s">
        <v>1830</v>
      </c>
      <c r="H13" s="8" t="s">
        <v>1831</v>
      </c>
      <c r="I13" s="8" t="s">
        <v>1832</v>
      </c>
      <c r="J13" s="8" t="s">
        <v>39</v>
      </c>
      <c r="K13" s="8"/>
      <c r="L13" s="8">
        <v>1</v>
      </c>
      <c r="M13" s="8" t="s">
        <v>33</v>
      </c>
      <c r="N13" s="8" t="s">
        <v>34</v>
      </c>
      <c r="O13" s="8"/>
      <c r="P13" s="7" t="str">
        <f t="shared" si="0"/>
        <v>Sí</v>
      </c>
      <c r="Q13" s="8"/>
      <c r="R13" s="11"/>
      <c r="S13" s="13"/>
      <c r="T13" s="9" t="s">
        <v>1833</v>
      </c>
    </row>
    <row r="14" spans="1:20" x14ac:dyDescent="0.3">
      <c r="A14" s="7" t="s">
        <v>1834</v>
      </c>
      <c r="B14" s="8" t="s">
        <v>47</v>
      </c>
      <c r="C14" s="9"/>
      <c r="D14" s="8" t="s">
        <v>1772</v>
      </c>
      <c r="E14" s="8" t="s">
        <v>1773</v>
      </c>
      <c r="F14" s="8" t="s">
        <v>1774</v>
      </c>
      <c r="G14" s="8" t="s">
        <v>1835</v>
      </c>
      <c r="H14" s="8" t="s">
        <v>1836</v>
      </c>
      <c r="I14" s="8" t="s">
        <v>1837</v>
      </c>
      <c r="J14" s="8" t="s">
        <v>39</v>
      </c>
      <c r="K14" s="8"/>
      <c r="L14" s="8">
        <v>1</v>
      </c>
      <c r="M14" s="8" t="s">
        <v>33</v>
      </c>
      <c r="N14" s="8" t="s">
        <v>34</v>
      </c>
      <c r="O14" s="8"/>
      <c r="P14" s="7" t="str">
        <f t="shared" si="0"/>
        <v>Sí</v>
      </c>
      <c r="Q14" s="8"/>
      <c r="R14" s="11"/>
      <c r="S14" s="13"/>
      <c r="T14" s="9" t="s">
        <v>1838</v>
      </c>
    </row>
    <row r="15" spans="1:20" x14ac:dyDescent="0.3">
      <c r="A15" s="7" t="s">
        <v>1839</v>
      </c>
      <c r="B15" s="8" t="s">
        <v>36</v>
      </c>
      <c r="C15" s="9" t="s">
        <v>1840</v>
      </c>
      <c r="D15" s="8" t="s">
        <v>1841</v>
      </c>
      <c r="E15" s="8" t="s">
        <v>1773</v>
      </c>
      <c r="F15" s="8" t="s">
        <v>1842</v>
      </c>
      <c r="G15" s="8" t="s">
        <v>1843</v>
      </c>
      <c r="H15" s="8" t="s">
        <v>1844</v>
      </c>
      <c r="I15" s="8" t="s">
        <v>1845</v>
      </c>
      <c r="J15" s="8"/>
      <c r="K15" s="8"/>
      <c r="L15" s="8">
        <v>1</v>
      </c>
      <c r="M15" s="8" t="s">
        <v>54</v>
      </c>
      <c r="N15" s="8" t="s">
        <v>55</v>
      </c>
      <c r="O15" s="8" t="s">
        <v>62</v>
      </c>
      <c r="P15" s="7" t="str">
        <f t="shared" si="0"/>
        <v>No: fuera de servicio</v>
      </c>
      <c r="Q15" s="8"/>
      <c r="R15" s="11"/>
      <c r="S15" s="13" t="s">
        <v>1846</v>
      </c>
      <c r="T15" s="9" t="s">
        <v>1847</v>
      </c>
    </row>
    <row r="16" spans="1:20" x14ac:dyDescent="0.3">
      <c r="A16" s="7" t="s">
        <v>1848</v>
      </c>
      <c r="B16" s="8" t="s">
        <v>47</v>
      </c>
      <c r="C16" s="9"/>
      <c r="D16" s="8" t="s">
        <v>1841</v>
      </c>
      <c r="E16" s="8" t="s">
        <v>1773</v>
      </c>
      <c r="F16" s="8" t="s">
        <v>1842</v>
      </c>
      <c r="G16" s="8" t="s">
        <v>1849</v>
      </c>
      <c r="H16" s="8" t="s">
        <v>1850</v>
      </c>
      <c r="I16" s="8" t="s">
        <v>1851</v>
      </c>
      <c r="J16" s="8" t="s">
        <v>39</v>
      </c>
      <c r="K16" s="8"/>
      <c r="L16" s="8">
        <v>1</v>
      </c>
      <c r="M16" s="8" t="s">
        <v>33</v>
      </c>
      <c r="N16" s="8" t="s">
        <v>45</v>
      </c>
      <c r="O16" s="8"/>
      <c r="P16" s="7" t="str">
        <f t="shared" si="0"/>
        <v>Sí</v>
      </c>
      <c r="Q16" s="8"/>
      <c r="R16" s="11"/>
      <c r="S16" s="13"/>
      <c r="T16" s="9" t="s">
        <v>1852</v>
      </c>
    </row>
    <row r="17" spans="1:20" x14ac:dyDescent="0.3">
      <c r="A17" s="7" t="s">
        <v>1853</v>
      </c>
      <c r="B17" s="8" t="s">
        <v>47</v>
      </c>
      <c r="C17" s="9"/>
      <c r="D17" s="8" t="s">
        <v>1841</v>
      </c>
      <c r="E17" s="8" t="s">
        <v>1773</v>
      </c>
      <c r="F17" s="8" t="s">
        <v>1842</v>
      </c>
      <c r="G17" s="8" t="s">
        <v>1854</v>
      </c>
      <c r="H17" s="8" t="s">
        <v>1855</v>
      </c>
      <c r="I17" s="8" t="s">
        <v>1856</v>
      </c>
      <c r="J17" s="8" t="s">
        <v>39</v>
      </c>
      <c r="K17" s="8"/>
      <c r="L17" s="8">
        <v>1</v>
      </c>
      <c r="M17" s="8" t="s">
        <v>33</v>
      </c>
      <c r="N17" s="8" t="s">
        <v>45</v>
      </c>
      <c r="O17" s="8"/>
      <c r="P17" s="7" t="str">
        <f t="shared" si="0"/>
        <v>Sí</v>
      </c>
      <c r="Q17" s="8"/>
      <c r="R17" s="11"/>
      <c r="S17" s="13"/>
      <c r="T17" s="9" t="s">
        <v>1857</v>
      </c>
    </row>
    <row r="18" spans="1:20" x14ac:dyDescent="0.3">
      <c r="A18" s="7" t="s">
        <v>1858</v>
      </c>
      <c r="B18" s="8" t="s">
        <v>36</v>
      </c>
      <c r="C18" s="9" t="s">
        <v>1840</v>
      </c>
      <c r="D18" s="8" t="s">
        <v>1841</v>
      </c>
      <c r="E18" s="8" t="s">
        <v>1773</v>
      </c>
      <c r="F18" s="8" t="s">
        <v>1842</v>
      </c>
      <c r="G18" s="8" t="s">
        <v>1859</v>
      </c>
      <c r="H18" s="8" t="s">
        <v>1860</v>
      </c>
      <c r="I18" s="8" t="s">
        <v>1861</v>
      </c>
      <c r="J18" s="8"/>
      <c r="K18" s="8"/>
      <c r="L18" s="8">
        <v>1</v>
      </c>
      <c r="M18" s="8" t="s">
        <v>61</v>
      </c>
      <c r="N18" s="8" t="s">
        <v>45</v>
      </c>
      <c r="O18" s="8" t="s">
        <v>62</v>
      </c>
      <c r="P18" s="7" t="str">
        <f t="shared" si="0"/>
        <v>No: dado de baja</v>
      </c>
      <c r="Q18" s="8"/>
      <c r="R18" s="11"/>
      <c r="S18" s="13" t="s">
        <v>1862</v>
      </c>
      <c r="T18" s="9" t="s">
        <v>1863</v>
      </c>
    </row>
    <row r="19" spans="1:20" x14ac:dyDescent="0.3">
      <c r="A19" s="7" t="s">
        <v>1864</v>
      </c>
      <c r="B19" s="8" t="s">
        <v>36</v>
      </c>
      <c r="C19" s="9" t="s">
        <v>1840</v>
      </c>
      <c r="D19" s="8" t="s">
        <v>1841</v>
      </c>
      <c r="E19" s="8" t="s">
        <v>1773</v>
      </c>
      <c r="F19" s="8" t="s">
        <v>1842</v>
      </c>
      <c r="G19" s="8" t="s">
        <v>1865</v>
      </c>
      <c r="H19" s="8" t="s">
        <v>1866</v>
      </c>
      <c r="I19" s="8" t="s">
        <v>1867</v>
      </c>
      <c r="J19" s="8"/>
      <c r="K19" s="8"/>
      <c r="L19" s="8">
        <v>1</v>
      </c>
      <c r="M19" s="8" t="s">
        <v>61</v>
      </c>
      <c r="N19" s="8" t="s">
        <v>55</v>
      </c>
      <c r="O19" s="8" t="s">
        <v>62</v>
      </c>
      <c r="P19" s="7" t="str">
        <f t="shared" si="0"/>
        <v>No: dado de baja</v>
      </c>
      <c r="Q19" s="8"/>
      <c r="R19" s="11"/>
      <c r="S19" s="13" t="s">
        <v>1868</v>
      </c>
      <c r="T19" s="9" t="s">
        <v>1869</v>
      </c>
    </row>
    <row r="20" spans="1:20" x14ac:dyDescent="0.3">
      <c r="A20" s="7" t="s">
        <v>1870</v>
      </c>
      <c r="B20" s="8" t="s">
        <v>47</v>
      </c>
      <c r="C20" s="9"/>
      <c r="D20" s="8" t="s">
        <v>1841</v>
      </c>
      <c r="E20" s="8" t="s">
        <v>1773</v>
      </c>
      <c r="F20" s="8" t="s">
        <v>1842</v>
      </c>
      <c r="G20" s="8" t="s">
        <v>1871</v>
      </c>
      <c r="H20" s="8" t="s">
        <v>1872</v>
      </c>
      <c r="I20" s="8" t="s">
        <v>1873</v>
      </c>
      <c r="J20" s="8" t="s">
        <v>39</v>
      </c>
      <c r="K20" s="8"/>
      <c r="L20" s="8">
        <v>1</v>
      </c>
      <c r="M20" s="8" t="s">
        <v>33</v>
      </c>
      <c r="N20" s="8" t="s">
        <v>45</v>
      </c>
      <c r="O20" s="8"/>
      <c r="P20" s="7" t="str">
        <f t="shared" si="0"/>
        <v>Sí</v>
      </c>
      <c r="Q20" s="8"/>
      <c r="R20" s="11"/>
      <c r="S20" s="13"/>
      <c r="T20" s="9" t="s">
        <v>1874</v>
      </c>
    </row>
    <row r="21" spans="1:20" x14ac:dyDescent="0.3">
      <c r="A21" s="7" t="s">
        <v>1875</v>
      </c>
      <c r="B21" s="8" t="s">
        <v>36</v>
      </c>
      <c r="C21" s="9" t="s">
        <v>1840</v>
      </c>
      <c r="D21" s="8" t="s">
        <v>1841</v>
      </c>
      <c r="E21" s="8" t="s">
        <v>1773</v>
      </c>
      <c r="F21" s="8" t="s">
        <v>1842</v>
      </c>
      <c r="G21" s="8" t="s">
        <v>1876</v>
      </c>
      <c r="H21" s="8" t="s">
        <v>1877</v>
      </c>
      <c r="I21" s="8" t="s">
        <v>1878</v>
      </c>
      <c r="J21" s="8"/>
      <c r="K21" s="8"/>
      <c r="L21" s="8">
        <v>1</v>
      </c>
      <c r="M21" s="8" t="s">
        <v>61</v>
      </c>
      <c r="N21" s="8" t="s">
        <v>55</v>
      </c>
      <c r="O21" s="8" t="s">
        <v>62</v>
      </c>
      <c r="P21" s="7" t="str">
        <f t="shared" si="0"/>
        <v>No: dado de baja</v>
      </c>
      <c r="Q21" s="8"/>
      <c r="R21" s="11"/>
      <c r="S21" s="13" t="s">
        <v>1879</v>
      </c>
      <c r="T21" s="9" t="s">
        <v>1880</v>
      </c>
    </row>
    <row r="22" spans="1:20" x14ac:dyDescent="0.3">
      <c r="A22" s="7" t="s">
        <v>1881</v>
      </c>
      <c r="B22" s="8" t="s">
        <v>36</v>
      </c>
      <c r="C22" s="9" t="s">
        <v>1840</v>
      </c>
      <c r="D22" s="8" t="s">
        <v>1841</v>
      </c>
      <c r="E22" s="8" t="s">
        <v>1773</v>
      </c>
      <c r="F22" s="8" t="s">
        <v>1842</v>
      </c>
      <c r="G22" s="8" t="s">
        <v>1882</v>
      </c>
      <c r="H22" s="8" t="s">
        <v>1883</v>
      </c>
      <c r="I22" s="8" t="s">
        <v>1884</v>
      </c>
      <c r="J22" s="8"/>
      <c r="K22" s="8"/>
      <c r="L22" s="8">
        <v>1</v>
      </c>
      <c r="M22" s="8" t="s">
        <v>61</v>
      </c>
      <c r="N22" s="8" t="s">
        <v>45</v>
      </c>
      <c r="O22" s="8" t="s">
        <v>62</v>
      </c>
      <c r="P22" s="7" t="str">
        <f t="shared" si="0"/>
        <v>No: dado de baja</v>
      </c>
      <c r="Q22" s="8"/>
      <c r="R22" s="11"/>
      <c r="S22" s="13" t="s">
        <v>1862</v>
      </c>
      <c r="T22" s="9" t="s">
        <v>1885</v>
      </c>
    </row>
    <row r="23" spans="1:20" x14ac:dyDescent="0.3">
      <c r="A23" s="7" t="s">
        <v>1886</v>
      </c>
      <c r="B23" s="8" t="s">
        <v>47</v>
      </c>
      <c r="C23" s="9"/>
      <c r="D23" s="8" t="s">
        <v>1841</v>
      </c>
      <c r="E23" s="8" t="s">
        <v>1773</v>
      </c>
      <c r="F23" s="8" t="s">
        <v>1842</v>
      </c>
      <c r="G23" s="8" t="s">
        <v>1887</v>
      </c>
      <c r="H23" s="8" t="s">
        <v>1888</v>
      </c>
      <c r="I23" s="8" t="s">
        <v>1889</v>
      </c>
      <c r="J23" s="8" t="s">
        <v>39</v>
      </c>
      <c r="K23" s="8"/>
      <c r="L23" s="8">
        <v>1</v>
      </c>
      <c r="M23" s="8" t="s">
        <v>33</v>
      </c>
      <c r="N23" s="8" t="s">
        <v>45</v>
      </c>
      <c r="O23" s="8"/>
      <c r="P23" s="7" t="str">
        <f t="shared" si="0"/>
        <v>Sí</v>
      </c>
      <c r="Q23" s="8"/>
      <c r="R23" s="11"/>
      <c r="S23" s="13"/>
      <c r="T23" s="9" t="s">
        <v>1890</v>
      </c>
    </row>
    <row r="24" spans="1:20" x14ac:dyDescent="0.3">
      <c r="A24" s="7" t="s">
        <v>1891</v>
      </c>
      <c r="B24" s="8" t="s">
        <v>36</v>
      </c>
      <c r="C24" s="9" t="s">
        <v>1840</v>
      </c>
      <c r="D24" s="8" t="s">
        <v>1841</v>
      </c>
      <c r="E24" s="8" t="s">
        <v>1773</v>
      </c>
      <c r="F24" s="8" t="s">
        <v>1842</v>
      </c>
      <c r="G24" s="8" t="s">
        <v>1892</v>
      </c>
      <c r="H24" s="8" t="s">
        <v>1893</v>
      </c>
      <c r="I24" s="8" t="s">
        <v>1894</v>
      </c>
      <c r="J24" s="8"/>
      <c r="K24" s="8"/>
      <c r="L24" s="8">
        <v>1</v>
      </c>
      <c r="M24" s="8" t="s">
        <v>61</v>
      </c>
      <c r="N24" s="8" t="s">
        <v>55</v>
      </c>
      <c r="O24" s="8" t="s">
        <v>62</v>
      </c>
      <c r="P24" s="7" t="str">
        <f t="shared" si="0"/>
        <v>No: dado de baja</v>
      </c>
      <c r="Q24" s="8"/>
      <c r="R24" s="11"/>
      <c r="S24" s="13" t="s">
        <v>1868</v>
      </c>
      <c r="T24" s="9" t="s">
        <v>1895</v>
      </c>
    </row>
    <row r="25" spans="1:20" x14ac:dyDescent="0.3">
      <c r="A25" s="7" t="s">
        <v>1896</v>
      </c>
      <c r="B25" s="8" t="s">
        <v>47</v>
      </c>
      <c r="C25" s="9"/>
      <c r="D25" s="8" t="s">
        <v>1841</v>
      </c>
      <c r="E25" s="8" t="s">
        <v>1773</v>
      </c>
      <c r="F25" s="8" t="s">
        <v>1842</v>
      </c>
      <c r="G25" s="8" t="s">
        <v>1897</v>
      </c>
      <c r="H25" s="8" t="s">
        <v>1898</v>
      </c>
      <c r="I25" s="8" t="s">
        <v>1899</v>
      </c>
      <c r="J25" s="8" t="s">
        <v>39</v>
      </c>
      <c r="K25" s="8"/>
      <c r="L25" s="8">
        <v>1</v>
      </c>
      <c r="M25" s="8" t="s">
        <v>33</v>
      </c>
      <c r="N25" s="8" t="s">
        <v>45</v>
      </c>
      <c r="O25" s="8"/>
      <c r="P25" s="7" t="str">
        <f t="shared" si="0"/>
        <v>Sí</v>
      </c>
      <c r="Q25" s="8"/>
      <c r="R25" s="11"/>
      <c r="S25" s="13"/>
      <c r="T25" s="9" t="s">
        <v>1900</v>
      </c>
    </row>
    <row r="26" spans="1:20" x14ac:dyDescent="0.3">
      <c r="A26" s="7" t="s">
        <v>1901</v>
      </c>
      <c r="B26" s="8" t="s">
        <v>36</v>
      </c>
      <c r="C26" s="9" t="s">
        <v>1902</v>
      </c>
      <c r="D26" s="8" t="s">
        <v>1841</v>
      </c>
      <c r="E26" s="8" t="s">
        <v>1773</v>
      </c>
      <c r="F26" s="8" t="s">
        <v>1842</v>
      </c>
      <c r="G26" s="8" t="s">
        <v>1903</v>
      </c>
      <c r="H26" s="8" t="s">
        <v>1904</v>
      </c>
      <c r="I26" s="8" t="s">
        <v>1905</v>
      </c>
      <c r="J26" s="8"/>
      <c r="K26" s="8"/>
      <c r="L26" s="8">
        <v>1</v>
      </c>
      <c r="M26" s="8" t="s">
        <v>54</v>
      </c>
      <c r="N26" s="8" t="s">
        <v>45</v>
      </c>
      <c r="O26" s="8" t="s">
        <v>62</v>
      </c>
      <c r="P26" s="7" t="str">
        <f t="shared" si="0"/>
        <v>No: fuera de servicio</v>
      </c>
      <c r="Q26" s="8"/>
      <c r="R26" s="11"/>
      <c r="S26" s="13" t="s">
        <v>1906</v>
      </c>
      <c r="T26" s="9" t="s">
        <v>1907</v>
      </c>
    </row>
    <row r="27" spans="1:20" x14ac:dyDescent="0.3">
      <c r="A27" s="7" t="s">
        <v>1908</v>
      </c>
      <c r="B27" s="8" t="s">
        <v>47</v>
      </c>
      <c r="C27" s="9"/>
      <c r="D27" s="8" t="s">
        <v>1841</v>
      </c>
      <c r="E27" s="8" t="s">
        <v>1773</v>
      </c>
      <c r="F27" s="8" t="s">
        <v>1842</v>
      </c>
      <c r="G27" s="8" t="s">
        <v>1909</v>
      </c>
      <c r="H27" s="8" t="s">
        <v>1910</v>
      </c>
      <c r="I27" s="8" t="s">
        <v>1911</v>
      </c>
      <c r="J27" s="8" t="s">
        <v>39</v>
      </c>
      <c r="K27" s="8"/>
      <c r="L27" s="8">
        <v>1</v>
      </c>
      <c r="M27" s="8" t="s">
        <v>33</v>
      </c>
      <c r="N27" s="8" t="s">
        <v>45</v>
      </c>
      <c r="O27" s="8"/>
      <c r="P27" s="7" t="str">
        <f t="shared" si="0"/>
        <v>Sí</v>
      </c>
      <c r="Q27" s="8"/>
      <c r="R27" s="11"/>
      <c r="S27" s="13"/>
      <c r="T27" s="9" t="s">
        <v>1912</v>
      </c>
    </row>
    <row r="28" spans="1:20" x14ac:dyDescent="0.3">
      <c r="A28" s="7" t="s">
        <v>1913</v>
      </c>
      <c r="B28" s="8" t="s">
        <v>47</v>
      </c>
      <c r="C28" s="9"/>
      <c r="D28" s="8" t="s">
        <v>1841</v>
      </c>
      <c r="E28" s="8" t="s">
        <v>1773</v>
      </c>
      <c r="F28" s="8" t="s">
        <v>1842</v>
      </c>
      <c r="G28" s="8" t="s">
        <v>1914</v>
      </c>
      <c r="H28" s="8" t="s">
        <v>1915</v>
      </c>
      <c r="I28" s="8" t="s">
        <v>1916</v>
      </c>
      <c r="J28" s="8" t="s">
        <v>39</v>
      </c>
      <c r="K28" s="8"/>
      <c r="L28" s="8">
        <v>1</v>
      </c>
      <c r="M28" s="8" t="s">
        <v>33</v>
      </c>
      <c r="N28" s="8" t="s">
        <v>45</v>
      </c>
      <c r="O28" s="8"/>
      <c r="P28" s="7" t="str">
        <f t="shared" si="0"/>
        <v>Sí</v>
      </c>
      <c r="Q28" s="8"/>
      <c r="R28" s="11"/>
      <c r="S28" s="13"/>
      <c r="T28" s="9" t="s">
        <v>1917</v>
      </c>
    </row>
    <row r="29" spans="1:20" x14ac:dyDescent="0.3">
      <c r="A29" s="7" t="s">
        <v>1918</v>
      </c>
      <c r="B29" s="8" t="s">
        <v>47</v>
      </c>
      <c r="C29" s="9"/>
      <c r="D29" s="8" t="s">
        <v>1841</v>
      </c>
      <c r="E29" s="8" t="s">
        <v>1773</v>
      </c>
      <c r="F29" s="8" t="s">
        <v>1842</v>
      </c>
      <c r="G29" s="8" t="s">
        <v>1919</v>
      </c>
      <c r="H29" s="8" t="s">
        <v>1920</v>
      </c>
      <c r="I29" s="8" t="s">
        <v>1921</v>
      </c>
      <c r="J29" s="8" t="s">
        <v>39</v>
      </c>
      <c r="K29" s="8"/>
      <c r="L29" s="8">
        <v>1</v>
      </c>
      <c r="M29" s="8" t="s">
        <v>33</v>
      </c>
      <c r="N29" s="8" t="s">
        <v>45</v>
      </c>
      <c r="O29" s="8"/>
      <c r="P29" s="7" t="str">
        <f t="shared" si="0"/>
        <v>Sí</v>
      </c>
      <c r="Q29" s="8"/>
      <c r="R29" s="11"/>
      <c r="S29" s="13"/>
      <c r="T29" s="9" t="s">
        <v>1922</v>
      </c>
    </row>
    <row r="30" spans="1:20" x14ac:dyDescent="0.3">
      <c r="A30" s="7" t="s">
        <v>1923</v>
      </c>
      <c r="B30" s="8" t="s">
        <v>47</v>
      </c>
      <c r="C30" s="9"/>
      <c r="D30" s="8" t="s">
        <v>1924</v>
      </c>
      <c r="E30" s="8" t="s">
        <v>1925</v>
      </c>
      <c r="F30" s="8" t="s">
        <v>1926</v>
      </c>
      <c r="G30" s="8" t="s">
        <v>1927</v>
      </c>
      <c r="H30" s="8" t="s">
        <v>1928</v>
      </c>
      <c r="I30" s="8" t="s">
        <v>1929</v>
      </c>
      <c r="J30" s="8" t="s">
        <v>39</v>
      </c>
      <c r="K30" s="8"/>
      <c r="L30" s="8">
        <v>1</v>
      </c>
      <c r="M30" s="8" t="s">
        <v>33</v>
      </c>
      <c r="N30" s="8" t="s">
        <v>34</v>
      </c>
      <c r="O30" s="8"/>
      <c r="P30" s="7" t="str">
        <f t="shared" si="0"/>
        <v>Sí</v>
      </c>
      <c r="Q30" s="8"/>
      <c r="R30" s="11"/>
      <c r="S30" s="13"/>
      <c r="T30" s="9" t="s">
        <v>1930</v>
      </c>
    </row>
    <row r="31" spans="1:20" x14ac:dyDescent="0.3">
      <c r="A31" s="7" t="s">
        <v>1931</v>
      </c>
      <c r="B31" s="8" t="s">
        <v>47</v>
      </c>
      <c r="C31" s="9"/>
      <c r="D31" s="8" t="s">
        <v>1924</v>
      </c>
      <c r="E31" s="8" t="s">
        <v>1925</v>
      </c>
      <c r="F31" s="8" t="s">
        <v>1926</v>
      </c>
      <c r="G31" s="8" t="s">
        <v>1932</v>
      </c>
      <c r="H31" s="8" t="s">
        <v>1933</v>
      </c>
      <c r="I31" s="8" t="s">
        <v>1934</v>
      </c>
      <c r="J31" s="8" t="s">
        <v>59</v>
      </c>
      <c r="K31" s="8"/>
      <c r="L31" s="8">
        <v>1</v>
      </c>
      <c r="M31" s="8" t="s">
        <v>33</v>
      </c>
      <c r="N31" s="8" t="s">
        <v>34</v>
      </c>
      <c r="O31" s="8"/>
      <c r="P31" s="7" t="str">
        <f t="shared" si="0"/>
        <v>Sí</v>
      </c>
      <c r="Q31" s="8"/>
      <c r="R31" s="11"/>
      <c r="S31" s="13"/>
      <c r="T31" s="9" t="s">
        <v>1935</v>
      </c>
    </row>
    <row r="32" spans="1:20" x14ac:dyDescent="0.3">
      <c r="A32" s="7" t="s">
        <v>1936</v>
      </c>
      <c r="B32" s="8" t="s">
        <v>47</v>
      </c>
      <c r="C32" s="9"/>
      <c r="D32" s="8" t="s">
        <v>1937</v>
      </c>
      <c r="E32" s="8" t="s">
        <v>1938</v>
      </c>
      <c r="F32" s="8" t="s">
        <v>1939</v>
      </c>
      <c r="G32" s="8" t="s">
        <v>1940</v>
      </c>
      <c r="H32" s="8"/>
      <c r="I32" s="8" t="s">
        <v>1941</v>
      </c>
      <c r="J32" s="8" t="s">
        <v>39</v>
      </c>
      <c r="K32" s="8"/>
      <c r="L32" s="8">
        <v>1</v>
      </c>
      <c r="M32" s="8" t="s">
        <v>33</v>
      </c>
      <c r="N32" s="8" t="s">
        <v>34</v>
      </c>
      <c r="O32" s="8"/>
      <c r="P32" s="7" t="str">
        <f t="shared" si="0"/>
        <v>Sí</v>
      </c>
      <c r="Q32" s="8"/>
      <c r="R32" s="11"/>
      <c r="S32" s="13"/>
      <c r="T32" s="9" t="s">
        <v>1942</v>
      </c>
    </row>
    <row r="33" spans="1:20" x14ac:dyDescent="0.3">
      <c r="A33" s="7" t="s">
        <v>1943</v>
      </c>
      <c r="B33" s="8" t="s">
        <v>47</v>
      </c>
      <c r="C33" s="9"/>
      <c r="D33" s="8" t="s">
        <v>1944</v>
      </c>
      <c r="E33" s="8" t="s">
        <v>1945</v>
      </c>
      <c r="F33" s="8" t="s">
        <v>1946</v>
      </c>
      <c r="G33" s="8" t="s">
        <v>1947</v>
      </c>
      <c r="H33" s="8"/>
      <c r="I33" s="8" t="s">
        <v>1948</v>
      </c>
      <c r="J33" s="8" t="s">
        <v>39</v>
      </c>
      <c r="K33" s="8"/>
      <c r="L33" s="8">
        <v>1</v>
      </c>
      <c r="M33" s="8" t="s">
        <v>33</v>
      </c>
      <c r="N33" s="8" t="s">
        <v>34</v>
      </c>
      <c r="O33" s="8"/>
      <c r="P33" s="7" t="str">
        <f t="shared" si="0"/>
        <v>Sí</v>
      </c>
      <c r="Q33" s="8"/>
      <c r="R33" s="11"/>
      <c r="S33" s="13"/>
      <c r="T33" s="9" t="s">
        <v>1949</v>
      </c>
    </row>
    <row r="34" spans="1:20" x14ac:dyDescent="0.3">
      <c r="A34" s="7" t="s">
        <v>1950</v>
      </c>
      <c r="B34" s="8" t="s">
        <v>47</v>
      </c>
      <c r="C34" s="9"/>
      <c r="D34" s="8" t="s">
        <v>1951</v>
      </c>
      <c r="E34" s="8" t="s">
        <v>1952</v>
      </c>
      <c r="F34" s="8" t="s">
        <v>1953</v>
      </c>
      <c r="G34" s="8" t="s">
        <v>1954</v>
      </c>
      <c r="H34" s="8" t="s">
        <v>1955</v>
      </c>
      <c r="I34" s="8" t="s">
        <v>1956</v>
      </c>
      <c r="J34" s="8" t="s">
        <v>39</v>
      </c>
      <c r="K34" s="8"/>
      <c r="L34" s="8">
        <v>1</v>
      </c>
      <c r="M34" s="8" t="s">
        <v>33</v>
      </c>
      <c r="N34" s="8" t="s">
        <v>34</v>
      </c>
      <c r="O34" s="8"/>
      <c r="P34" s="7" t="str">
        <f t="shared" ref="P34:P65" si="1">IF(D34="","",IF(M34="Baja","No: dado de baja",IF(M34="Fuera de servicio","No: fuera de servicio",IF(M34="En mantenimiento","No: en mantenimiento",IF(O34&lt;&gt;"","Sí, pero está en "&amp;O34&amp;": hacer el traslado a Carepa","Sí")))))</f>
        <v>Sí</v>
      </c>
      <c r="Q34" s="8"/>
      <c r="R34" s="11"/>
      <c r="S34" s="13"/>
      <c r="T34" s="9" t="s">
        <v>1957</v>
      </c>
    </row>
    <row r="35" spans="1:20" x14ac:dyDescent="0.3">
      <c r="A35" s="7" t="s">
        <v>1958</v>
      </c>
      <c r="B35" s="8" t="s">
        <v>47</v>
      </c>
      <c r="C35" s="9"/>
      <c r="D35" s="8" t="s">
        <v>1951</v>
      </c>
      <c r="E35" s="8" t="s">
        <v>1952</v>
      </c>
      <c r="F35" s="8" t="s">
        <v>1959</v>
      </c>
      <c r="G35" s="8" t="s">
        <v>1960</v>
      </c>
      <c r="H35" s="8" t="s">
        <v>1961</v>
      </c>
      <c r="I35" s="8" t="s">
        <v>1962</v>
      </c>
      <c r="J35" s="8" t="s">
        <v>39</v>
      </c>
      <c r="K35" s="8"/>
      <c r="L35" s="8">
        <v>1</v>
      </c>
      <c r="M35" s="8" t="s">
        <v>33</v>
      </c>
      <c r="N35" s="8" t="s">
        <v>34</v>
      </c>
      <c r="O35" s="8"/>
      <c r="P35" s="7" t="str">
        <f t="shared" si="1"/>
        <v>Sí</v>
      </c>
      <c r="Q35" s="8"/>
      <c r="R35" s="11"/>
      <c r="S35" s="13"/>
      <c r="T35" s="9" t="s">
        <v>1963</v>
      </c>
    </row>
    <row r="36" spans="1:20" x14ac:dyDescent="0.3">
      <c r="A36" s="7" t="s">
        <v>1964</v>
      </c>
      <c r="B36" s="8" t="s">
        <v>47</v>
      </c>
      <c r="C36" s="9"/>
      <c r="D36" s="8" t="s">
        <v>1965</v>
      </c>
      <c r="E36" s="8" t="s">
        <v>1966</v>
      </c>
      <c r="F36" s="8" t="s">
        <v>1967</v>
      </c>
      <c r="G36" s="8"/>
      <c r="H36" s="8"/>
      <c r="I36" s="8" t="s">
        <v>1968</v>
      </c>
      <c r="J36" s="8" t="s">
        <v>50</v>
      </c>
      <c r="K36" s="8"/>
      <c r="L36" s="8">
        <v>1</v>
      </c>
      <c r="M36" s="8" t="s">
        <v>33</v>
      </c>
      <c r="N36" s="8" t="s">
        <v>34</v>
      </c>
      <c r="O36" s="8"/>
      <c r="P36" s="7" t="str">
        <f t="shared" si="1"/>
        <v>Sí</v>
      </c>
      <c r="Q36" s="8"/>
      <c r="R36" s="11"/>
      <c r="S36" s="13"/>
      <c r="T36" s="9" t="s">
        <v>1969</v>
      </c>
    </row>
    <row r="37" spans="1:20" x14ac:dyDescent="0.3">
      <c r="A37" s="7" t="s">
        <v>1970</v>
      </c>
      <c r="B37" s="8" t="s">
        <v>47</v>
      </c>
      <c r="C37" s="9"/>
      <c r="D37" s="8" t="s">
        <v>1965</v>
      </c>
      <c r="E37" s="8" t="s">
        <v>1966</v>
      </c>
      <c r="F37" s="8" t="s">
        <v>1967</v>
      </c>
      <c r="G37" s="8"/>
      <c r="H37" s="8"/>
      <c r="I37" s="8" t="s">
        <v>1971</v>
      </c>
      <c r="J37" s="8" t="s">
        <v>59</v>
      </c>
      <c r="K37" s="8"/>
      <c r="L37" s="8">
        <v>1</v>
      </c>
      <c r="M37" s="8" t="s">
        <v>33</v>
      </c>
      <c r="N37" s="8" t="s">
        <v>34</v>
      </c>
      <c r="O37" s="8"/>
      <c r="P37" s="7" t="str">
        <f t="shared" si="1"/>
        <v>Sí</v>
      </c>
      <c r="Q37" s="8"/>
      <c r="R37" s="11"/>
      <c r="S37" s="13"/>
      <c r="T37" s="9" t="s">
        <v>1972</v>
      </c>
    </row>
    <row r="38" spans="1:20" x14ac:dyDescent="0.3">
      <c r="A38" s="7" t="s">
        <v>1973</v>
      </c>
      <c r="B38" s="8" t="s">
        <v>47</v>
      </c>
      <c r="C38" s="9"/>
      <c r="D38" s="8" t="s">
        <v>1974</v>
      </c>
      <c r="E38" s="8" t="s">
        <v>1975</v>
      </c>
      <c r="F38" s="8" t="s">
        <v>1976</v>
      </c>
      <c r="G38" s="8" t="s">
        <v>1977</v>
      </c>
      <c r="H38" s="8" t="s">
        <v>1978</v>
      </c>
      <c r="I38" s="8" t="s">
        <v>1979</v>
      </c>
      <c r="J38" s="8" t="s">
        <v>39</v>
      </c>
      <c r="K38" s="8"/>
      <c r="L38" s="8">
        <v>1</v>
      </c>
      <c r="M38" s="8" t="s">
        <v>33</v>
      </c>
      <c r="N38" s="8" t="s">
        <v>34</v>
      </c>
      <c r="O38" s="8"/>
      <c r="P38" s="7" t="str">
        <f t="shared" si="1"/>
        <v>Sí</v>
      </c>
      <c r="Q38" s="8"/>
      <c r="R38" s="11"/>
      <c r="S38" s="13"/>
      <c r="T38" s="9" t="s">
        <v>1980</v>
      </c>
    </row>
    <row r="39" spans="1:20" x14ac:dyDescent="0.3">
      <c r="A39" s="7" t="s">
        <v>1981</v>
      </c>
      <c r="B39" s="8" t="s">
        <v>47</v>
      </c>
      <c r="C39" s="9"/>
      <c r="D39" s="8" t="s">
        <v>1982</v>
      </c>
      <c r="E39" s="8" t="s">
        <v>1983</v>
      </c>
      <c r="F39" s="8"/>
      <c r="G39" s="8"/>
      <c r="H39" s="8"/>
      <c r="I39" s="8"/>
      <c r="J39" s="8" t="s">
        <v>59</v>
      </c>
      <c r="K39" s="8"/>
      <c r="L39" s="8">
        <v>1</v>
      </c>
      <c r="M39" s="8" t="s">
        <v>33</v>
      </c>
      <c r="N39" s="8" t="s">
        <v>34</v>
      </c>
      <c r="O39" s="8"/>
      <c r="P39" s="7" t="str">
        <f t="shared" si="1"/>
        <v>Sí</v>
      </c>
      <c r="Q39" s="8"/>
      <c r="R39" s="11"/>
      <c r="S39" s="13"/>
      <c r="T39" s="9" t="s">
        <v>1984</v>
      </c>
    </row>
    <row r="40" spans="1:20" x14ac:dyDescent="0.3">
      <c r="A40" s="7" t="s">
        <v>1985</v>
      </c>
      <c r="B40" s="8" t="s">
        <v>47</v>
      </c>
      <c r="C40" s="9"/>
      <c r="D40" s="8" t="s">
        <v>1986</v>
      </c>
      <c r="E40" s="8" t="s">
        <v>1987</v>
      </c>
      <c r="F40" s="8"/>
      <c r="G40" s="8" t="s">
        <v>1988</v>
      </c>
      <c r="H40" s="8" t="s">
        <v>1989</v>
      </c>
      <c r="I40" s="8" t="s">
        <v>1990</v>
      </c>
      <c r="J40" s="8" t="s">
        <v>59</v>
      </c>
      <c r="K40" s="8"/>
      <c r="L40" s="8">
        <v>1</v>
      </c>
      <c r="M40" s="8" t="s">
        <v>54</v>
      </c>
      <c r="N40" s="8" t="s">
        <v>55</v>
      </c>
      <c r="O40" s="8"/>
      <c r="P40" s="7" t="str">
        <f t="shared" si="1"/>
        <v>No: fuera de servicio</v>
      </c>
      <c r="Q40" s="8"/>
      <c r="R40" s="11"/>
      <c r="S40" s="13"/>
      <c r="T40" s="9" t="s">
        <v>1991</v>
      </c>
    </row>
    <row r="41" spans="1:20" x14ac:dyDescent="0.3">
      <c r="A41" s="7" t="s">
        <v>1992</v>
      </c>
      <c r="B41" s="8" t="s">
        <v>47</v>
      </c>
      <c r="C41" s="9"/>
      <c r="D41" s="8" t="s">
        <v>1993</v>
      </c>
      <c r="E41" s="8" t="s">
        <v>1994</v>
      </c>
      <c r="F41" s="8" t="s">
        <v>1995</v>
      </c>
      <c r="G41" s="8"/>
      <c r="H41" s="8" t="s">
        <v>1996</v>
      </c>
      <c r="I41" s="8" t="s">
        <v>1997</v>
      </c>
      <c r="J41" s="8" t="s">
        <v>59</v>
      </c>
      <c r="K41" s="8"/>
      <c r="L41" s="8">
        <v>1</v>
      </c>
      <c r="M41" s="8" t="s">
        <v>54</v>
      </c>
      <c r="N41" s="8" t="s">
        <v>55</v>
      </c>
      <c r="O41" s="8"/>
      <c r="P41" s="7" t="str">
        <f t="shared" si="1"/>
        <v>No: fuera de servicio</v>
      </c>
      <c r="Q41" s="8"/>
      <c r="R41" s="11"/>
      <c r="S41" s="13"/>
      <c r="T41" s="9" t="s">
        <v>1998</v>
      </c>
    </row>
    <row r="42" spans="1:20" x14ac:dyDescent="0.3">
      <c r="A42" s="7" t="s">
        <v>1999</v>
      </c>
      <c r="B42" s="8" t="s">
        <v>47</v>
      </c>
      <c r="C42" s="9"/>
      <c r="D42" s="8" t="s">
        <v>2000</v>
      </c>
      <c r="E42" s="8" t="s">
        <v>2001</v>
      </c>
      <c r="F42" s="8" t="s">
        <v>2002</v>
      </c>
      <c r="G42" s="8" t="s">
        <v>2003</v>
      </c>
      <c r="H42" s="8" t="s">
        <v>2004</v>
      </c>
      <c r="I42" s="8" t="s">
        <v>2005</v>
      </c>
      <c r="J42" s="8" t="s">
        <v>50</v>
      </c>
      <c r="K42" s="8"/>
      <c r="L42" s="8">
        <v>1</v>
      </c>
      <c r="M42" s="8" t="s">
        <v>33</v>
      </c>
      <c r="N42" s="8" t="s">
        <v>34</v>
      </c>
      <c r="O42" s="8"/>
      <c r="P42" s="7" t="str">
        <f t="shared" si="1"/>
        <v>Sí</v>
      </c>
      <c r="Q42" s="8"/>
      <c r="R42" s="11"/>
      <c r="S42" s="13"/>
      <c r="T42" s="9" t="s">
        <v>2006</v>
      </c>
    </row>
    <row r="43" spans="1:20" x14ac:dyDescent="0.3">
      <c r="A43" s="7" t="s">
        <v>2007</v>
      </c>
      <c r="B43" s="8" t="s">
        <v>47</v>
      </c>
      <c r="C43" s="9"/>
      <c r="D43" s="8" t="s">
        <v>2000</v>
      </c>
      <c r="E43" s="8" t="s">
        <v>2001</v>
      </c>
      <c r="F43" s="8" t="s">
        <v>2002</v>
      </c>
      <c r="G43" s="8" t="s">
        <v>2008</v>
      </c>
      <c r="H43" s="8"/>
      <c r="I43" s="8" t="s">
        <v>2009</v>
      </c>
      <c r="J43" s="8" t="s">
        <v>50</v>
      </c>
      <c r="K43" s="8"/>
      <c r="L43" s="8">
        <v>1</v>
      </c>
      <c r="M43" s="8" t="s">
        <v>33</v>
      </c>
      <c r="N43" s="8" t="s">
        <v>34</v>
      </c>
      <c r="O43" s="8"/>
      <c r="P43" s="7" t="str">
        <f t="shared" si="1"/>
        <v>Sí</v>
      </c>
      <c r="Q43" s="8"/>
      <c r="R43" s="11"/>
      <c r="S43" s="13"/>
      <c r="T43" s="9" t="s">
        <v>2010</v>
      </c>
    </row>
    <row r="44" spans="1:20" x14ac:dyDescent="0.3">
      <c r="A44" s="7" t="s">
        <v>2011</v>
      </c>
      <c r="B44" s="8" t="s">
        <v>47</v>
      </c>
      <c r="C44" s="9"/>
      <c r="D44" s="8" t="s">
        <v>2000</v>
      </c>
      <c r="E44" s="8" t="s">
        <v>2001</v>
      </c>
      <c r="F44" s="8" t="s">
        <v>2002</v>
      </c>
      <c r="G44" s="8" t="s">
        <v>2012</v>
      </c>
      <c r="H44" s="8" t="s">
        <v>2013</v>
      </c>
      <c r="I44" s="8" t="s">
        <v>2014</v>
      </c>
      <c r="J44" s="8" t="s">
        <v>50</v>
      </c>
      <c r="K44" s="8"/>
      <c r="L44" s="8">
        <v>1</v>
      </c>
      <c r="M44" s="8" t="s">
        <v>33</v>
      </c>
      <c r="N44" s="8" t="s">
        <v>34</v>
      </c>
      <c r="O44" s="8"/>
      <c r="P44" s="7" t="str">
        <f t="shared" si="1"/>
        <v>Sí</v>
      </c>
      <c r="Q44" s="8"/>
      <c r="R44" s="11"/>
      <c r="S44" s="13"/>
      <c r="T44" s="9" t="s">
        <v>2015</v>
      </c>
    </row>
    <row r="45" spans="1:20" x14ac:dyDescent="0.3">
      <c r="A45" s="7" t="s">
        <v>2016</v>
      </c>
      <c r="B45" s="8" t="s">
        <v>47</v>
      </c>
      <c r="C45" s="9"/>
      <c r="D45" s="8" t="s">
        <v>2000</v>
      </c>
      <c r="E45" s="8" t="s">
        <v>2001</v>
      </c>
      <c r="F45" s="8" t="s">
        <v>2002</v>
      </c>
      <c r="G45" s="8" t="s">
        <v>2017</v>
      </c>
      <c r="H45" s="8" t="s">
        <v>2018</v>
      </c>
      <c r="I45" s="8" t="s">
        <v>2019</v>
      </c>
      <c r="J45" s="8" t="s">
        <v>50</v>
      </c>
      <c r="K45" s="8"/>
      <c r="L45" s="8">
        <v>1</v>
      </c>
      <c r="M45" s="8" t="s">
        <v>33</v>
      </c>
      <c r="N45" s="8" t="s">
        <v>34</v>
      </c>
      <c r="O45" s="8"/>
      <c r="P45" s="7" t="str">
        <f t="shared" si="1"/>
        <v>Sí</v>
      </c>
      <c r="Q45" s="8"/>
      <c r="R45" s="11"/>
      <c r="S45" s="13"/>
      <c r="T45" s="9" t="s">
        <v>2020</v>
      </c>
    </row>
    <row r="46" spans="1:20" x14ac:dyDescent="0.3">
      <c r="A46" s="7" t="s">
        <v>2021</v>
      </c>
      <c r="B46" s="8" t="s">
        <v>36</v>
      </c>
      <c r="C46" s="9" t="s">
        <v>2022</v>
      </c>
      <c r="D46" s="8" t="s">
        <v>2000</v>
      </c>
      <c r="E46" s="8" t="s">
        <v>2023</v>
      </c>
      <c r="F46" s="8" t="s">
        <v>2024</v>
      </c>
      <c r="G46" s="8" t="s">
        <v>2025</v>
      </c>
      <c r="H46" s="8" t="s">
        <v>2026</v>
      </c>
      <c r="I46" s="8" t="s">
        <v>2027</v>
      </c>
      <c r="J46" s="8" t="s">
        <v>50</v>
      </c>
      <c r="K46" s="8"/>
      <c r="L46" s="8">
        <v>1</v>
      </c>
      <c r="M46" s="8" t="s">
        <v>33</v>
      </c>
      <c r="N46" s="8" t="s">
        <v>34</v>
      </c>
      <c r="O46" s="8"/>
      <c r="P46" s="7" t="str">
        <f t="shared" si="1"/>
        <v>Sí</v>
      </c>
      <c r="Q46" s="8"/>
      <c r="R46" s="11"/>
      <c r="S46" s="13"/>
      <c r="T46" s="9" t="s">
        <v>2028</v>
      </c>
    </row>
    <row r="47" spans="1:20" x14ac:dyDescent="0.3">
      <c r="A47" s="7" t="s">
        <v>2029</v>
      </c>
      <c r="B47" s="8" t="s">
        <v>36</v>
      </c>
      <c r="C47" s="9" t="s">
        <v>2022</v>
      </c>
      <c r="D47" s="8" t="s">
        <v>2000</v>
      </c>
      <c r="E47" s="8" t="s">
        <v>2023</v>
      </c>
      <c r="F47" s="8" t="s">
        <v>2024</v>
      </c>
      <c r="G47" s="8" t="s">
        <v>2025</v>
      </c>
      <c r="H47" s="8" t="s">
        <v>2030</v>
      </c>
      <c r="I47" s="8" t="s">
        <v>2031</v>
      </c>
      <c r="J47" s="8" t="s">
        <v>50</v>
      </c>
      <c r="K47" s="8"/>
      <c r="L47" s="8">
        <v>1</v>
      </c>
      <c r="M47" s="8" t="s">
        <v>33</v>
      </c>
      <c r="N47" s="8" t="s">
        <v>34</v>
      </c>
      <c r="O47" s="8"/>
      <c r="P47" s="7" t="str">
        <f t="shared" si="1"/>
        <v>Sí</v>
      </c>
      <c r="Q47" s="8"/>
      <c r="R47" s="11"/>
      <c r="S47" s="13"/>
      <c r="T47" s="9" t="s">
        <v>2032</v>
      </c>
    </row>
    <row r="48" spans="1:20" x14ac:dyDescent="0.3">
      <c r="A48" s="7" t="s">
        <v>2033</v>
      </c>
      <c r="B48" s="8" t="s">
        <v>47</v>
      </c>
      <c r="C48" s="9"/>
      <c r="D48" s="8" t="s">
        <v>2000</v>
      </c>
      <c r="E48" s="8" t="s">
        <v>2023</v>
      </c>
      <c r="F48" s="8" t="s">
        <v>2024</v>
      </c>
      <c r="G48" s="8" t="s">
        <v>2034</v>
      </c>
      <c r="H48" s="8" t="s">
        <v>2035</v>
      </c>
      <c r="I48" s="8" t="s">
        <v>2036</v>
      </c>
      <c r="J48" s="8" t="s">
        <v>50</v>
      </c>
      <c r="K48" s="8"/>
      <c r="L48" s="8">
        <v>1</v>
      </c>
      <c r="M48" s="8" t="s">
        <v>33</v>
      </c>
      <c r="N48" s="8" t="s">
        <v>34</v>
      </c>
      <c r="O48" s="8"/>
      <c r="P48" s="7" t="str">
        <f t="shared" si="1"/>
        <v>Sí</v>
      </c>
      <c r="Q48" s="8"/>
      <c r="R48" s="11"/>
      <c r="S48" s="13"/>
      <c r="T48" s="9" t="s">
        <v>2037</v>
      </c>
    </row>
    <row r="49" spans="1:20" x14ac:dyDescent="0.3">
      <c r="A49" s="7" t="s">
        <v>2038</v>
      </c>
      <c r="B49" s="8" t="s">
        <v>47</v>
      </c>
      <c r="C49" s="9"/>
      <c r="D49" s="8" t="s">
        <v>2000</v>
      </c>
      <c r="E49" s="8" t="s">
        <v>2023</v>
      </c>
      <c r="F49" s="8" t="s">
        <v>2024</v>
      </c>
      <c r="G49" s="8" t="s">
        <v>2039</v>
      </c>
      <c r="H49" s="8" t="s">
        <v>2040</v>
      </c>
      <c r="I49" s="8" t="s">
        <v>2041</v>
      </c>
      <c r="J49" s="8" t="s">
        <v>50</v>
      </c>
      <c r="K49" s="8"/>
      <c r="L49" s="8">
        <v>1</v>
      </c>
      <c r="M49" s="8" t="s">
        <v>33</v>
      </c>
      <c r="N49" s="8" t="s">
        <v>34</v>
      </c>
      <c r="O49" s="8"/>
      <c r="P49" s="7" t="str">
        <f t="shared" si="1"/>
        <v>Sí</v>
      </c>
      <c r="Q49" s="8"/>
      <c r="R49" s="11"/>
      <c r="S49" s="13"/>
      <c r="T49" s="9" t="s">
        <v>2042</v>
      </c>
    </row>
    <row r="50" spans="1:20" x14ac:dyDescent="0.3">
      <c r="A50" s="7" t="s">
        <v>2043</v>
      </c>
      <c r="B50" s="8" t="s">
        <v>47</v>
      </c>
      <c r="C50" s="9"/>
      <c r="D50" s="8" t="s">
        <v>2000</v>
      </c>
      <c r="E50" s="8" t="s">
        <v>2044</v>
      </c>
      <c r="F50" s="8" t="s">
        <v>2045</v>
      </c>
      <c r="G50" s="8" t="s">
        <v>2046</v>
      </c>
      <c r="H50" s="8" t="s">
        <v>2047</v>
      </c>
      <c r="I50" s="8" t="s">
        <v>2048</v>
      </c>
      <c r="J50" s="8" t="s">
        <v>59</v>
      </c>
      <c r="K50" s="8"/>
      <c r="L50" s="8">
        <v>1</v>
      </c>
      <c r="M50" s="8" t="s">
        <v>33</v>
      </c>
      <c r="N50" s="8" t="s">
        <v>34</v>
      </c>
      <c r="O50" s="8"/>
      <c r="P50" s="7" t="str">
        <f t="shared" si="1"/>
        <v>Sí</v>
      </c>
      <c r="Q50" s="8"/>
      <c r="R50" s="11"/>
      <c r="S50" s="13"/>
      <c r="T50" s="9" t="s">
        <v>2049</v>
      </c>
    </row>
    <row r="51" spans="1:20" x14ac:dyDescent="0.3">
      <c r="A51" s="7" t="s">
        <v>2050</v>
      </c>
      <c r="B51" s="8" t="s">
        <v>47</v>
      </c>
      <c r="C51" s="9"/>
      <c r="D51" s="8" t="s">
        <v>2000</v>
      </c>
      <c r="E51" s="8" t="s">
        <v>2044</v>
      </c>
      <c r="F51" s="8" t="s">
        <v>2045</v>
      </c>
      <c r="G51" s="8" t="s">
        <v>2051</v>
      </c>
      <c r="H51" s="8" t="s">
        <v>2052</v>
      </c>
      <c r="I51" s="8" t="s">
        <v>2053</v>
      </c>
      <c r="J51" s="8" t="s">
        <v>59</v>
      </c>
      <c r="K51" s="8"/>
      <c r="L51" s="8">
        <v>1</v>
      </c>
      <c r="M51" s="8" t="s">
        <v>33</v>
      </c>
      <c r="N51" s="8" t="s">
        <v>34</v>
      </c>
      <c r="O51" s="8"/>
      <c r="P51" s="7" t="str">
        <f t="shared" si="1"/>
        <v>Sí</v>
      </c>
      <c r="Q51" s="8"/>
      <c r="R51" s="11"/>
      <c r="S51" s="13"/>
      <c r="T51" s="9" t="s">
        <v>2054</v>
      </c>
    </row>
    <row r="52" spans="1:20" x14ac:dyDescent="0.3">
      <c r="A52" s="7" t="s">
        <v>2055</v>
      </c>
      <c r="B52" s="8" t="s">
        <v>47</v>
      </c>
      <c r="C52" s="9"/>
      <c r="D52" s="8" t="s">
        <v>2056</v>
      </c>
      <c r="E52" s="8" t="s">
        <v>2057</v>
      </c>
      <c r="F52" s="8" t="s">
        <v>2058</v>
      </c>
      <c r="G52" s="8" t="s">
        <v>2059</v>
      </c>
      <c r="H52" s="8" t="s">
        <v>2060</v>
      </c>
      <c r="I52" s="8"/>
      <c r="J52" s="8" t="s">
        <v>59</v>
      </c>
      <c r="K52" s="8"/>
      <c r="L52" s="8">
        <v>1</v>
      </c>
      <c r="M52" s="8" t="s">
        <v>54</v>
      </c>
      <c r="N52" s="8" t="s">
        <v>55</v>
      </c>
      <c r="O52" s="8"/>
      <c r="P52" s="7" t="str">
        <f t="shared" si="1"/>
        <v>No: fuera de servicio</v>
      </c>
      <c r="Q52" s="8"/>
      <c r="R52" s="11"/>
      <c r="S52" s="13"/>
      <c r="T52" s="9" t="s">
        <v>2061</v>
      </c>
    </row>
    <row r="53" spans="1:20" x14ac:dyDescent="0.3">
      <c r="A53" s="7" t="s">
        <v>2062</v>
      </c>
      <c r="B53" s="8" t="s">
        <v>47</v>
      </c>
      <c r="C53" s="9"/>
      <c r="D53" s="8" t="s">
        <v>2063</v>
      </c>
      <c r="E53" s="8" t="s">
        <v>2064</v>
      </c>
      <c r="F53" s="8" t="s">
        <v>2065</v>
      </c>
      <c r="G53" s="8"/>
      <c r="H53" s="8"/>
      <c r="I53" s="8" t="s">
        <v>2066</v>
      </c>
      <c r="J53" s="8" t="s">
        <v>59</v>
      </c>
      <c r="K53" s="8"/>
      <c r="L53" s="8">
        <v>1</v>
      </c>
      <c r="M53" s="8" t="s">
        <v>33</v>
      </c>
      <c r="N53" s="8" t="s">
        <v>34</v>
      </c>
      <c r="O53" s="8"/>
      <c r="P53" s="7" t="str">
        <f t="shared" si="1"/>
        <v>Sí</v>
      </c>
      <c r="Q53" s="8"/>
      <c r="R53" s="11"/>
      <c r="S53" s="13"/>
      <c r="T53" s="9" t="s">
        <v>2067</v>
      </c>
    </row>
    <row r="54" spans="1:20" x14ac:dyDescent="0.3">
      <c r="A54" s="7" t="s">
        <v>2068</v>
      </c>
      <c r="B54" s="8" t="s">
        <v>47</v>
      </c>
      <c r="C54" s="9"/>
      <c r="D54" s="8" t="s">
        <v>2063</v>
      </c>
      <c r="E54" s="8" t="s">
        <v>2064</v>
      </c>
      <c r="F54" s="8" t="s">
        <v>2065</v>
      </c>
      <c r="G54" s="8"/>
      <c r="H54" s="8"/>
      <c r="I54" s="8" t="s">
        <v>2069</v>
      </c>
      <c r="J54" s="8" t="s">
        <v>59</v>
      </c>
      <c r="K54" s="8"/>
      <c r="L54" s="8">
        <v>1</v>
      </c>
      <c r="M54" s="8" t="s">
        <v>33</v>
      </c>
      <c r="N54" s="8" t="s">
        <v>34</v>
      </c>
      <c r="O54" s="8"/>
      <c r="P54" s="7" t="str">
        <f t="shared" si="1"/>
        <v>Sí</v>
      </c>
      <c r="Q54" s="8"/>
      <c r="R54" s="11"/>
      <c r="S54" s="13"/>
      <c r="T54" s="9" t="s">
        <v>2070</v>
      </c>
    </row>
    <row r="55" spans="1:20" x14ac:dyDescent="0.3">
      <c r="A55" s="7" t="s">
        <v>2071</v>
      </c>
      <c r="B55" s="8" t="s">
        <v>47</v>
      </c>
      <c r="C55" s="9"/>
      <c r="D55" s="8" t="s">
        <v>2063</v>
      </c>
      <c r="E55" s="8" t="s">
        <v>2064</v>
      </c>
      <c r="F55" s="8" t="s">
        <v>2065</v>
      </c>
      <c r="G55" s="8"/>
      <c r="H55" s="8"/>
      <c r="I55" s="8" t="s">
        <v>2072</v>
      </c>
      <c r="J55" s="8" t="s">
        <v>59</v>
      </c>
      <c r="K55" s="8"/>
      <c r="L55" s="8">
        <v>1</v>
      </c>
      <c r="M55" s="8" t="s">
        <v>33</v>
      </c>
      <c r="N55" s="8" t="s">
        <v>34</v>
      </c>
      <c r="O55" s="8"/>
      <c r="P55" s="7" t="str">
        <f t="shared" si="1"/>
        <v>Sí</v>
      </c>
      <c r="Q55" s="8"/>
      <c r="R55" s="11"/>
      <c r="S55" s="13"/>
      <c r="T55" s="9" t="s">
        <v>2073</v>
      </c>
    </row>
    <row r="56" spans="1:20" x14ac:dyDescent="0.3">
      <c r="A56" s="7" t="s">
        <v>2074</v>
      </c>
      <c r="B56" s="8" t="s">
        <v>47</v>
      </c>
      <c r="C56" s="9"/>
      <c r="D56" s="8" t="s">
        <v>2075</v>
      </c>
      <c r="E56" s="8" t="s">
        <v>2076</v>
      </c>
      <c r="F56" s="8" t="s">
        <v>2077</v>
      </c>
      <c r="G56" s="8" t="s">
        <v>2078</v>
      </c>
      <c r="H56" s="8" t="s">
        <v>2079</v>
      </c>
      <c r="I56" s="8" t="s">
        <v>2080</v>
      </c>
      <c r="J56" s="8" t="s">
        <v>59</v>
      </c>
      <c r="K56" s="8"/>
      <c r="L56" s="8">
        <v>1</v>
      </c>
      <c r="M56" s="8" t="s">
        <v>33</v>
      </c>
      <c r="N56" s="8" t="s">
        <v>34</v>
      </c>
      <c r="O56" s="8"/>
      <c r="P56" s="7" t="str">
        <f t="shared" si="1"/>
        <v>Sí</v>
      </c>
      <c r="Q56" s="8"/>
      <c r="R56" s="11"/>
      <c r="S56" s="13"/>
      <c r="T56" s="9" t="s">
        <v>2081</v>
      </c>
    </row>
    <row r="57" spans="1:20" x14ac:dyDescent="0.3">
      <c r="A57" s="7" t="s">
        <v>2082</v>
      </c>
      <c r="B57" s="8" t="s">
        <v>47</v>
      </c>
      <c r="C57" s="9"/>
      <c r="D57" s="8" t="s">
        <v>2075</v>
      </c>
      <c r="E57" s="8" t="s">
        <v>2076</v>
      </c>
      <c r="F57" s="8" t="s">
        <v>2077</v>
      </c>
      <c r="G57" s="8" t="s">
        <v>2083</v>
      </c>
      <c r="H57" s="8" t="s">
        <v>2084</v>
      </c>
      <c r="I57" s="8" t="s">
        <v>2085</v>
      </c>
      <c r="J57" s="8" t="s">
        <v>59</v>
      </c>
      <c r="K57" s="8"/>
      <c r="L57" s="8">
        <v>1</v>
      </c>
      <c r="M57" s="8" t="s">
        <v>33</v>
      </c>
      <c r="N57" s="8" t="s">
        <v>34</v>
      </c>
      <c r="O57" s="8"/>
      <c r="P57" s="7" t="str">
        <f t="shared" si="1"/>
        <v>Sí</v>
      </c>
      <c r="Q57" s="8"/>
      <c r="R57" s="11"/>
      <c r="S57" s="13"/>
      <c r="T57" s="9" t="s">
        <v>2086</v>
      </c>
    </row>
    <row r="58" spans="1:20" x14ac:dyDescent="0.3">
      <c r="A58" s="7" t="s">
        <v>2087</v>
      </c>
      <c r="B58" s="8" t="s">
        <v>47</v>
      </c>
      <c r="C58" s="9"/>
      <c r="D58" s="8" t="s">
        <v>2075</v>
      </c>
      <c r="E58" s="8" t="s">
        <v>2088</v>
      </c>
      <c r="F58" s="8" t="s">
        <v>2077</v>
      </c>
      <c r="G58" s="8" t="s">
        <v>2089</v>
      </c>
      <c r="H58" s="8" t="s">
        <v>2090</v>
      </c>
      <c r="I58" s="8" t="s">
        <v>2091</v>
      </c>
      <c r="J58" s="8" t="s">
        <v>59</v>
      </c>
      <c r="K58" s="8"/>
      <c r="L58" s="8">
        <v>1</v>
      </c>
      <c r="M58" s="8" t="s">
        <v>33</v>
      </c>
      <c r="N58" s="8" t="s">
        <v>34</v>
      </c>
      <c r="O58" s="8"/>
      <c r="P58" s="7" t="str">
        <f t="shared" si="1"/>
        <v>Sí</v>
      </c>
      <c r="Q58" s="8"/>
      <c r="R58" s="11"/>
      <c r="S58" s="13"/>
      <c r="T58" s="9" t="s">
        <v>2092</v>
      </c>
    </row>
    <row r="59" spans="1:20" x14ac:dyDescent="0.3">
      <c r="A59" s="7" t="s">
        <v>2093</v>
      </c>
      <c r="B59" s="8" t="s">
        <v>47</v>
      </c>
      <c r="C59" s="9"/>
      <c r="D59" s="8" t="s">
        <v>2094</v>
      </c>
      <c r="E59" s="8" t="s">
        <v>2095</v>
      </c>
      <c r="F59" s="8" t="s">
        <v>2096</v>
      </c>
      <c r="G59" s="8" t="s">
        <v>2097</v>
      </c>
      <c r="H59" s="8"/>
      <c r="I59" s="8" t="s">
        <v>2098</v>
      </c>
      <c r="J59" s="8" t="s">
        <v>39</v>
      </c>
      <c r="K59" s="8"/>
      <c r="L59" s="8">
        <v>1</v>
      </c>
      <c r="M59" s="8" t="s">
        <v>33</v>
      </c>
      <c r="N59" s="8" t="s">
        <v>34</v>
      </c>
      <c r="O59" s="8"/>
      <c r="P59" s="7" t="str">
        <f t="shared" si="1"/>
        <v>Sí</v>
      </c>
      <c r="Q59" s="8"/>
      <c r="R59" s="11"/>
      <c r="S59" s="13"/>
      <c r="T59" s="9" t="s">
        <v>2099</v>
      </c>
    </row>
    <row r="60" spans="1:20" x14ac:dyDescent="0.3">
      <c r="A60" s="7" t="s">
        <v>2100</v>
      </c>
      <c r="B60" s="8" t="s">
        <v>47</v>
      </c>
      <c r="C60" s="9"/>
      <c r="D60" s="8" t="s">
        <v>2094</v>
      </c>
      <c r="E60" s="8" t="s">
        <v>2101</v>
      </c>
      <c r="F60" s="8" t="s">
        <v>2102</v>
      </c>
      <c r="G60" s="8" t="s">
        <v>2103</v>
      </c>
      <c r="H60" s="8" t="s">
        <v>2104</v>
      </c>
      <c r="I60" s="8" t="s">
        <v>2105</v>
      </c>
      <c r="J60" s="8" t="s">
        <v>39</v>
      </c>
      <c r="K60" s="8"/>
      <c r="L60" s="8">
        <v>1</v>
      </c>
      <c r="M60" s="8" t="s">
        <v>33</v>
      </c>
      <c r="N60" s="8" t="s">
        <v>34</v>
      </c>
      <c r="O60" s="8"/>
      <c r="P60" s="7" t="str">
        <f t="shared" si="1"/>
        <v>Sí</v>
      </c>
      <c r="Q60" s="8"/>
      <c r="R60" s="11"/>
      <c r="S60" s="13"/>
      <c r="T60" s="9" t="s">
        <v>2106</v>
      </c>
    </row>
    <row r="61" spans="1:20" x14ac:dyDescent="0.3">
      <c r="A61" s="7" t="s">
        <v>2107</v>
      </c>
      <c r="B61" s="8" t="s">
        <v>47</v>
      </c>
      <c r="C61" s="9"/>
      <c r="D61" s="8" t="s">
        <v>2108</v>
      </c>
      <c r="E61" s="8" t="s">
        <v>2088</v>
      </c>
      <c r="F61" s="8" t="s">
        <v>2109</v>
      </c>
      <c r="G61" s="8" t="s">
        <v>2110</v>
      </c>
      <c r="H61" s="8"/>
      <c r="I61" s="8"/>
      <c r="J61" s="8" t="s">
        <v>59</v>
      </c>
      <c r="K61" s="8"/>
      <c r="L61" s="8">
        <v>1</v>
      </c>
      <c r="M61" s="8" t="s">
        <v>33</v>
      </c>
      <c r="N61" s="8" t="s">
        <v>34</v>
      </c>
      <c r="O61" s="8"/>
      <c r="P61" s="7" t="str">
        <f t="shared" si="1"/>
        <v>Sí</v>
      </c>
      <c r="Q61" s="8"/>
      <c r="R61" s="11"/>
      <c r="S61" s="13"/>
      <c r="T61" s="9" t="s">
        <v>2111</v>
      </c>
    </row>
    <row r="62" spans="1:20" x14ac:dyDescent="0.3">
      <c r="A62" s="7" t="s">
        <v>2112</v>
      </c>
      <c r="B62" s="8" t="s">
        <v>47</v>
      </c>
      <c r="C62" s="9"/>
      <c r="D62" s="8" t="s">
        <v>2108</v>
      </c>
      <c r="E62" s="8" t="s">
        <v>2088</v>
      </c>
      <c r="F62" s="8" t="s">
        <v>2109</v>
      </c>
      <c r="G62" s="8" t="s">
        <v>2113</v>
      </c>
      <c r="H62" s="8"/>
      <c r="I62" s="8"/>
      <c r="J62" s="8" t="s">
        <v>59</v>
      </c>
      <c r="K62" s="8"/>
      <c r="L62" s="8">
        <v>1</v>
      </c>
      <c r="M62" s="8" t="s">
        <v>33</v>
      </c>
      <c r="N62" s="8" t="s">
        <v>34</v>
      </c>
      <c r="O62" s="8"/>
      <c r="P62" s="7" t="str">
        <f t="shared" si="1"/>
        <v>Sí</v>
      </c>
      <c r="Q62" s="8"/>
      <c r="R62" s="11"/>
      <c r="S62" s="13"/>
      <c r="T62" s="9" t="s">
        <v>2114</v>
      </c>
    </row>
    <row r="63" spans="1:20" x14ac:dyDescent="0.3">
      <c r="A63" s="7" t="s">
        <v>2115</v>
      </c>
      <c r="B63" s="8" t="s">
        <v>47</v>
      </c>
      <c r="C63" s="9"/>
      <c r="D63" s="8" t="s">
        <v>2108</v>
      </c>
      <c r="E63" s="8" t="s">
        <v>2088</v>
      </c>
      <c r="F63" s="8" t="s">
        <v>2109</v>
      </c>
      <c r="G63" s="8" t="s">
        <v>2116</v>
      </c>
      <c r="H63" s="8"/>
      <c r="I63" s="8"/>
      <c r="J63" s="8" t="s">
        <v>59</v>
      </c>
      <c r="K63" s="8"/>
      <c r="L63" s="8">
        <v>1</v>
      </c>
      <c r="M63" s="8" t="s">
        <v>33</v>
      </c>
      <c r="N63" s="8" t="s">
        <v>34</v>
      </c>
      <c r="O63" s="8"/>
      <c r="P63" s="7" t="str">
        <f t="shared" si="1"/>
        <v>Sí</v>
      </c>
      <c r="Q63" s="8"/>
      <c r="R63" s="11"/>
      <c r="S63" s="13"/>
      <c r="T63" s="9" t="s">
        <v>2117</v>
      </c>
    </row>
    <row r="64" spans="1:20" x14ac:dyDescent="0.3">
      <c r="A64" s="7" t="s">
        <v>2118</v>
      </c>
      <c r="B64" s="8" t="s">
        <v>47</v>
      </c>
      <c r="C64" s="9"/>
      <c r="D64" s="8" t="s">
        <v>2108</v>
      </c>
      <c r="E64" s="8" t="s">
        <v>2088</v>
      </c>
      <c r="F64" s="8" t="s">
        <v>2109</v>
      </c>
      <c r="G64" s="8" t="s">
        <v>2119</v>
      </c>
      <c r="H64" s="8"/>
      <c r="I64" s="8"/>
      <c r="J64" s="8" t="s">
        <v>59</v>
      </c>
      <c r="K64" s="8"/>
      <c r="L64" s="8">
        <v>1</v>
      </c>
      <c r="M64" s="8" t="s">
        <v>33</v>
      </c>
      <c r="N64" s="8" t="s">
        <v>34</v>
      </c>
      <c r="O64" s="8"/>
      <c r="P64" s="7" t="str">
        <f t="shared" si="1"/>
        <v>Sí</v>
      </c>
      <c r="Q64" s="8"/>
      <c r="R64" s="11"/>
      <c r="S64" s="13"/>
      <c r="T64" s="9" t="s">
        <v>2120</v>
      </c>
    </row>
    <row r="65" spans="1:20" x14ac:dyDescent="0.3">
      <c r="A65" s="7" t="s">
        <v>2121</v>
      </c>
      <c r="B65" s="8" t="s">
        <v>47</v>
      </c>
      <c r="C65" s="9"/>
      <c r="D65" s="8" t="s">
        <v>2122</v>
      </c>
      <c r="E65" s="8" t="s">
        <v>2088</v>
      </c>
      <c r="F65" s="8" t="s">
        <v>2123</v>
      </c>
      <c r="G65" s="8" t="s">
        <v>2124</v>
      </c>
      <c r="H65" s="8" t="s">
        <v>2125</v>
      </c>
      <c r="I65" s="8" t="s">
        <v>2126</v>
      </c>
      <c r="J65" s="8" t="s">
        <v>59</v>
      </c>
      <c r="K65" s="8"/>
      <c r="L65" s="8">
        <v>1</v>
      </c>
      <c r="M65" s="8" t="s">
        <v>33</v>
      </c>
      <c r="N65" s="8" t="s">
        <v>34</v>
      </c>
      <c r="O65" s="8"/>
      <c r="P65" s="7" t="str">
        <f t="shared" si="1"/>
        <v>Sí</v>
      </c>
      <c r="Q65" s="8"/>
      <c r="R65" s="11"/>
      <c r="S65" s="13"/>
      <c r="T65" s="9" t="s">
        <v>2127</v>
      </c>
    </row>
    <row r="66" spans="1:20" x14ac:dyDescent="0.3">
      <c r="A66" s="7" t="s">
        <v>2128</v>
      </c>
      <c r="B66" s="8" t="s">
        <v>47</v>
      </c>
      <c r="C66" s="9"/>
      <c r="D66" s="8" t="s">
        <v>2122</v>
      </c>
      <c r="E66" s="8" t="s">
        <v>2088</v>
      </c>
      <c r="F66" s="8" t="s">
        <v>2123</v>
      </c>
      <c r="G66" s="8" t="s">
        <v>2129</v>
      </c>
      <c r="H66" s="8" t="s">
        <v>2130</v>
      </c>
      <c r="I66" s="8" t="s">
        <v>2131</v>
      </c>
      <c r="J66" s="8" t="s">
        <v>59</v>
      </c>
      <c r="K66" s="8"/>
      <c r="L66" s="8">
        <v>1</v>
      </c>
      <c r="M66" s="8" t="s">
        <v>33</v>
      </c>
      <c r="N66" s="8" t="s">
        <v>34</v>
      </c>
      <c r="O66" s="8"/>
      <c r="P66" s="7" t="str">
        <f t="shared" ref="P66:P97" si="2">IF(D66="","",IF(M66="Baja","No: dado de baja",IF(M66="Fuera de servicio","No: fuera de servicio",IF(M66="En mantenimiento","No: en mantenimiento",IF(O66&lt;&gt;"","Sí, pero está en "&amp;O66&amp;": hacer el traslado a Carepa","Sí")))))</f>
        <v>Sí</v>
      </c>
      <c r="Q66" s="8"/>
      <c r="R66" s="11"/>
      <c r="S66" s="13"/>
      <c r="T66" s="9" t="s">
        <v>2132</v>
      </c>
    </row>
    <row r="67" spans="1:20" x14ac:dyDescent="0.3">
      <c r="A67" s="7" t="s">
        <v>2133</v>
      </c>
      <c r="B67" s="8" t="s">
        <v>47</v>
      </c>
      <c r="C67" s="9"/>
      <c r="D67" s="8" t="s">
        <v>2122</v>
      </c>
      <c r="E67" s="8" t="s">
        <v>2088</v>
      </c>
      <c r="F67" s="8" t="s">
        <v>2123</v>
      </c>
      <c r="G67" s="8" t="s">
        <v>2134</v>
      </c>
      <c r="H67" s="8" t="s">
        <v>2135</v>
      </c>
      <c r="I67" s="8" t="s">
        <v>2136</v>
      </c>
      <c r="J67" s="8" t="s">
        <v>59</v>
      </c>
      <c r="K67" s="8"/>
      <c r="L67" s="8">
        <v>1</v>
      </c>
      <c r="M67" s="8" t="s">
        <v>33</v>
      </c>
      <c r="N67" s="8" t="s">
        <v>34</v>
      </c>
      <c r="O67" s="8"/>
      <c r="P67" s="7" t="str">
        <f t="shared" si="2"/>
        <v>Sí</v>
      </c>
      <c r="Q67" s="8"/>
      <c r="R67" s="11"/>
      <c r="S67" s="13"/>
      <c r="T67" s="9" t="s">
        <v>2137</v>
      </c>
    </row>
    <row r="68" spans="1:20" x14ac:dyDescent="0.3">
      <c r="A68" s="7" t="s">
        <v>2138</v>
      </c>
      <c r="B68" s="8" t="s">
        <v>47</v>
      </c>
      <c r="C68" s="9"/>
      <c r="D68" s="8" t="s">
        <v>2139</v>
      </c>
      <c r="E68" s="8" t="s">
        <v>2140</v>
      </c>
      <c r="F68" s="8" t="s">
        <v>2140</v>
      </c>
      <c r="G68" s="8" t="s">
        <v>2141</v>
      </c>
      <c r="H68" s="8" t="s">
        <v>2142</v>
      </c>
      <c r="I68" s="8" t="s">
        <v>2143</v>
      </c>
      <c r="J68" s="8" t="s">
        <v>59</v>
      </c>
      <c r="K68" s="8"/>
      <c r="L68" s="8">
        <v>1</v>
      </c>
      <c r="M68" s="8" t="s">
        <v>54</v>
      </c>
      <c r="N68" s="8" t="s">
        <v>55</v>
      </c>
      <c r="O68" s="8"/>
      <c r="P68" s="7" t="str">
        <f t="shared" si="2"/>
        <v>No: fuera de servicio</v>
      </c>
      <c r="Q68" s="8"/>
      <c r="R68" s="11"/>
      <c r="S68" s="13"/>
      <c r="T68" s="9" t="s">
        <v>2144</v>
      </c>
    </row>
    <row r="69" spans="1:20" x14ac:dyDescent="0.3">
      <c r="A69" s="7" t="s">
        <v>2145</v>
      </c>
      <c r="B69" s="8" t="s">
        <v>47</v>
      </c>
      <c r="C69" s="9"/>
      <c r="D69" s="8" t="s">
        <v>2146</v>
      </c>
      <c r="E69" s="8" t="s">
        <v>2147</v>
      </c>
      <c r="F69" s="8" t="s">
        <v>2147</v>
      </c>
      <c r="G69" s="8"/>
      <c r="H69" s="8"/>
      <c r="I69" s="8"/>
      <c r="J69" s="8" t="s">
        <v>59</v>
      </c>
      <c r="K69" s="8"/>
      <c r="L69" s="8">
        <v>1</v>
      </c>
      <c r="M69" s="8" t="s">
        <v>33</v>
      </c>
      <c r="N69" s="8" t="s">
        <v>34</v>
      </c>
      <c r="O69" s="8"/>
      <c r="P69" s="7" t="str">
        <f t="shared" si="2"/>
        <v>Sí</v>
      </c>
      <c r="Q69" s="8"/>
      <c r="R69" s="11"/>
      <c r="S69" s="13"/>
      <c r="T69" s="9" t="s">
        <v>2148</v>
      </c>
    </row>
    <row r="70" spans="1:20" x14ac:dyDescent="0.3">
      <c r="A70" s="7" t="s">
        <v>2149</v>
      </c>
      <c r="B70" s="8" t="s">
        <v>47</v>
      </c>
      <c r="C70" s="9"/>
      <c r="D70" s="8" t="s">
        <v>2150</v>
      </c>
      <c r="E70" s="8" t="s">
        <v>2151</v>
      </c>
      <c r="F70" s="8" t="s">
        <v>2152</v>
      </c>
      <c r="G70" s="8" t="s">
        <v>2153</v>
      </c>
      <c r="H70" s="8" t="s">
        <v>2154</v>
      </c>
      <c r="I70" s="8"/>
      <c r="J70" s="8" t="s">
        <v>59</v>
      </c>
      <c r="K70" s="8"/>
      <c r="L70" s="8">
        <v>1</v>
      </c>
      <c r="M70" s="8" t="s">
        <v>33</v>
      </c>
      <c r="N70" s="8" t="s">
        <v>34</v>
      </c>
      <c r="O70" s="8"/>
      <c r="P70" s="7" t="str">
        <f t="shared" si="2"/>
        <v>Sí</v>
      </c>
      <c r="Q70" s="8"/>
      <c r="R70" s="11"/>
      <c r="S70" s="13"/>
      <c r="T70" s="9" t="s">
        <v>2155</v>
      </c>
    </row>
    <row r="71" spans="1:20" x14ac:dyDescent="0.3">
      <c r="A71" s="7" t="s">
        <v>2156</v>
      </c>
      <c r="B71" s="8" t="s">
        <v>36</v>
      </c>
      <c r="C71" s="9" t="s">
        <v>2157</v>
      </c>
      <c r="D71" s="8" t="s">
        <v>2158</v>
      </c>
      <c r="E71" s="8" t="s">
        <v>2159</v>
      </c>
      <c r="F71" s="8" t="s">
        <v>2160</v>
      </c>
      <c r="G71" s="8" t="s">
        <v>2161</v>
      </c>
      <c r="H71" s="8" t="s">
        <v>2162</v>
      </c>
      <c r="I71" s="8" t="s">
        <v>2163</v>
      </c>
      <c r="J71" s="8" t="s">
        <v>50</v>
      </c>
      <c r="K71" s="8"/>
      <c r="L71" s="8">
        <v>1</v>
      </c>
      <c r="M71" s="8" t="s">
        <v>33</v>
      </c>
      <c r="N71" s="8" t="s">
        <v>34</v>
      </c>
      <c r="O71" s="8"/>
      <c r="P71" s="7" t="str">
        <f t="shared" si="2"/>
        <v>Sí</v>
      </c>
      <c r="Q71" s="8"/>
      <c r="R71" s="11"/>
      <c r="S71" s="13"/>
      <c r="T71" s="9" t="s">
        <v>2164</v>
      </c>
    </row>
    <row r="72" spans="1:20" x14ac:dyDescent="0.3">
      <c r="A72" s="7" t="s">
        <v>2165</v>
      </c>
      <c r="B72" s="8" t="s">
        <v>36</v>
      </c>
      <c r="C72" s="9" t="s">
        <v>2166</v>
      </c>
      <c r="D72" s="8" t="s">
        <v>2158</v>
      </c>
      <c r="E72" s="8" t="s">
        <v>2159</v>
      </c>
      <c r="F72" s="8" t="s">
        <v>2160</v>
      </c>
      <c r="G72" s="8" t="s">
        <v>2161</v>
      </c>
      <c r="H72" s="8" t="s">
        <v>2167</v>
      </c>
      <c r="I72" s="8" t="s">
        <v>2168</v>
      </c>
      <c r="J72" s="8"/>
      <c r="K72" s="8"/>
      <c r="L72" s="8">
        <v>1</v>
      </c>
      <c r="M72" s="8" t="s">
        <v>54</v>
      </c>
      <c r="N72" s="8" t="s">
        <v>55</v>
      </c>
      <c r="O72" s="8" t="s">
        <v>46</v>
      </c>
      <c r="P72" s="7" t="str">
        <f t="shared" si="2"/>
        <v>No: fuera de servicio</v>
      </c>
      <c r="Q72" s="8"/>
      <c r="R72" s="11"/>
      <c r="S72" s="13" t="s">
        <v>2169</v>
      </c>
      <c r="T72" s="9" t="s">
        <v>2170</v>
      </c>
    </row>
    <row r="73" spans="1:20" x14ac:dyDescent="0.3">
      <c r="A73" s="7" t="s">
        <v>2171</v>
      </c>
      <c r="B73" s="8" t="s">
        <v>47</v>
      </c>
      <c r="C73" s="9"/>
      <c r="D73" s="8" t="s">
        <v>2172</v>
      </c>
      <c r="E73" s="8" t="s">
        <v>2173</v>
      </c>
      <c r="F73" s="8" t="s">
        <v>2174</v>
      </c>
      <c r="G73" s="8" t="s">
        <v>2175</v>
      </c>
      <c r="H73" s="8" t="s">
        <v>2176</v>
      </c>
      <c r="I73" s="8" t="s">
        <v>2177</v>
      </c>
      <c r="J73" s="8" t="s">
        <v>50</v>
      </c>
      <c r="K73" s="8"/>
      <c r="L73" s="8">
        <v>1</v>
      </c>
      <c r="M73" s="8" t="s">
        <v>33</v>
      </c>
      <c r="N73" s="8" t="s">
        <v>34</v>
      </c>
      <c r="O73" s="8"/>
      <c r="P73" s="7" t="str">
        <f t="shared" si="2"/>
        <v>Sí</v>
      </c>
      <c r="Q73" s="8"/>
      <c r="R73" s="11"/>
      <c r="S73" s="13"/>
      <c r="T73" s="9" t="s">
        <v>2178</v>
      </c>
    </row>
    <row r="74" spans="1:20" x14ac:dyDescent="0.3">
      <c r="A74" s="7" t="s">
        <v>2179</v>
      </c>
      <c r="B74" s="8" t="s">
        <v>47</v>
      </c>
      <c r="C74" s="9"/>
      <c r="D74" s="8" t="s">
        <v>2180</v>
      </c>
      <c r="E74" s="8" t="s">
        <v>2181</v>
      </c>
      <c r="F74" s="8" t="s">
        <v>2182</v>
      </c>
      <c r="G74" s="8"/>
      <c r="H74" s="8" t="s">
        <v>2183</v>
      </c>
      <c r="I74" s="8" t="s">
        <v>2184</v>
      </c>
      <c r="J74" s="8" t="s">
        <v>50</v>
      </c>
      <c r="K74" s="8"/>
      <c r="L74" s="8">
        <v>1</v>
      </c>
      <c r="M74" s="8" t="s">
        <v>33</v>
      </c>
      <c r="N74" s="8" t="s">
        <v>34</v>
      </c>
      <c r="O74" s="8"/>
      <c r="P74" s="7" t="str">
        <f t="shared" si="2"/>
        <v>Sí</v>
      </c>
      <c r="Q74" s="8"/>
      <c r="R74" s="11"/>
      <c r="S74" s="13"/>
      <c r="T74" s="9" t="s">
        <v>2185</v>
      </c>
    </row>
    <row r="75" spans="1:20" x14ac:dyDescent="0.3">
      <c r="A75" s="7" t="s">
        <v>2186</v>
      </c>
      <c r="B75" s="8" t="s">
        <v>47</v>
      </c>
      <c r="C75" s="9"/>
      <c r="D75" s="8" t="s">
        <v>2187</v>
      </c>
      <c r="E75" s="8" t="s">
        <v>2188</v>
      </c>
      <c r="F75" s="8"/>
      <c r="G75" s="8"/>
      <c r="H75" s="8" t="s">
        <v>2189</v>
      </c>
      <c r="I75" s="8" t="s">
        <v>2190</v>
      </c>
      <c r="J75" s="8" t="s">
        <v>59</v>
      </c>
      <c r="K75" s="8"/>
      <c r="L75" s="8">
        <v>1</v>
      </c>
      <c r="M75" s="8" t="s">
        <v>33</v>
      </c>
      <c r="N75" s="8" t="s">
        <v>34</v>
      </c>
      <c r="O75" s="8"/>
      <c r="P75" s="7" t="str">
        <f t="shared" si="2"/>
        <v>Sí</v>
      </c>
      <c r="Q75" s="8"/>
      <c r="R75" s="11"/>
      <c r="S75" s="13"/>
      <c r="T75" s="9" t="s">
        <v>2191</v>
      </c>
    </row>
    <row r="76" spans="1:20" x14ac:dyDescent="0.3">
      <c r="A76" s="7" t="s">
        <v>2192</v>
      </c>
      <c r="B76" s="8" t="s">
        <v>47</v>
      </c>
      <c r="C76" s="9"/>
      <c r="D76" s="8" t="s">
        <v>2187</v>
      </c>
      <c r="E76" s="8" t="s">
        <v>2188</v>
      </c>
      <c r="F76" s="8"/>
      <c r="G76" s="8"/>
      <c r="H76" s="8" t="s">
        <v>2193</v>
      </c>
      <c r="I76" s="8" t="s">
        <v>2194</v>
      </c>
      <c r="J76" s="8" t="s">
        <v>59</v>
      </c>
      <c r="K76" s="8"/>
      <c r="L76" s="8">
        <v>1</v>
      </c>
      <c r="M76" s="8" t="s">
        <v>33</v>
      </c>
      <c r="N76" s="8" t="s">
        <v>34</v>
      </c>
      <c r="O76" s="8"/>
      <c r="P76" s="7" t="str">
        <f t="shared" si="2"/>
        <v>Sí</v>
      </c>
      <c r="Q76" s="8"/>
      <c r="R76" s="11"/>
      <c r="S76" s="13"/>
      <c r="T76" s="9" t="s">
        <v>2195</v>
      </c>
    </row>
    <row r="77" spans="1:20" x14ac:dyDescent="0.3">
      <c r="A77" s="7" t="s">
        <v>2196</v>
      </c>
      <c r="B77" s="8" t="s">
        <v>47</v>
      </c>
      <c r="C77" s="9"/>
      <c r="D77" s="8" t="s">
        <v>2187</v>
      </c>
      <c r="E77" s="8" t="s">
        <v>2188</v>
      </c>
      <c r="F77" s="8"/>
      <c r="G77" s="8"/>
      <c r="H77" s="8" t="s">
        <v>2197</v>
      </c>
      <c r="I77" s="8" t="s">
        <v>2198</v>
      </c>
      <c r="J77" s="8" t="s">
        <v>59</v>
      </c>
      <c r="K77" s="8"/>
      <c r="L77" s="8">
        <v>1</v>
      </c>
      <c r="M77" s="8" t="s">
        <v>33</v>
      </c>
      <c r="N77" s="8" t="s">
        <v>34</v>
      </c>
      <c r="O77" s="8"/>
      <c r="P77" s="7" t="str">
        <f t="shared" si="2"/>
        <v>Sí</v>
      </c>
      <c r="Q77" s="8"/>
      <c r="R77" s="11"/>
      <c r="S77" s="13"/>
      <c r="T77" s="9" t="s">
        <v>2199</v>
      </c>
    </row>
    <row r="78" spans="1:20" x14ac:dyDescent="0.3">
      <c r="A78" s="7" t="s">
        <v>2200</v>
      </c>
      <c r="B78" s="8" t="s">
        <v>47</v>
      </c>
      <c r="C78" s="9"/>
      <c r="D78" s="8" t="s">
        <v>2201</v>
      </c>
      <c r="E78" s="8" t="s">
        <v>2188</v>
      </c>
      <c r="F78" s="8"/>
      <c r="G78" s="8"/>
      <c r="H78" s="8" t="s">
        <v>2202</v>
      </c>
      <c r="I78" s="8" t="s">
        <v>2203</v>
      </c>
      <c r="J78" s="8" t="s">
        <v>59</v>
      </c>
      <c r="K78" s="8"/>
      <c r="L78" s="8">
        <v>1</v>
      </c>
      <c r="M78" s="8" t="s">
        <v>33</v>
      </c>
      <c r="N78" s="8" t="s">
        <v>34</v>
      </c>
      <c r="O78" s="8"/>
      <c r="P78" s="7" t="str">
        <f t="shared" si="2"/>
        <v>Sí</v>
      </c>
      <c r="Q78" s="8"/>
      <c r="R78" s="11"/>
      <c r="S78" s="13"/>
      <c r="T78" s="9" t="s">
        <v>2204</v>
      </c>
    </row>
    <row r="79" spans="1:20" x14ac:dyDescent="0.3">
      <c r="A79" s="7" t="s">
        <v>2205</v>
      </c>
      <c r="B79" s="8" t="s">
        <v>47</v>
      </c>
      <c r="C79" s="9"/>
      <c r="D79" s="8" t="s">
        <v>2201</v>
      </c>
      <c r="E79" s="8" t="s">
        <v>2188</v>
      </c>
      <c r="F79" s="8"/>
      <c r="G79" s="8"/>
      <c r="H79" s="8" t="s">
        <v>2206</v>
      </c>
      <c r="I79" s="8" t="s">
        <v>2207</v>
      </c>
      <c r="J79" s="8" t="s">
        <v>59</v>
      </c>
      <c r="K79" s="8"/>
      <c r="L79" s="8">
        <v>1</v>
      </c>
      <c r="M79" s="8" t="s">
        <v>33</v>
      </c>
      <c r="N79" s="8" t="s">
        <v>34</v>
      </c>
      <c r="O79" s="8"/>
      <c r="P79" s="7" t="str">
        <f t="shared" si="2"/>
        <v>Sí</v>
      </c>
      <c r="Q79" s="8"/>
      <c r="R79" s="11"/>
      <c r="S79" s="13"/>
      <c r="T79" s="9" t="s">
        <v>2208</v>
      </c>
    </row>
    <row r="80" spans="1:20" x14ac:dyDescent="0.3">
      <c r="A80" s="7" t="s">
        <v>2209</v>
      </c>
      <c r="B80" s="8" t="s">
        <v>47</v>
      </c>
      <c r="C80" s="9"/>
      <c r="D80" s="8" t="s">
        <v>2201</v>
      </c>
      <c r="E80" s="8" t="s">
        <v>2188</v>
      </c>
      <c r="F80" s="8"/>
      <c r="G80" s="8"/>
      <c r="H80" s="8" t="s">
        <v>2210</v>
      </c>
      <c r="I80" s="8" t="s">
        <v>2211</v>
      </c>
      <c r="J80" s="8" t="s">
        <v>59</v>
      </c>
      <c r="K80" s="8"/>
      <c r="L80" s="8">
        <v>1</v>
      </c>
      <c r="M80" s="8" t="s">
        <v>33</v>
      </c>
      <c r="N80" s="8" t="s">
        <v>34</v>
      </c>
      <c r="O80" s="8"/>
      <c r="P80" s="7" t="str">
        <f t="shared" si="2"/>
        <v>Sí</v>
      </c>
      <c r="Q80" s="8"/>
      <c r="R80" s="11"/>
      <c r="S80" s="13"/>
      <c r="T80" s="9" t="s">
        <v>2212</v>
      </c>
    </row>
    <row r="81" spans="1:20" x14ac:dyDescent="0.3">
      <c r="A81" s="7" t="s">
        <v>2213</v>
      </c>
      <c r="B81" s="8" t="s">
        <v>47</v>
      </c>
      <c r="C81" s="9"/>
      <c r="D81" s="8" t="s">
        <v>2214</v>
      </c>
      <c r="E81" s="8" t="s">
        <v>2188</v>
      </c>
      <c r="F81" s="8"/>
      <c r="G81" s="8"/>
      <c r="H81" s="8"/>
      <c r="I81" s="8" t="s">
        <v>2215</v>
      </c>
      <c r="J81" s="8" t="s">
        <v>59</v>
      </c>
      <c r="K81" s="8"/>
      <c r="L81" s="8">
        <v>1</v>
      </c>
      <c r="M81" s="8" t="s">
        <v>33</v>
      </c>
      <c r="N81" s="8" t="s">
        <v>34</v>
      </c>
      <c r="O81" s="8"/>
      <c r="P81" s="7" t="str">
        <f t="shared" si="2"/>
        <v>Sí</v>
      </c>
      <c r="Q81" s="8"/>
      <c r="R81" s="11"/>
      <c r="S81" s="13"/>
      <c r="T81" s="9" t="s">
        <v>2216</v>
      </c>
    </row>
    <row r="82" spans="1:20" x14ac:dyDescent="0.3">
      <c r="A82" s="7" t="s">
        <v>2217</v>
      </c>
      <c r="B82" s="8" t="s">
        <v>47</v>
      </c>
      <c r="C82" s="9"/>
      <c r="D82" s="8" t="s">
        <v>2214</v>
      </c>
      <c r="E82" s="8" t="s">
        <v>2188</v>
      </c>
      <c r="F82" s="8"/>
      <c r="G82" s="8"/>
      <c r="H82" s="8"/>
      <c r="I82" s="8" t="s">
        <v>2218</v>
      </c>
      <c r="J82" s="8" t="s">
        <v>59</v>
      </c>
      <c r="K82" s="8"/>
      <c r="L82" s="8">
        <v>1</v>
      </c>
      <c r="M82" s="8" t="s">
        <v>33</v>
      </c>
      <c r="N82" s="8" t="s">
        <v>34</v>
      </c>
      <c r="O82" s="8"/>
      <c r="P82" s="7" t="str">
        <f t="shared" si="2"/>
        <v>Sí</v>
      </c>
      <c r="Q82" s="8"/>
      <c r="R82" s="11"/>
      <c r="S82" s="13"/>
      <c r="T82" s="9" t="s">
        <v>2219</v>
      </c>
    </row>
    <row r="83" spans="1:20" x14ac:dyDescent="0.3">
      <c r="A83" s="7" t="s">
        <v>2220</v>
      </c>
      <c r="B83" s="8" t="s">
        <v>47</v>
      </c>
      <c r="C83" s="9"/>
      <c r="D83" s="8" t="s">
        <v>2214</v>
      </c>
      <c r="E83" s="8" t="s">
        <v>2188</v>
      </c>
      <c r="F83" s="8"/>
      <c r="G83" s="8"/>
      <c r="H83" s="8"/>
      <c r="I83" s="8" t="s">
        <v>2221</v>
      </c>
      <c r="J83" s="8" t="s">
        <v>59</v>
      </c>
      <c r="K83" s="8"/>
      <c r="L83" s="8">
        <v>1</v>
      </c>
      <c r="M83" s="8" t="s">
        <v>33</v>
      </c>
      <c r="N83" s="8" t="s">
        <v>34</v>
      </c>
      <c r="O83" s="8"/>
      <c r="P83" s="7" t="str">
        <f t="shared" si="2"/>
        <v>Sí</v>
      </c>
      <c r="Q83" s="8"/>
      <c r="R83" s="11"/>
      <c r="S83" s="13"/>
      <c r="T83" s="9" t="s">
        <v>2222</v>
      </c>
    </row>
    <row r="84" spans="1:20" x14ac:dyDescent="0.3">
      <c r="A84" s="7" t="s">
        <v>2223</v>
      </c>
      <c r="B84" s="8" t="s">
        <v>47</v>
      </c>
      <c r="C84" s="9"/>
      <c r="D84" s="8" t="s">
        <v>2224</v>
      </c>
      <c r="E84" s="8" t="s">
        <v>1952</v>
      </c>
      <c r="F84" s="8" t="s">
        <v>1953</v>
      </c>
      <c r="G84" s="8" t="s">
        <v>2225</v>
      </c>
      <c r="H84" s="8" t="s">
        <v>2226</v>
      </c>
      <c r="I84" s="8" t="s">
        <v>2227</v>
      </c>
      <c r="J84" s="8" t="s">
        <v>50</v>
      </c>
      <c r="K84" s="8"/>
      <c r="L84" s="8">
        <v>1</v>
      </c>
      <c r="M84" s="8" t="s">
        <v>33</v>
      </c>
      <c r="N84" s="8" t="s">
        <v>34</v>
      </c>
      <c r="O84" s="8"/>
      <c r="P84" s="7" t="str">
        <f t="shared" si="2"/>
        <v>Sí</v>
      </c>
      <c r="Q84" s="8"/>
      <c r="R84" s="11"/>
      <c r="S84" s="13"/>
      <c r="T84" s="9" t="s">
        <v>2228</v>
      </c>
    </row>
    <row r="85" spans="1:20" x14ac:dyDescent="0.3">
      <c r="A85" s="7" t="s">
        <v>2229</v>
      </c>
      <c r="B85" s="8" t="s">
        <v>47</v>
      </c>
      <c r="C85" s="9"/>
      <c r="D85" s="8" t="s">
        <v>2230</v>
      </c>
      <c r="E85" s="8" t="s">
        <v>1983</v>
      </c>
      <c r="F85" s="8" t="s">
        <v>2231</v>
      </c>
      <c r="G85" s="8" t="s">
        <v>2232</v>
      </c>
      <c r="H85" s="8" t="s">
        <v>2233</v>
      </c>
      <c r="I85" s="8" t="s">
        <v>2234</v>
      </c>
      <c r="J85" s="8" t="s">
        <v>59</v>
      </c>
      <c r="K85" s="8"/>
      <c r="L85" s="8">
        <v>1</v>
      </c>
      <c r="M85" s="8" t="s">
        <v>54</v>
      </c>
      <c r="N85" s="8" t="s">
        <v>55</v>
      </c>
      <c r="O85" s="8"/>
      <c r="P85" s="7" t="str">
        <f t="shared" si="2"/>
        <v>No: fuera de servicio</v>
      </c>
      <c r="Q85" s="8"/>
      <c r="R85" s="11"/>
      <c r="S85" s="13"/>
      <c r="T85" s="9" t="s">
        <v>2235</v>
      </c>
    </row>
    <row r="86" spans="1:20" x14ac:dyDescent="0.3">
      <c r="A86" s="7" t="s">
        <v>2236</v>
      </c>
      <c r="B86" s="8" t="s">
        <v>47</v>
      </c>
      <c r="C86" s="9"/>
      <c r="D86" s="8" t="s">
        <v>2230</v>
      </c>
      <c r="E86" s="8" t="s">
        <v>1983</v>
      </c>
      <c r="F86" s="8" t="s">
        <v>2231</v>
      </c>
      <c r="G86" s="8" t="s">
        <v>2237</v>
      </c>
      <c r="H86" s="8" t="s">
        <v>2238</v>
      </c>
      <c r="I86" s="8" t="s">
        <v>2239</v>
      </c>
      <c r="J86" s="8" t="s">
        <v>59</v>
      </c>
      <c r="K86" s="8"/>
      <c r="L86" s="8">
        <v>1</v>
      </c>
      <c r="M86" s="8" t="s">
        <v>54</v>
      </c>
      <c r="N86" s="8" t="s">
        <v>55</v>
      </c>
      <c r="O86" s="8"/>
      <c r="P86" s="7" t="str">
        <f t="shared" si="2"/>
        <v>No: fuera de servicio</v>
      </c>
      <c r="Q86" s="8"/>
      <c r="R86" s="11"/>
      <c r="S86" s="13"/>
      <c r="T86" s="9" t="s">
        <v>2240</v>
      </c>
    </row>
    <row r="87" spans="1:20" x14ac:dyDescent="0.3">
      <c r="A87" s="7" t="s">
        <v>2241</v>
      </c>
      <c r="B87" s="8" t="s">
        <v>47</v>
      </c>
      <c r="C87" s="9"/>
      <c r="D87" s="8" t="s">
        <v>2242</v>
      </c>
      <c r="E87" s="8" t="s">
        <v>2243</v>
      </c>
      <c r="F87" s="8" t="s">
        <v>2244</v>
      </c>
      <c r="G87" s="8"/>
      <c r="H87" s="8" t="s">
        <v>2245</v>
      </c>
      <c r="I87" s="8" t="s">
        <v>2246</v>
      </c>
      <c r="J87" s="8" t="s">
        <v>39</v>
      </c>
      <c r="K87" s="8"/>
      <c r="L87" s="8">
        <v>1</v>
      </c>
      <c r="M87" s="8" t="s">
        <v>54</v>
      </c>
      <c r="N87" s="8" t="s">
        <v>55</v>
      </c>
      <c r="O87" s="8"/>
      <c r="P87" s="7" t="str">
        <f t="shared" si="2"/>
        <v>No: fuera de servicio</v>
      </c>
      <c r="Q87" s="8"/>
      <c r="R87" s="11"/>
      <c r="S87" s="13"/>
      <c r="T87" s="9" t="s">
        <v>2247</v>
      </c>
    </row>
    <row r="88" spans="1:20" x14ac:dyDescent="0.3">
      <c r="A88" s="7" t="s">
        <v>2248</v>
      </c>
      <c r="B88" s="8" t="s">
        <v>47</v>
      </c>
      <c r="C88" s="9"/>
      <c r="D88" s="8" t="s">
        <v>2249</v>
      </c>
      <c r="E88" s="8" t="s">
        <v>2250</v>
      </c>
      <c r="F88" s="8"/>
      <c r="G88" s="8"/>
      <c r="H88" s="8"/>
      <c r="I88" s="8" t="s">
        <v>2251</v>
      </c>
      <c r="J88" s="8" t="s">
        <v>59</v>
      </c>
      <c r="K88" s="8"/>
      <c r="L88" s="8">
        <v>1</v>
      </c>
      <c r="M88" s="8" t="s">
        <v>33</v>
      </c>
      <c r="N88" s="8" t="s">
        <v>34</v>
      </c>
      <c r="O88" s="8"/>
      <c r="P88" s="7" t="str">
        <f t="shared" si="2"/>
        <v>Sí</v>
      </c>
      <c r="Q88" s="8"/>
      <c r="R88" s="11"/>
      <c r="S88" s="13"/>
      <c r="T88" s="9" t="s">
        <v>2252</v>
      </c>
    </row>
    <row r="89" spans="1:20" x14ac:dyDescent="0.3">
      <c r="A89" s="7" t="s">
        <v>2253</v>
      </c>
      <c r="B89" s="8" t="s">
        <v>47</v>
      </c>
      <c r="C89" s="9"/>
      <c r="D89" s="8" t="s">
        <v>2249</v>
      </c>
      <c r="E89" s="8" t="s">
        <v>2250</v>
      </c>
      <c r="F89" s="8"/>
      <c r="G89" s="8"/>
      <c r="H89" s="8"/>
      <c r="I89" s="8" t="s">
        <v>2254</v>
      </c>
      <c r="J89" s="8" t="s">
        <v>59</v>
      </c>
      <c r="K89" s="8"/>
      <c r="L89" s="8">
        <v>1</v>
      </c>
      <c r="M89" s="8" t="s">
        <v>33</v>
      </c>
      <c r="N89" s="8" t="s">
        <v>34</v>
      </c>
      <c r="O89" s="8"/>
      <c r="P89" s="7" t="str">
        <f t="shared" si="2"/>
        <v>Sí</v>
      </c>
      <c r="Q89" s="8"/>
      <c r="R89" s="11"/>
      <c r="S89" s="13"/>
      <c r="T89" s="9" t="s">
        <v>2255</v>
      </c>
    </row>
    <row r="90" spans="1:20" x14ac:dyDescent="0.3">
      <c r="A90" s="7" t="s">
        <v>2256</v>
      </c>
      <c r="B90" s="8" t="s">
        <v>47</v>
      </c>
      <c r="C90" s="9"/>
      <c r="D90" s="8" t="s">
        <v>2249</v>
      </c>
      <c r="E90" s="8" t="s">
        <v>2250</v>
      </c>
      <c r="F90" s="8"/>
      <c r="G90" s="8"/>
      <c r="H90" s="8"/>
      <c r="I90" s="8" t="s">
        <v>2257</v>
      </c>
      <c r="J90" s="8" t="s">
        <v>59</v>
      </c>
      <c r="K90" s="8"/>
      <c r="L90" s="8">
        <v>1</v>
      </c>
      <c r="M90" s="8" t="s">
        <v>33</v>
      </c>
      <c r="N90" s="8" t="s">
        <v>34</v>
      </c>
      <c r="O90" s="8"/>
      <c r="P90" s="7" t="str">
        <f t="shared" si="2"/>
        <v>Sí</v>
      </c>
      <c r="Q90" s="8"/>
      <c r="R90" s="11"/>
      <c r="S90" s="13"/>
      <c r="T90" s="9" t="s">
        <v>2258</v>
      </c>
    </row>
    <row r="91" spans="1:20" x14ac:dyDescent="0.3">
      <c r="A91" s="7" t="s">
        <v>2259</v>
      </c>
      <c r="B91" s="8" t="s">
        <v>47</v>
      </c>
      <c r="C91" s="9"/>
      <c r="D91" s="8" t="s">
        <v>2260</v>
      </c>
      <c r="E91" s="8" t="s">
        <v>2188</v>
      </c>
      <c r="F91" s="8"/>
      <c r="G91" s="8"/>
      <c r="H91" s="8" t="s">
        <v>2261</v>
      </c>
      <c r="I91" s="8" t="s">
        <v>2262</v>
      </c>
      <c r="J91" s="8" t="s">
        <v>59</v>
      </c>
      <c r="K91" s="8"/>
      <c r="L91" s="8">
        <v>1</v>
      </c>
      <c r="M91" s="8" t="s">
        <v>33</v>
      </c>
      <c r="N91" s="8" t="s">
        <v>34</v>
      </c>
      <c r="O91" s="8"/>
      <c r="P91" s="7" t="str">
        <f t="shared" si="2"/>
        <v>Sí</v>
      </c>
      <c r="Q91" s="8"/>
      <c r="R91" s="11"/>
      <c r="S91" s="13"/>
      <c r="T91" s="9" t="s">
        <v>2263</v>
      </c>
    </row>
    <row r="92" spans="1:20" x14ac:dyDescent="0.3">
      <c r="A92" s="7" t="s">
        <v>2264</v>
      </c>
      <c r="B92" s="8" t="s">
        <v>36</v>
      </c>
      <c r="C92" s="9" t="s">
        <v>2265</v>
      </c>
      <c r="D92" s="8" t="s">
        <v>2260</v>
      </c>
      <c r="E92" s="8" t="s">
        <v>2188</v>
      </c>
      <c r="F92" s="8"/>
      <c r="G92" s="8"/>
      <c r="H92" s="8" t="s">
        <v>2266</v>
      </c>
      <c r="I92" s="8" t="s">
        <v>2267</v>
      </c>
      <c r="J92" s="8"/>
      <c r="K92" s="8"/>
      <c r="L92" s="8">
        <v>1</v>
      </c>
      <c r="M92" s="8" t="s">
        <v>33</v>
      </c>
      <c r="N92" s="8" t="s">
        <v>34</v>
      </c>
      <c r="O92" s="8" t="s">
        <v>35</v>
      </c>
      <c r="P92" s="7" t="str">
        <f t="shared" si="2"/>
        <v>Sí, pero está en Turbo: hacer el traslado a Carepa</v>
      </c>
      <c r="Q92" s="8"/>
      <c r="R92" s="11"/>
      <c r="S92" s="13" t="s">
        <v>2268</v>
      </c>
      <c r="T92" s="9" t="s">
        <v>2269</v>
      </c>
    </row>
    <row r="93" spans="1:20" x14ac:dyDescent="0.3">
      <c r="A93" s="7" t="s">
        <v>2270</v>
      </c>
      <c r="B93" s="8" t="s">
        <v>47</v>
      </c>
      <c r="C93" s="9"/>
      <c r="D93" s="8" t="s">
        <v>2260</v>
      </c>
      <c r="E93" s="8" t="s">
        <v>2188</v>
      </c>
      <c r="F93" s="8"/>
      <c r="G93" s="8"/>
      <c r="H93" s="8" t="s">
        <v>2271</v>
      </c>
      <c r="I93" s="8" t="s">
        <v>2272</v>
      </c>
      <c r="J93" s="8" t="s">
        <v>59</v>
      </c>
      <c r="K93" s="8"/>
      <c r="L93" s="8">
        <v>1</v>
      </c>
      <c r="M93" s="8" t="s">
        <v>33</v>
      </c>
      <c r="N93" s="8" t="s">
        <v>34</v>
      </c>
      <c r="O93" s="8"/>
      <c r="P93" s="7" t="str">
        <f t="shared" si="2"/>
        <v>Sí</v>
      </c>
      <c r="Q93" s="8"/>
      <c r="R93" s="11"/>
      <c r="S93" s="13"/>
      <c r="T93" s="9" t="s">
        <v>2273</v>
      </c>
    </row>
    <row r="94" spans="1:20" x14ac:dyDescent="0.3">
      <c r="A94" s="7" t="s">
        <v>2274</v>
      </c>
      <c r="B94" s="8" t="s">
        <v>47</v>
      </c>
      <c r="C94" s="9"/>
      <c r="D94" s="8" t="s">
        <v>2275</v>
      </c>
      <c r="E94" s="8" t="s">
        <v>2276</v>
      </c>
      <c r="F94" s="8"/>
      <c r="G94" s="8"/>
      <c r="H94" s="8" t="s">
        <v>2277</v>
      </c>
      <c r="I94" s="8" t="s">
        <v>2278</v>
      </c>
      <c r="J94" s="8" t="s">
        <v>59</v>
      </c>
      <c r="K94" s="8"/>
      <c r="L94" s="8">
        <v>1</v>
      </c>
      <c r="M94" s="8" t="s">
        <v>33</v>
      </c>
      <c r="N94" s="8" t="s">
        <v>34</v>
      </c>
      <c r="O94" s="8"/>
      <c r="P94" s="7" t="str">
        <f t="shared" si="2"/>
        <v>Sí</v>
      </c>
      <c r="Q94" s="8"/>
      <c r="R94" s="11"/>
      <c r="S94" s="13"/>
      <c r="T94" s="9" t="s">
        <v>2279</v>
      </c>
    </row>
    <row r="95" spans="1:20" x14ac:dyDescent="0.3">
      <c r="A95" s="7" t="s">
        <v>2280</v>
      </c>
      <c r="B95" s="8" t="s">
        <v>47</v>
      </c>
      <c r="C95" s="9"/>
      <c r="D95" s="8" t="s">
        <v>2275</v>
      </c>
      <c r="E95" s="8" t="s">
        <v>2276</v>
      </c>
      <c r="F95" s="8"/>
      <c r="G95" s="8"/>
      <c r="H95" s="8" t="s">
        <v>2281</v>
      </c>
      <c r="I95" s="8" t="s">
        <v>2282</v>
      </c>
      <c r="J95" s="8" t="s">
        <v>59</v>
      </c>
      <c r="K95" s="8"/>
      <c r="L95" s="8">
        <v>1</v>
      </c>
      <c r="M95" s="8" t="s">
        <v>33</v>
      </c>
      <c r="N95" s="8" t="s">
        <v>34</v>
      </c>
      <c r="O95" s="8"/>
      <c r="P95" s="7" t="str">
        <f t="shared" si="2"/>
        <v>Sí</v>
      </c>
      <c r="Q95" s="8"/>
      <c r="R95" s="11"/>
      <c r="S95" s="13"/>
      <c r="T95" s="9" t="s">
        <v>2283</v>
      </c>
    </row>
    <row r="96" spans="1:20" x14ac:dyDescent="0.3">
      <c r="A96" s="7" t="s">
        <v>2284</v>
      </c>
      <c r="B96" s="8" t="s">
        <v>47</v>
      </c>
      <c r="C96" s="9"/>
      <c r="D96" s="8" t="s">
        <v>2275</v>
      </c>
      <c r="E96" s="8" t="s">
        <v>2276</v>
      </c>
      <c r="F96" s="8"/>
      <c r="G96" s="8"/>
      <c r="H96" s="8" t="s">
        <v>2285</v>
      </c>
      <c r="I96" s="8" t="s">
        <v>2286</v>
      </c>
      <c r="J96" s="8" t="s">
        <v>59</v>
      </c>
      <c r="K96" s="8"/>
      <c r="L96" s="8">
        <v>1</v>
      </c>
      <c r="M96" s="8" t="s">
        <v>33</v>
      </c>
      <c r="N96" s="8" t="s">
        <v>34</v>
      </c>
      <c r="O96" s="8"/>
      <c r="P96" s="7" t="str">
        <f t="shared" si="2"/>
        <v>Sí</v>
      </c>
      <c r="Q96" s="8"/>
      <c r="R96" s="11"/>
      <c r="S96" s="13"/>
      <c r="T96" s="9" t="s">
        <v>2287</v>
      </c>
    </row>
    <row r="97" spans="1:20" x14ac:dyDescent="0.3">
      <c r="A97" s="7" t="s">
        <v>2288</v>
      </c>
      <c r="B97" s="8" t="s">
        <v>47</v>
      </c>
      <c r="C97" s="9"/>
      <c r="D97" s="8" t="s">
        <v>2289</v>
      </c>
      <c r="E97" s="8" t="s">
        <v>2290</v>
      </c>
      <c r="F97" s="8"/>
      <c r="G97" s="8"/>
      <c r="H97" s="8" t="s">
        <v>2291</v>
      </c>
      <c r="I97" s="8" t="s">
        <v>2292</v>
      </c>
      <c r="J97" s="8" t="s">
        <v>59</v>
      </c>
      <c r="K97" s="8"/>
      <c r="L97" s="8">
        <v>1</v>
      </c>
      <c r="M97" s="8" t="s">
        <v>33</v>
      </c>
      <c r="N97" s="8" t="s">
        <v>34</v>
      </c>
      <c r="O97" s="8"/>
      <c r="P97" s="7" t="str">
        <f t="shared" si="2"/>
        <v>Sí</v>
      </c>
      <c r="Q97" s="8"/>
      <c r="R97" s="11"/>
      <c r="S97" s="13"/>
      <c r="T97" s="9" t="s">
        <v>2293</v>
      </c>
    </row>
    <row r="98" spans="1:20" x14ac:dyDescent="0.3">
      <c r="A98" s="7" t="s">
        <v>2294</v>
      </c>
      <c r="B98" s="8" t="s">
        <v>47</v>
      </c>
      <c r="C98" s="9"/>
      <c r="D98" s="8" t="s">
        <v>2289</v>
      </c>
      <c r="E98" s="8" t="s">
        <v>2290</v>
      </c>
      <c r="F98" s="8"/>
      <c r="G98" s="8"/>
      <c r="H98" s="8" t="s">
        <v>2295</v>
      </c>
      <c r="I98" s="8" t="s">
        <v>2296</v>
      </c>
      <c r="J98" s="8" t="s">
        <v>59</v>
      </c>
      <c r="K98" s="8"/>
      <c r="L98" s="8">
        <v>1</v>
      </c>
      <c r="M98" s="8" t="s">
        <v>33</v>
      </c>
      <c r="N98" s="8" t="s">
        <v>34</v>
      </c>
      <c r="O98" s="8"/>
      <c r="P98" s="7" t="str">
        <f t="shared" ref="P98:P129" si="3">IF(D98="","",IF(M98="Baja","No: dado de baja",IF(M98="Fuera de servicio","No: fuera de servicio",IF(M98="En mantenimiento","No: en mantenimiento",IF(O98&lt;&gt;"","Sí, pero está en "&amp;O98&amp;": hacer el traslado a Carepa","Sí")))))</f>
        <v>Sí</v>
      </c>
      <c r="Q98" s="8"/>
      <c r="R98" s="11"/>
      <c r="S98" s="13"/>
      <c r="T98" s="9" t="s">
        <v>2297</v>
      </c>
    </row>
    <row r="99" spans="1:20" x14ac:dyDescent="0.3">
      <c r="A99" s="7" t="s">
        <v>2298</v>
      </c>
      <c r="B99" s="8" t="s">
        <v>47</v>
      </c>
      <c r="C99" s="9"/>
      <c r="D99" s="8" t="s">
        <v>2289</v>
      </c>
      <c r="E99" s="8" t="s">
        <v>2290</v>
      </c>
      <c r="F99" s="8"/>
      <c r="G99" s="8"/>
      <c r="H99" s="8" t="s">
        <v>2299</v>
      </c>
      <c r="I99" s="8" t="s">
        <v>2300</v>
      </c>
      <c r="J99" s="8" t="s">
        <v>59</v>
      </c>
      <c r="K99" s="8"/>
      <c r="L99" s="8">
        <v>1</v>
      </c>
      <c r="M99" s="8" t="s">
        <v>33</v>
      </c>
      <c r="N99" s="8" t="s">
        <v>34</v>
      </c>
      <c r="O99" s="8"/>
      <c r="P99" s="7" t="str">
        <f t="shared" si="3"/>
        <v>Sí</v>
      </c>
      <c r="Q99" s="8"/>
      <c r="R99" s="11"/>
      <c r="S99" s="13"/>
      <c r="T99" s="9" t="s">
        <v>2301</v>
      </c>
    </row>
    <row r="100" spans="1:20" x14ac:dyDescent="0.3">
      <c r="A100" s="7" t="s">
        <v>2302</v>
      </c>
      <c r="B100" s="8" t="s">
        <v>47</v>
      </c>
      <c r="C100" s="9"/>
      <c r="D100" s="8" t="s">
        <v>2303</v>
      </c>
      <c r="E100" s="8" t="s">
        <v>2188</v>
      </c>
      <c r="F100" s="8"/>
      <c r="G100" s="8"/>
      <c r="H100" s="8" t="s">
        <v>2304</v>
      </c>
      <c r="I100" s="8" t="s">
        <v>2305</v>
      </c>
      <c r="J100" s="8" t="s">
        <v>59</v>
      </c>
      <c r="K100" s="8"/>
      <c r="L100" s="8">
        <v>1</v>
      </c>
      <c r="M100" s="8" t="s">
        <v>33</v>
      </c>
      <c r="N100" s="8" t="s">
        <v>34</v>
      </c>
      <c r="O100" s="8"/>
      <c r="P100" s="7" t="str">
        <f t="shared" si="3"/>
        <v>Sí</v>
      </c>
      <c r="Q100" s="8"/>
      <c r="R100" s="11"/>
      <c r="S100" s="13"/>
      <c r="T100" s="9" t="s">
        <v>2306</v>
      </c>
    </row>
    <row r="101" spans="1:20" x14ac:dyDescent="0.3">
      <c r="A101" s="7" t="s">
        <v>2307</v>
      </c>
      <c r="B101" s="8" t="s">
        <v>47</v>
      </c>
      <c r="C101" s="9"/>
      <c r="D101" s="8" t="s">
        <v>2303</v>
      </c>
      <c r="E101" s="8" t="s">
        <v>2188</v>
      </c>
      <c r="F101" s="8"/>
      <c r="G101" s="8"/>
      <c r="H101" s="8" t="s">
        <v>2308</v>
      </c>
      <c r="I101" s="8" t="s">
        <v>2309</v>
      </c>
      <c r="J101" s="8" t="s">
        <v>59</v>
      </c>
      <c r="K101" s="8"/>
      <c r="L101" s="8">
        <v>1</v>
      </c>
      <c r="M101" s="8" t="s">
        <v>33</v>
      </c>
      <c r="N101" s="8" t="s">
        <v>34</v>
      </c>
      <c r="O101" s="8"/>
      <c r="P101" s="7" t="str">
        <f t="shared" si="3"/>
        <v>Sí</v>
      </c>
      <c r="Q101" s="8"/>
      <c r="R101" s="11"/>
      <c r="S101" s="13"/>
      <c r="T101" s="9" t="s">
        <v>2310</v>
      </c>
    </row>
    <row r="102" spans="1:20" x14ac:dyDescent="0.3">
      <c r="A102" s="7" t="s">
        <v>2311</v>
      </c>
      <c r="B102" s="8" t="s">
        <v>47</v>
      </c>
      <c r="C102" s="9"/>
      <c r="D102" s="8" t="s">
        <v>2303</v>
      </c>
      <c r="E102" s="8" t="s">
        <v>2188</v>
      </c>
      <c r="F102" s="8"/>
      <c r="G102" s="8"/>
      <c r="H102" s="8" t="s">
        <v>2312</v>
      </c>
      <c r="I102" s="8" t="s">
        <v>2313</v>
      </c>
      <c r="J102" s="8" t="s">
        <v>59</v>
      </c>
      <c r="K102" s="8"/>
      <c r="L102" s="8">
        <v>1</v>
      </c>
      <c r="M102" s="8" t="s">
        <v>33</v>
      </c>
      <c r="N102" s="8" t="s">
        <v>34</v>
      </c>
      <c r="O102" s="8"/>
      <c r="P102" s="7" t="str">
        <f t="shared" si="3"/>
        <v>Sí</v>
      </c>
      <c r="Q102" s="8"/>
      <c r="R102" s="11"/>
      <c r="S102" s="13"/>
      <c r="T102" s="9" t="s">
        <v>2314</v>
      </c>
    </row>
    <row r="103" spans="1:20" x14ac:dyDescent="0.3">
      <c r="A103" s="7" t="s">
        <v>2315</v>
      </c>
      <c r="B103" s="8" t="s">
        <v>47</v>
      </c>
      <c r="C103" s="9"/>
      <c r="D103" s="8" t="s">
        <v>2316</v>
      </c>
      <c r="E103" s="8" t="s">
        <v>2317</v>
      </c>
      <c r="F103" s="8"/>
      <c r="G103" s="8"/>
      <c r="H103" s="8"/>
      <c r="I103" s="8"/>
      <c r="J103" s="8" t="s">
        <v>59</v>
      </c>
      <c r="K103" s="8"/>
      <c r="L103" s="8">
        <v>1</v>
      </c>
      <c r="M103" s="8" t="s">
        <v>33</v>
      </c>
      <c r="N103" s="8" t="s">
        <v>34</v>
      </c>
      <c r="O103" s="8"/>
      <c r="P103" s="7" t="str">
        <f t="shared" si="3"/>
        <v>Sí</v>
      </c>
      <c r="Q103" s="8"/>
      <c r="R103" s="11"/>
      <c r="S103" s="13" t="s">
        <v>2318</v>
      </c>
      <c r="T103" s="9" t="s">
        <v>2319</v>
      </c>
    </row>
    <row r="104" spans="1:20" x14ac:dyDescent="0.3">
      <c r="A104" s="7" t="s">
        <v>2320</v>
      </c>
      <c r="B104" s="8" t="s">
        <v>36</v>
      </c>
      <c r="C104" s="9" t="s">
        <v>2265</v>
      </c>
      <c r="D104" s="8" t="s">
        <v>2321</v>
      </c>
      <c r="E104" s="8" t="s">
        <v>2322</v>
      </c>
      <c r="F104" s="8" t="s">
        <v>2323</v>
      </c>
      <c r="G104" s="8" t="s">
        <v>2324</v>
      </c>
      <c r="H104" s="8" t="s">
        <v>2325</v>
      </c>
      <c r="I104" s="8" t="s">
        <v>2326</v>
      </c>
      <c r="J104" s="8"/>
      <c r="K104" s="8"/>
      <c r="L104" s="8">
        <v>1</v>
      </c>
      <c r="M104" s="8" t="s">
        <v>33</v>
      </c>
      <c r="N104" s="8" t="s">
        <v>34</v>
      </c>
      <c r="O104" s="8" t="s">
        <v>35</v>
      </c>
      <c r="P104" s="7" t="str">
        <f t="shared" si="3"/>
        <v>Sí, pero está en Turbo: hacer el traslado a Carepa</v>
      </c>
      <c r="Q104" s="8"/>
      <c r="R104" s="11"/>
      <c r="S104" s="13" t="s">
        <v>2268</v>
      </c>
      <c r="T104" s="9" t="s">
        <v>2327</v>
      </c>
    </row>
    <row r="105" spans="1:20" x14ac:dyDescent="0.3">
      <c r="A105" s="7" t="s">
        <v>2328</v>
      </c>
      <c r="B105" s="8" t="s">
        <v>47</v>
      </c>
      <c r="C105" s="9"/>
      <c r="D105" s="8" t="s">
        <v>2329</v>
      </c>
      <c r="E105" s="8" t="s">
        <v>2330</v>
      </c>
      <c r="F105" s="8"/>
      <c r="G105" s="8"/>
      <c r="H105" s="8"/>
      <c r="I105" s="8"/>
      <c r="J105" s="8" t="s">
        <v>50</v>
      </c>
      <c r="K105" s="8"/>
      <c r="L105" s="8">
        <v>1</v>
      </c>
      <c r="M105" s="8" t="s">
        <v>33</v>
      </c>
      <c r="N105" s="8" t="s">
        <v>34</v>
      </c>
      <c r="O105" s="8"/>
      <c r="P105" s="7" t="str">
        <f t="shared" si="3"/>
        <v>Sí</v>
      </c>
      <c r="Q105" s="8"/>
      <c r="R105" s="11"/>
      <c r="S105" s="13"/>
      <c r="T105" s="9" t="s">
        <v>2331</v>
      </c>
    </row>
    <row r="106" spans="1:20" x14ac:dyDescent="0.3">
      <c r="A106" s="7" t="s">
        <v>2332</v>
      </c>
      <c r="B106" s="8" t="s">
        <v>47</v>
      </c>
      <c r="C106" s="9"/>
      <c r="D106" s="8" t="s">
        <v>2333</v>
      </c>
      <c r="E106" s="8" t="s">
        <v>2334</v>
      </c>
      <c r="F106" s="8" t="s">
        <v>2335</v>
      </c>
      <c r="G106" s="8" t="s">
        <v>2336</v>
      </c>
      <c r="H106" s="8"/>
      <c r="I106" s="8"/>
      <c r="J106" s="8" t="s">
        <v>59</v>
      </c>
      <c r="K106" s="8"/>
      <c r="L106" s="8">
        <v>1</v>
      </c>
      <c r="M106" s="8" t="s">
        <v>33</v>
      </c>
      <c r="N106" s="8" t="s">
        <v>34</v>
      </c>
      <c r="O106" s="8"/>
      <c r="P106" s="7" t="str">
        <f t="shared" si="3"/>
        <v>Sí</v>
      </c>
      <c r="Q106" s="8"/>
      <c r="R106" s="11"/>
      <c r="S106" s="13"/>
      <c r="T106" s="9" t="s">
        <v>2337</v>
      </c>
    </row>
    <row r="107" spans="1:20" x14ac:dyDescent="0.3">
      <c r="A107" s="7" t="s">
        <v>2338</v>
      </c>
      <c r="B107" s="8" t="s">
        <v>47</v>
      </c>
      <c r="C107" s="9"/>
      <c r="D107" s="8" t="s">
        <v>2333</v>
      </c>
      <c r="E107" s="8" t="s">
        <v>2334</v>
      </c>
      <c r="F107" s="8" t="s">
        <v>2335</v>
      </c>
      <c r="G107" s="8" t="s">
        <v>2339</v>
      </c>
      <c r="H107" s="8"/>
      <c r="I107" s="8"/>
      <c r="J107" s="8" t="s">
        <v>59</v>
      </c>
      <c r="K107" s="8"/>
      <c r="L107" s="8">
        <v>1</v>
      </c>
      <c r="M107" s="8" t="s">
        <v>33</v>
      </c>
      <c r="N107" s="8" t="s">
        <v>34</v>
      </c>
      <c r="O107" s="8"/>
      <c r="P107" s="7" t="str">
        <f t="shared" si="3"/>
        <v>Sí</v>
      </c>
      <c r="Q107" s="8"/>
      <c r="R107" s="11"/>
      <c r="S107" s="13"/>
      <c r="T107" s="9" t="s">
        <v>2340</v>
      </c>
    </row>
    <row r="108" spans="1:20" x14ac:dyDescent="0.3">
      <c r="A108" s="7" t="s">
        <v>2341</v>
      </c>
      <c r="B108" s="8" t="s">
        <v>47</v>
      </c>
      <c r="C108" s="9"/>
      <c r="D108" s="8" t="s">
        <v>2333</v>
      </c>
      <c r="E108" s="8" t="s">
        <v>2334</v>
      </c>
      <c r="F108" s="8" t="s">
        <v>2335</v>
      </c>
      <c r="G108" s="8" t="s">
        <v>2342</v>
      </c>
      <c r="H108" s="8"/>
      <c r="I108" s="8"/>
      <c r="J108" s="8" t="s">
        <v>59</v>
      </c>
      <c r="K108" s="8"/>
      <c r="L108" s="8">
        <v>1</v>
      </c>
      <c r="M108" s="8" t="s">
        <v>33</v>
      </c>
      <c r="N108" s="8" t="s">
        <v>34</v>
      </c>
      <c r="O108" s="8"/>
      <c r="P108" s="7" t="str">
        <f t="shared" si="3"/>
        <v>Sí</v>
      </c>
      <c r="Q108" s="8"/>
      <c r="R108" s="11"/>
      <c r="S108" s="13"/>
      <c r="T108" s="9" t="s">
        <v>2343</v>
      </c>
    </row>
    <row r="109" spans="1:20" x14ac:dyDescent="0.3">
      <c r="A109" s="7" t="s">
        <v>2344</v>
      </c>
      <c r="B109" s="8" t="s">
        <v>47</v>
      </c>
      <c r="C109" s="9"/>
      <c r="D109" s="8" t="s">
        <v>2333</v>
      </c>
      <c r="E109" s="8" t="s">
        <v>2334</v>
      </c>
      <c r="F109" s="8" t="s">
        <v>2335</v>
      </c>
      <c r="G109" s="8" t="s">
        <v>2345</v>
      </c>
      <c r="H109" s="8"/>
      <c r="I109" s="8"/>
      <c r="J109" s="8" t="s">
        <v>59</v>
      </c>
      <c r="K109" s="8"/>
      <c r="L109" s="8">
        <v>1</v>
      </c>
      <c r="M109" s="8" t="s">
        <v>33</v>
      </c>
      <c r="N109" s="8" t="s">
        <v>34</v>
      </c>
      <c r="O109" s="8"/>
      <c r="P109" s="7" t="str">
        <f t="shared" si="3"/>
        <v>Sí</v>
      </c>
      <c r="Q109" s="8"/>
      <c r="R109" s="11"/>
      <c r="S109" s="13"/>
      <c r="T109" s="9" t="s">
        <v>2346</v>
      </c>
    </row>
    <row r="110" spans="1:20" x14ac:dyDescent="0.3">
      <c r="A110" s="7" t="s">
        <v>2347</v>
      </c>
      <c r="B110" s="8" t="s">
        <v>47</v>
      </c>
      <c r="C110" s="9"/>
      <c r="D110" s="8" t="s">
        <v>2348</v>
      </c>
      <c r="E110" s="8" t="s">
        <v>2334</v>
      </c>
      <c r="F110" s="8" t="s">
        <v>2349</v>
      </c>
      <c r="G110" s="8" t="s">
        <v>2350</v>
      </c>
      <c r="H110" s="8"/>
      <c r="I110" s="8"/>
      <c r="J110" s="8" t="s">
        <v>59</v>
      </c>
      <c r="K110" s="8"/>
      <c r="L110" s="8">
        <v>1</v>
      </c>
      <c r="M110" s="8" t="s">
        <v>33</v>
      </c>
      <c r="N110" s="8" t="s">
        <v>34</v>
      </c>
      <c r="O110" s="8"/>
      <c r="P110" s="7" t="str">
        <f t="shared" si="3"/>
        <v>Sí</v>
      </c>
      <c r="Q110" s="8"/>
      <c r="R110" s="11"/>
      <c r="S110" s="13"/>
      <c r="T110" s="9" t="s">
        <v>2351</v>
      </c>
    </row>
    <row r="111" spans="1:20" x14ac:dyDescent="0.3">
      <c r="A111" s="7" t="s">
        <v>2352</v>
      </c>
      <c r="B111" s="8" t="s">
        <v>47</v>
      </c>
      <c r="C111" s="9"/>
      <c r="D111" s="8" t="s">
        <v>2348</v>
      </c>
      <c r="E111" s="8" t="s">
        <v>2334</v>
      </c>
      <c r="F111" s="8" t="s">
        <v>2349</v>
      </c>
      <c r="G111" s="8" t="s">
        <v>2353</v>
      </c>
      <c r="H111" s="8"/>
      <c r="I111" s="8"/>
      <c r="J111" s="8" t="s">
        <v>59</v>
      </c>
      <c r="K111" s="8"/>
      <c r="L111" s="8">
        <v>1</v>
      </c>
      <c r="M111" s="8" t="s">
        <v>33</v>
      </c>
      <c r="N111" s="8" t="s">
        <v>34</v>
      </c>
      <c r="O111" s="8"/>
      <c r="P111" s="7" t="str">
        <f t="shared" si="3"/>
        <v>Sí</v>
      </c>
      <c r="Q111" s="8"/>
      <c r="R111" s="11"/>
      <c r="S111" s="13"/>
      <c r="T111" s="9" t="s">
        <v>2354</v>
      </c>
    </row>
    <row r="112" spans="1:20" x14ac:dyDescent="0.3">
      <c r="A112" s="7" t="s">
        <v>2355</v>
      </c>
      <c r="B112" s="8" t="s">
        <v>47</v>
      </c>
      <c r="C112" s="9"/>
      <c r="D112" s="8" t="s">
        <v>2348</v>
      </c>
      <c r="E112" s="8" t="s">
        <v>2334</v>
      </c>
      <c r="F112" s="8" t="s">
        <v>2349</v>
      </c>
      <c r="G112" s="8" t="s">
        <v>2356</v>
      </c>
      <c r="H112" s="8"/>
      <c r="I112" s="8"/>
      <c r="J112" s="8" t="s">
        <v>59</v>
      </c>
      <c r="K112" s="8"/>
      <c r="L112" s="8">
        <v>1</v>
      </c>
      <c r="M112" s="8" t="s">
        <v>33</v>
      </c>
      <c r="N112" s="8" t="s">
        <v>34</v>
      </c>
      <c r="O112" s="8"/>
      <c r="P112" s="7" t="str">
        <f t="shared" si="3"/>
        <v>Sí</v>
      </c>
      <c r="Q112" s="8"/>
      <c r="R112" s="11"/>
      <c r="S112" s="13"/>
      <c r="T112" s="9" t="s">
        <v>2357</v>
      </c>
    </row>
    <row r="113" spans="1:20" x14ac:dyDescent="0.3">
      <c r="A113" s="7" t="s">
        <v>2358</v>
      </c>
      <c r="B113" s="8" t="s">
        <v>47</v>
      </c>
      <c r="C113" s="9"/>
      <c r="D113" s="8" t="s">
        <v>2359</v>
      </c>
      <c r="E113" s="8" t="s">
        <v>2334</v>
      </c>
      <c r="F113" s="8" t="s">
        <v>2360</v>
      </c>
      <c r="G113" s="8" t="s">
        <v>2361</v>
      </c>
      <c r="H113" s="8"/>
      <c r="I113" s="8"/>
      <c r="J113" s="8" t="s">
        <v>59</v>
      </c>
      <c r="K113" s="8"/>
      <c r="L113" s="8">
        <v>1</v>
      </c>
      <c r="M113" s="8" t="s">
        <v>33</v>
      </c>
      <c r="N113" s="8" t="s">
        <v>34</v>
      </c>
      <c r="O113" s="8"/>
      <c r="P113" s="7" t="str">
        <f t="shared" si="3"/>
        <v>Sí</v>
      </c>
      <c r="Q113" s="8"/>
      <c r="R113" s="11"/>
      <c r="S113" s="13"/>
      <c r="T113" s="9" t="s">
        <v>2362</v>
      </c>
    </row>
    <row r="114" spans="1:20" x14ac:dyDescent="0.3">
      <c r="A114" s="7" t="s">
        <v>2363</v>
      </c>
      <c r="B114" s="8" t="s">
        <v>47</v>
      </c>
      <c r="C114" s="9"/>
      <c r="D114" s="8" t="s">
        <v>2359</v>
      </c>
      <c r="E114" s="8" t="s">
        <v>2334</v>
      </c>
      <c r="F114" s="8" t="s">
        <v>2360</v>
      </c>
      <c r="G114" s="8" t="s">
        <v>2364</v>
      </c>
      <c r="H114" s="8"/>
      <c r="I114" s="8"/>
      <c r="J114" s="8" t="s">
        <v>59</v>
      </c>
      <c r="K114" s="8"/>
      <c r="L114" s="8">
        <v>1</v>
      </c>
      <c r="M114" s="8" t="s">
        <v>33</v>
      </c>
      <c r="N114" s="8" t="s">
        <v>34</v>
      </c>
      <c r="O114" s="8"/>
      <c r="P114" s="7" t="str">
        <f t="shared" si="3"/>
        <v>Sí</v>
      </c>
      <c r="Q114" s="8"/>
      <c r="R114" s="11"/>
      <c r="S114" s="13"/>
      <c r="T114" s="9" t="s">
        <v>2365</v>
      </c>
    </row>
    <row r="115" spans="1:20" x14ac:dyDescent="0.3">
      <c r="A115" s="7" t="s">
        <v>2366</v>
      </c>
      <c r="B115" s="8" t="s">
        <v>47</v>
      </c>
      <c r="C115" s="9"/>
      <c r="D115" s="8" t="s">
        <v>2359</v>
      </c>
      <c r="E115" s="8" t="s">
        <v>2334</v>
      </c>
      <c r="F115" s="8" t="s">
        <v>2360</v>
      </c>
      <c r="G115" s="8" t="s">
        <v>2367</v>
      </c>
      <c r="H115" s="8"/>
      <c r="I115" s="8"/>
      <c r="J115" s="8" t="s">
        <v>59</v>
      </c>
      <c r="K115" s="8"/>
      <c r="L115" s="8">
        <v>1</v>
      </c>
      <c r="M115" s="8" t="s">
        <v>33</v>
      </c>
      <c r="N115" s="8" t="s">
        <v>34</v>
      </c>
      <c r="O115" s="8"/>
      <c r="P115" s="7" t="str">
        <f t="shared" si="3"/>
        <v>Sí</v>
      </c>
      <c r="Q115" s="8"/>
      <c r="R115" s="11"/>
      <c r="S115" s="13"/>
      <c r="T115" s="9" t="s">
        <v>2368</v>
      </c>
    </row>
    <row r="116" spans="1:20" x14ac:dyDescent="0.3">
      <c r="A116" s="7" t="s">
        <v>2369</v>
      </c>
      <c r="B116" s="8" t="s">
        <v>36</v>
      </c>
      <c r="C116" s="9" t="s">
        <v>2370</v>
      </c>
      <c r="D116" s="8" t="s">
        <v>2371</v>
      </c>
      <c r="E116" s="8" t="s">
        <v>2334</v>
      </c>
      <c r="F116" s="8" t="s">
        <v>2372</v>
      </c>
      <c r="G116" s="8" t="s">
        <v>2373</v>
      </c>
      <c r="H116" s="8"/>
      <c r="I116" s="8"/>
      <c r="J116" s="8"/>
      <c r="K116" s="8"/>
      <c r="L116" s="8">
        <v>1</v>
      </c>
      <c r="M116" s="8" t="s">
        <v>33</v>
      </c>
      <c r="N116" s="8" t="s">
        <v>34</v>
      </c>
      <c r="O116" s="8" t="s">
        <v>46</v>
      </c>
      <c r="P116" s="7" t="str">
        <f t="shared" si="3"/>
        <v>Sí, pero está en Apartadó: hacer el traslado a Carepa</v>
      </c>
      <c r="Q116" s="8"/>
      <c r="R116" s="11"/>
      <c r="S116" s="13" t="s">
        <v>2169</v>
      </c>
      <c r="T116" s="9" t="s">
        <v>2374</v>
      </c>
    </row>
    <row r="117" spans="1:20" x14ac:dyDescent="0.3">
      <c r="A117" s="7" t="s">
        <v>2375</v>
      </c>
      <c r="B117" s="8" t="s">
        <v>47</v>
      </c>
      <c r="C117" s="9"/>
      <c r="D117" s="8" t="s">
        <v>2376</v>
      </c>
      <c r="E117" s="8" t="s">
        <v>2377</v>
      </c>
      <c r="F117" s="8" t="s">
        <v>2378</v>
      </c>
      <c r="G117" s="8"/>
      <c r="H117" s="8"/>
      <c r="I117" s="8"/>
      <c r="J117" s="8" t="s">
        <v>59</v>
      </c>
      <c r="K117" s="8"/>
      <c r="L117" s="8">
        <v>1</v>
      </c>
      <c r="M117" s="8" t="s">
        <v>33</v>
      </c>
      <c r="N117" s="8" t="s">
        <v>34</v>
      </c>
      <c r="O117" s="8"/>
      <c r="P117" s="7" t="str">
        <f t="shared" si="3"/>
        <v>Sí</v>
      </c>
      <c r="Q117" s="8"/>
      <c r="R117" s="11"/>
      <c r="S117" s="13" t="s">
        <v>2379</v>
      </c>
      <c r="T117" s="9" t="s">
        <v>2380</v>
      </c>
    </row>
    <row r="118" spans="1:20" x14ac:dyDescent="0.3">
      <c r="A118" s="7" t="s">
        <v>2381</v>
      </c>
      <c r="B118" s="8" t="s">
        <v>47</v>
      </c>
      <c r="C118" s="9"/>
      <c r="D118" s="8" t="s">
        <v>2382</v>
      </c>
      <c r="E118" s="8" t="s">
        <v>2383</v>
      </c>
      <c r="F118" s="8" t="s">
        <v>2384</v>
      </c>
      <c r="G118" s="8"/>
      <c r="H118" s="8" t="s">
        <v>2385</v>
      </c>
      <c r="I118" s="8" t="s">
        <v>2386</v>
      </c>
      <c r="J118" s="8" t="s">
        <v>50</v>
      </c>
      <c r="K118" s="8"/>
      <c r="L118" s="8">
        <v>1</v>
      </c>
      <c r="M118" s="8" t="s">
        <v>33</v>
      </c>
      <c r="N118" s="8" t="s">
        <v>34</v>
      </c>
      <c r="O118" s="8"/>
      <c r="P118" s="7" t="str">
        <f t="shared" si="3"/>
        <v>Sí</v>
      </c>
      <c r="Q118" s="8"/>
      <c r="R118" s="11"/>
      <c r="S118" s="13"/>
      <c r="T118" s="9" t="s">
        <v>2387</v>
      </c>
    </row>
    <row r="119" spans="1:20" x14ac:dyDescent="0.3">
      <c r="A119" s="7" t="s">
        <v>2388</v>
      </c>
      <c r="B119" s="8" t="s">
        <v>47</v>
      </c>
      <c r="C119" s="9"/>
      <c r="D119" s="8" t="s">
        <v>2382</v>
      </c>
      <c r="E119" s="8" t="s">
        <v>2389</v>
      </c>
      <c r="F119" s="8" t="s">
        <v>2390</v>
      </c>
      <c r="G119" s="8" t="s">
        <v>2391</v>
      </c>
      <c r="H119" s="8" t="s">
        <v>2392</v>
      </c>
      <c r="I119" s="8" t="s">
        <v>2393</v>
      </c>
      <c r="J119" s="8" t="s">
        <v>59</v>
      </c>
      <c r="K119" s="8"/>
      <c r="L119" s="8">
        <v>1</v>
      </c>
      <c r="M119" s="8" t="s">
        <v>33</v>
      </c>
      <c r="N119" s="8" t="s">
        <v>34</v>
      </c>
      <c r="O119" s="8"/>
      <c r="P119" s="7" t="str">
        <f t="shared" si="3"/>
        <v>Sí</v>
      </c>
      <c r="Q119" s="8"/>
      <c r="R119" s="11"/>
      <c r="S119" s="13"/>
      <c r="T119" s="9" t="s">
        <v>2394</v>
      </c>
    </row>
    <row r="120" spans="1:20" x14ac:dyDescent="0.3">
      <c r="A120" s="7" t="s">
        <v>2395</v>
      </c>
      <c r="B120" s="8" t="s">
        <v>47</v>
      </c>
      <c r="C120" s="9"/>
      <c r="D120" s="8" t="s">
        <v>2396</v>
      </c>
      <c r="E120" s="8" t="s">
        <v>2397</v>
      </c>
      <c r="F120" s="8" t="s">
        <v>2398</v>
      </c>
      <c r="G120" s="8" t="s">
        <v>2399</v>
      </c>
      <c r="H120" s="8"/>
      <c r="I120" s="8" t="s">
        <v>2400</v>
      </c>
      <c r="J120" s="8" t="s">
        <v>50</v>
      </c>
      <c r="K120" s="8"/>
      <c r="L120" s="8">
        <v>1</v>
      </c>
      <c r="M120" s="8" t="s">
        <v>33</v>
      </c>
      <c r="N120" s="8" t="s">
        <v>34</v>
      </c>
      <c r="O120" s="8"/>
      <c r="P120" s="7" t="str">
        <f t="shared" si="3"/>
        <v>Sí</v>
      </c>
      <c r="Q120" s="8"/>
      <c r="R120" s="11"/>
      <c r="S120" s="13"/>
      <c r="T120" s="9" t="s">
        <v>2401</v>
      </c>
    </row>
    <row r="121" spans="1:20" x14ac:dyDescent="0.3">
      <c r="A121" s="7" t="s">
        <v>2402</v>
      </c>
      <c r="B121" s="8" t="s">
        <v>47</v>
      </c>
      <c r="C121" s="9"/>
      <c r="D121" s="8" t="s">
        <v>2403</v>
      </c>
      <c r="E121" s="8" t="s">
        <v>2404</v>
      </c>
      <c r="F121" s="8" t="s">
        <v>2405</v>
      </c>
      <c r="G121" s="8" t="s">
        <v>2406</v>
      </c>
      <c r="H121" s="8"/>
      <c r="I121" s="8" t="s">
        <v>2407</v>
      </c>
      <c r="J121" s="8" t="s">
        <v>50</v>
      </c>
      <c r="K121" s="8"/>
      <c r="L121" s="8">
        <v>1</v>
      </c>
      <c r="M121" s="8" t="s">
        <v>33</v>
      </c>
      <c r="N121" s="8" t="s">
        <v>34</v>
      </c>
      <c r="O121" s="8"/>
      <c r="P121" s="7" t="str">
        <f t="shared" si="3"/>
        <v>Sí</v>
      </c>
      <c r="Q121" s="8"/>
      <c r="R121" s="11"/>
      <c r="S121" s="13"/>
      <c r="T121" s="9" t="s">
        <v>2408</v>
      </c>
    </row>
    <row r="122" spans="1:20" x14ac:dyDescent="0.3">
      <c r="A122" s="7" t="s">
        <v>2409</v>
      </c>
      <c r="B122" s="8" t="s">
        <v>47</v>
      </c>
      <c r="C122" s="9"/>
      <c r="D122" s="8" t="s">
        <v>2410</v>
      </c>
      <c r="E122" s="8" t="s">
        <v>2411</v>
      </c>
      <c r="F122" s="8" t="s">
        <v>2412</v>
      </c>
      <c r="G122" s="8" t="s">
        <v>2413</v>
      </c>
      <c r="H122" s="8"/>
      <c r="I122" s="8" t="s">
        <v>2414</v>
      </c>
      <c r="J122" s="8" t="s">
        <v>50</v>
      </c>
      <c r="K122" s="8"/>
      <c r="L122" s="8">
        <v>1</v>
      </c>
      <c r="M122" s="8" t="s">
        <v>33</v>
      </c>
      <c r="N122" s="8" t="s">
        <v>34</v>
      </c>
      <c r="O122" s="8"/>
      <c r="P122" s="7" t="str">
        <f t="shared" si="3"/>
        <v>Sí</v>
      </c>
      <c r="Q122" s="8"/>
      <c r="R122" s="11"/>
      <c r="S122" s="13"/>
      <c r="T122" s="9" t="s">
        <v>2415</v>
      </c>
    </row>
    <row r="123" spans="1:20" x14ac:dyDescent="0.3">
      <c r="A123" s="7" t="s">
        <v>2416</v>
      </c>
      <c r="B123" s="8" t="s">
        <v>47</v>
      </c>
      <c r="C123" s="9"/>
      <c r="D123" s="8" t="s">
        <v>2417</v>
      </c>
      <c r="E123" s="8" t="s">
        <v>2418</v>
      </c>
      <c r="F123" s="8" t="s">
        <v>2419</v>
      </c>
      <c r="G123" s="8" t="s">
        <v>2420</v>
      </c>
      <c r="H123" s="8" t="s">
        <v>2421</v>
      </c>
      <c r="I123" s="8" t="s">
        <v>2422</v>
      </c>
      <c r="J123" s="8" t="s">
        <v>50</v>
      </c>
      <c r="K123" s="8"/>
      <c r="L123" s="8">
        <v>1</v>
      </c>
      <c r="M123" s="8" t="s">
        <v>33</v>
      </c>
      <c r="N123" s="8" t="s">
        <v>34</v>
      </c>
      <c r="O123" s="8"/>
      <c r="P123" s="7" t="str">
        <f t="shared" si="3"/>
        <v>Sí</v>
      </c>
      <c r="Q123" s="8"/>
      <c r="R123" s="11"/>
      <c r="S123" s="13"/>
      <c r="T123" s="9" t="s">
        <v>2423</v>
      </c>
    </row>
    <row r="124" spans="1:20" x14ac:dyDescent="0.3">
      <c r="A124" s="7" t="s">
        <v>2424</v>
      </c>
      <c r="B124" s="8" t="s">
        <v>47</v>
      </c>
      <c r="C124" s="9"/>
      <c r="D124" s="8" t="s">
        <v>2425</v>
      </c>
      <c r="E124" s="8" t="s">
        <v>1983</v>
      </c>
      <c r="F124" s="8" t="s">
        <v>2426</v>
      </c>
      <c r="G124" s="8" t="s">
        <v>2427</v>
      </c>
      <c r="H124" s="8" t="s">
        <v>2428</v>
      </c>
      <c r="I124" s="8" t="s">
        <v>2429</v>
      </c>
      <c r="J124" s="8" t="s">
        <v>59</v>
      </c>
      <c r="K124" s="8"/>
      <c r="L124" s="8">
        <v>1</v>
      </c>
      <c r="M124" s="8" t="s">
        <v>33</v>
      </c>
      <c r="N124" s="8" t="s">
        <v>34</v>
      </c>
      <c r="O124" s="8"/>
      <c r="P124" s="7" t="str">
        <f t="shared" si="3"/>
        <v>Sí</v>
      </c>
      <c r="Q124" s="8"/>
      <c r="R124" s="11"/>
      <c r="S124" s="13"/>
      <c r="T124" s="9" t="s">
        <v>2430</v>
      </c>
    </row>
    <row r="125" spans="1:20" x14ac:dyDescent="0.3">
      <c r="A125" s="7" t="s">
        <v>2431</v>
      </c>
      <c r="B125" s="8" t="s">
        <v>47</v>
      </c>
      <c r="C125" s="9"/>
      <c r="D125" s="8" t="s">
        <v>2425</v>
      </c>
      <c r="E125" s="8" t="s">
        <v>1983</v>
      </c>
      <c r="F125" s="8" t="s">
        <v>2432</v>
      </c>
      <c r="G125" s="8" t="s">
        <v>2433</v>
      </c>
      <c r="H125" s="8"/>
      <c r="I125" s="8" t="s">
        <v>2434</v>
      </c>
      <c r="J125" s="8" t="s">
        <v>39</v>
      </c>
      <c r="K125" s="8"/>
      <c r="L125" s="8">
        <v>1</v>
      </c>
      <c r="M125" s="8" t="s">
        <v>33</v>
      </c>
      <c r="N125" s="8" t="s">
        <v>34</v>
      </c>
      <c r="O125" s="8"/>
      <c r="P125" s="7" t="str">
        <f t="shared" si="3"/>
        <v>Sí</v>
      </c>
      <c r="Q125" s="8"/>
      <c r="R125" s="11"/>
      <c r="S125" s="13"/>
      <c r="T125" s="9" t="s">
        <v>2435</v>
      </c>
    </row>
    <row r="126" spans="1:20" x14ac:dyDescent="0.3">
      <c r="A126" s="7" t="s">
        <v>2436</v>
      </c>
      <c r="B126" s="8" t="s">
        <v>47</v>
      </c>
      <c r="C126" s="9"/>
      <c r="D126" s="8" t="s">
        <v>2437</v>
      </c>
      <c r="E126" s="8" t="s">
        <v>2418</v>
      </c>
      <c r="F126" s="8" t="s">
        <v>2438</v>
      </c>
      <c r="G126" s="8" t="s">
        <v>2439</v>
      </c>
      <c r="H126" s="8"/>
      <c r="I126" s="8" t="s">
        <v>2440</v>
      </c>
      <c r="J126" s="8" t="s">
        <v>50</v>
      </c>
      <c r="K126" s="8"/>
      <c r="L126" s="8">
        <v>1</v>
      </c>
      <c r="M126" s="8" t="s">
        <v>33</v>
      </c>
      <c r="N126" s="8" t="s">
        <v>34</v>
      </c>
      <c r="O126" s="8"/>
      <c r="P126" s="7" t="str">
        <f t="shared" si="3"/>
        <v>Sí</v>
      </c>
      <c r="Q126" s="8"/>
      <c r="R126" s="11"/>
      <c r="S126" s="13"/>
      <c r="T126" s="9" t="s">
        <v>2441</v>
      </c>
    </row>
    <row r="127" spans="1:20" x14ac:dyDescent="0.3">
      <c r="A127" s="7" t="s">
        <v>2442</v>
      </c>
      <c r="B127" s="8" t="s">
        <v>47</v>
      </c>
      <c r="C127" s="9"/>
      <c r="D127" s="8" t="s">
        <v>2443</v>
      </c>
      <c r="E127" s="8" t="s">
        <v>2444</v>
      </c>
      <c r="F127" s="8" t="s">
        <v>2445</v>
      </c>
      <c r="G127" s="8" t="s">
        <v>2446</v>
      </c>
      <c r="H127" s="8"/>
      <c r="I127" s="8" t="s">
        <v>2447</v>
      </c>
      <c r="J127" s="8" t="s">
        <v>50</v>
      </c>
      <c r="K127" s="8"/>
      <c r="L127" s="8">
        <v>1</v>
      </c>
      <c r="M127" s="8" t="s">
        <v>33</v>
      </c>
      <c r="N127" s="8" t="s">
        <v>34</v>
      </c>
      <c r="O127" s="8"/>
      <c r="P127" s="7" t="str">
        <f t="shared" si="3"/>
        <v>Sí</v>
      </c>
      <c r="Q127" s="8"/>
      <c r="R127" s="11"/>
      <c r="S127" s="13"/>
      <c r="T127" s="9" t="s">
        <v>2448</v>
      </c>
    </row>
    <row r="128" spans="1:20" x14ac:dyDescent="0.3">
      <c r="A128" s="7" t="s">
        <v>2449</v>
      </c>
      <c r="B128" s="8" t="s">
        <v>47</v>
      </c>
      <c r="C128" s="9"/>
      <c r="D128" s="8" t="s">
        <v>2450</v>
      </c>
      <c r="E128" s="8" t="s">
        <v>2451</v>
      </c>
      <c r="F128" s="8"/>
      <c r="G128" s="8"/>
      <c r="H128" s="8"/>
      <c r="I128" s="8"/>
      <c r="J128" s="8" t="s">
        <v>59</v>
      </c>
      <c r="K128" s="8"/>
      <c r="L128" s="8">
        <v>1</v>
      </c>
      <c r="M128" s="8" t="s">
        <v>33</v>
      </c>
      <c r="N128" s="8" t="s">
        <v>34</v>
      </c>
      <c r="O128" s="8"/>
      <c r="P128" s="7" t="str">
        <f t="shared" si="3"/>
        <v>Sí</v>
      </c>
      <c r="Q128" s="8"/>
      <c r="R128" s="11"/>
      <c r="S128" s="13" t="s">
        <v>2452</v>
      </c>
      <c r="T128" s="9" t="s">
        <v>2453</v>
      </c>
    </row>
    <row r="129" spans="1:20" x14ac:dyDescent="0.3">
      <c r="A129" s="7" t="s">
        <v>2454</v>
      </c>
      <c r="B129" s="8" t="s">
        <v>47</v>
      </c>
      <c r="C129" s="9"/>
      <c r="D129" s="8" t="s">
        <v>2455</v>
      </c>
      <c r="E129" s="8" t="s">
        <v>2451</v>
      </c>
      <c r="F129" s="8"/>
      <c r="G129" s="8"/>
      <c r="H129" s="8"/>
      <c r="I129" s="8"/>
      <c r="J129" s="8" t="s">
        <v>59</v>
      </c>
      <c r="K129" s="8"/>
      <c r="L129" s="8">
        <v>1</v>
      </c>
      <c r="M129" s="8" t="s">
        <v>33</v>
      </c>
      <c r="N129" s="8" t="s">
        <v>34</v>
      </c>
      <c r="O129" s="8"/>
      <c r="P129" s="7" t="str">
        <f t="shared" si="3"/>
        <v>Sí</v>
      </c>
      <c r="Q129" s="8"/>
      <c r="R129" s="11"/>
      <c r="S129" s="13" t="s">
        <v>2452</v>
      </c>
      <c r="T129" s="9" t="s">
        <v>2456</v>
      </c>
    </row>
    <row r="130" spans="1:20" x14ac:dyDescent="0.3">
      <c r="A130" s="7" t="s">
        <v>2457</v>
      </c>
      <c r="B130" s="8" t="s">
        <v>47</v>
      </c>
      <c r="C130" s="9"/>
      <c r="D130" s="8" t="s">
        <v>2458</v>
      </c>
      <c r="E130" s="8" t="s">
        <v>2459</v>
      </c>
      <c r="F130" s="8"/>
      <c r="G130" s="8"/>
      <c r="H130" s="8"/>
      <c r="I130" s="8"/>
      <c r="J130" s="8" t="s">
        <v>59</v>
      </c>
      <c r="K130" s="8"/>
      <c r="L130" s="8">
        <v>1</v>
      </c>
      <c r="M130" s="8" t="s">
        <v>33</v>
      </c>
      <c r="N130" s="8" t="s">
        <v>34</v>
      </c>
      <c r="O130" s="8"/>
      <c r="P130" s="7" t="str">
        <f t="shared" ref="P130:P161" si="4">IF(D130="","",IF(M130="Baja","No: dado de baja",IF(M130="Fuera de servicio","No: fuera de servicio",IF(M130="En mantenimiento","No: en mantenimiento",IF(O130&lt;&gt;"","Sí, pero está en "&amp;O130&amp;": hacer el traslado a Carepa","Sí")))))</f>
        <v>Sí</v>
      </c>
      <c r="Q130" s="8"/>
      <c r="R130" s="11"/>
      <c r="S130" s="13" t="s">
        <v>2379</v>
      </c>
      <c r="T130" s="9" t="s">
        <v>2460</v>
      </c>
    </row>
    <row r="131" spans="1:20" x14ac:dyDescent="0.3">
      <c r="A131" s="7" t="s">
        <v>2461</v>
      </c>
      <c r="B131" s="8" t="s">
        <v>47</v>
      </c>
      <c r="C131" s="9"/>
      <c r="D131" s="8" t="s">
        <v>1772</v>
      </c>
      <c r="E131" s="8" t="s">
        <v>2462</v>
      </c>
      <c r="F131" s="8" t="s">
        <v>2463</v>
      </c>
      <c r="G131" s="8" t="s">
        <v>2464</v>
      </c>
      <c r="H131" s="8"/>
      <c r="I131" s="8" t="s">
        <v>2465</v>
      </c>
      <c r="J131" s="8" t="s">
        <v>39</v>
      </c>
      <c r="K131" s="8"/>
      <c r="L131" s="8">
        <v>1</v>
      </c>
      <c r="M131" s="8" t="s">
        <v>33</v>
      </c>
      <c r="N131" s="8" t="s">
        <v>34</v>
      </c>
      <c r="O131" s="8"/>
      <c r="P131" s="7" t="str">
        <f t="shared" si="4"/>
        <v>Sí</v>
      </c>
      <c r="Q131" s="8"/>
      <c r="R131" s="11"/>
      <c r="S131" s="13"/>
      <c r="T131" s="9" t="s">
        <v>2466</v>
      </c>
    </row>
    <row r="132" spans="1:20" x14ac:dyDescent="0.3">
      <c r="A132" s="7" t="s">
        <v>2467</v>
      </c>
      <c r="B132" s="8" t="s">
        <v>47</v>
      </c>
      <c r="C132" s="9"/>
      <c r="D132" s="8" t="s">
        <v>2139</v>
      </c>
      <c r="E132" s="8" t="s">
        <v>2140</v>
      </c>
      <c r="F132" s="8" t="s">
        <v>2468</v>
      </c>
      <c r="G132" s="8" t="s">
        <v>2469</v>
      </c>
      <c r="H132" s="8"/>
      <c r="I132" s="8" t="s">
        <v>2470</v>
      </c>
      <c r="J132" s="8" t="s">
        <v>39</v>
      </c>
      <c r="K132" s="8"/>
      <c r="L132" s="8">
        <v>1</v>
      </c>
      <c r="M132" s="8" t="s">
        <v>33</v>
      </c>
      <c r="N132" s="8" t="s">
        <v>34</v>
      </c>
      <c r="O132" s="8"/>
      <c r="P132" s="7" t="str">
        <f t="shared" si="4"/>
        <v>Sí</v>
      </c>
      <c r="Q132" s="8"/>
      <c r="R132" s="11"/>
      <c r="S132" s="13"/>
      <c r="T132" s="9" t="s">
        <v>2471</v>
      </c>
    </row>
    <row r="133" spans="1:20" x14ac:dyDescent="0.3">
      <c r="A133" s="7" t="s">
        <v>2472</v>
      </c>
      <c r="B133" s="8" t="s">
        <v>47</v>
      </c>
      <c r="C133" s="9"/>
      <c r="D133" s="8" t="s">
        <v>2139</v>
      </c>
      <c r="E133" s="8" t="s">
        <v>2140</v>
      </c>
      <c r="F133" s="8" t="s">
        <v>2468</v>
      </c>
      <c r="G133" s="8" t="s">
        <v>2473</v>
      </c>
      <c r="H133" s="8"/>
      <c r="I133" s="8" t="s">
        <v>2474</v>
      </c>
      <c r="J133" s="8" t="s">
        <v>39</v>
      </c>
      <c r="K133" s="8"/>
      <c r="L133" s="8">
        <v>1</v>
      </c>
      <c r="M133" s="8" t="s">
        <v>33</v>
      </c>
      <c r="N133" s="8" t="s">
        <v>34</v>
      </c>
      <c r="O133" s="8"/>
      <c r="P133" s="7" t="str">
        <f t="shared" si="4"/>
        <v>Sí</v>
      </c>
      <c r="Q133" s="8"/>
      <c r="R133" s="11"/>
      <c r="S133" s="13"/>
      <c r="T133" s="9" t="s">
        <v>2475</v>
      </c>
    </row>
    <row r="134" spans="1:20" x14ac:dyDescent="0.3">
      <c r="A134" s="7" t="s">
        <v>2476</v>
      </c>
      <c r="B134" s="8" t="s">
        <v>47</v>
      </c>
      <c r="C134" s="9"/>
      <c r="D134" s="8" t="s">
        <v>2139</v>
      </c>
      <c r="E134" s="8" t="s">
        <v>2140</v>
      </c>
      <c r="F134" s="8" t="s">
        <v>2468</v>
      </c>
      <c r="G134" s="8" t="s">
        <v>2477</v>
      </c>
      <c r="H134" s="8"/>
      <c r="I134" s="8" t="s">
        <v>2478</v>
      </c>
      <c r="J134" s="8" t="s">
        <v>39</v>
      </c>
      <c r="K134" s="8"/>
      <c r="L134" s="8">
        <v>1</v>
      </c>
      <c r="M134" s="8" t="s">
        <v>33</v>
      </c>
      <c r="N134" s="8" t="s">
        <v>34</v>
      </c>
      <c r="O134" s="8"/>
      <c r="P134" s="7" t="str">
        <f t="shared" si="4"/>
        <v>Sí</v>
      </c>
      <c r="Q134" s="8"/>
      <c r="R134" s="11"/>
      <c r="S134" s="13"/>
      <c r="T134" s="9" t="s">
        <v>2479</v>
      </c>
    </row>
    <row r="135" spans="1:20" x14ac:dyDescent="0.3">
      <c r="A135" s="7" t="s">
        <v>2480</v>
      </c>
      <c r="B135" s="8" t="s">
        <v>47</v>
      </c>
      <c r="C135" s="9"/>
      <c r="D135" s="8" t="s">
        <v>2139</v>
      </c>
      <c r="E135" s="8" t="s">
        <v>2140</v>
      </c>
      <c r="F135" s="8" t="s">
        <v>2468</v>
      </c>
      <c r="G135" s="8" t="s">
        <v>2481</v>
      </c>
      <c r="H135" s="8"/>
      <c r="I135" s="8" t="s">
        <v>2482</v>
      </c>
      <c r="J135" s="8" t="s">
        <v>39</v>
      </c>
      <c r="K135" s="8"/>
      <c r="L135" s="8">
        <v>1</v>
      </c>
      <c r="M135" s="8" t="s">
        <v>33</v>
      </c>
      <c r="N135" s="8" t="s">
        <v>34</v>
      </c>
      <c r="O135" s="8"/>
      <c r="P135" s="7" t="str">
        <f t="shared" si="4"/>
        <v>Sí</v>
      </c>
      <c r="Q135" s="8"/>
      <c r="R135" s="11"/>
      <c r="S135" s="13"/>
      <c r="T135" s="9" t="s">
        <v>2483</v>
      </c>
    </row>
    <row r="136" spans="1:20" x14ac:dyDescent="0.3">
      <c r="A136" s="7" t="s">
        <v>2484</v>
      </c>
      <c r="B136" s="8" t="s">
        <v>47</v>
      </c>
      <c r="C136" s="9"/>
      <c r="D136" s="8" t="s">
        <v>2139</v>
      </c>
      <c r="E136" s="8" t="s">
        <v>2462</v>
      </c>
      <c r="F136" s="8" t="s">
        <v>2485</v>
      </c>
      <c r="G136" s="8" t="s">
        <v>2486</v>
      </c>
      <c r="H136" s="8"/>
      <c r="I136" s="8" t="s">
        <v>2487</v>
      </c>
      <c r="J136" s="8" t="s">
        <v>39</v>
      </c>
      <c r="K136" s="8"/>
      <c r="L136" s="8">
        <v>1</v>
      </c>
      <c r="M136" s="8" t="s">
        <v>33</v>
      </c>
      <c r="N136" s="8" t="s">
        <v>34</v>
      </c>
      <c r="O136" s="8"/>
      <c r="P136" s="7" t="str">
        <f t="shared" si="4"/>
        <v>Sí</v>
      </c>
      <c r="Q136" s="8"/>
      <c r="R136" s="11"/>
      <c r="S136" s="13"/>
      <c r="T136" s="9" t="s">
        <v>2488</v>
      </c>
    </row>
    <row r="137" spans="1:20" x14ac:dyDescent="0.3">
      <c r="A137" s="7" t="s">
        <v>2489</v>
      </c>
      <c r="B137" s="8" t="s">
        <v>47</v>
      </c>
      <c r="C137" s="9"/>
      <c r="D137" s="8" t="s">
        <v>2490</v>
      </c>
      <c r="E137" s="8" t="s">
        <v>2491</v>
      </c>
      <c r="F137" s="8" t="s">
        <v>2492</v>
      </c>
      <c r="G137" s="8" t="s">
        <v>2493</v>
      </c>
      <c r="H137" s="8"/>
      <c r="I137" s="8" t="s">
        <v>2494</v>
      </c>
      <c r="J137" s="8" t="s">
        <v>39</v>
      </c>
      <c r="K137" s="8"/>
      <c r="L137" s="8">
        <v>1</v>
      </c>
      <c r="M137" s="8" t="s">
        <v>33</v>
      </c>
      <c r="N137" s="8" t="s">
        <v>34</v>
      </c>
      <c r="O137" s="8"/>
      <c r="P137" s="7" t="str">
        <f t="shared" si="4"/>
        <v>Sí</v>
      </c>
      <c r="Q137" s="8"/>
      <c r="R137" s="11"/>
      <c r="S137" s="13"/>
      <c r="T137" s="9" t="s">
        <v>2495</v>
      </c>
    </row>
    <row r="138" spans="1:20" x14ac:dyDescent="0.3">
      <c r="A138" s="7" t="s">
        <v>2496</v>
      </c>
      <c r="B138" s="8" t="s">
        <v>47</v>
      </c>
      <c r="C138" s="9"/>
      <c r="D138" s="8" t="s">
        <v>2497</v>
      </c>
      <c r="E138" s="8" t="s">
        <v>2498</v>
      </c>
      <c r="F138" s="8" t="s">
        <v>2499</v>
      </c>
      <c r="G138" s="8"/>
      <c r="H138" s="8"/>
      <c r="I138" s="8" t="s">
        <v>2500</v>
      </c>
      <c r="J138" s="8" t="s">
        <v>39</v>
      </c>
      <c r="K138" s="8"/>
      <c r="L138" s="8">
        <v>1</v>
      </c>
      <c r="M138" s="8" t="s">
        <v>33</v>
      </c>
      <c r="N138" s="8" t="s">
        <v>34</v>
      </c>
      <c r="O138" s="8"/>
      <c r="P138" s="7" t="str">
        <f t="shared" si="4"/>
        <v>Sí</v>
      </c>
      <c r="Q138" s="8"/>
      <c r="R138" s="11"/>
      <c r="S138" s="13"/>
      <c r="T138" s="9" t="s">
        <v>2501</v>
      </c>
    </row>
    <row r="139" spans="1:20" x14ac:dyDescent="0.3">
      <c r="A139" s="7" t="s">
        <v>2502</v>
      </c>
      <c r="B139" s="8" t="s">
        <v>47</v>
      </c>
      <c r="C139" s="9"/>
      <c r="D139" s="8" t="s">
        <v>2503</v>
      </c>
      <c r="E139" s="8" t="s">
        <v>2504</v>
      </c>
      <c r="F139" s="8"/>
      <c r="G139" s="8" t="s">
        <v>2505</v>
      </c>
      <c r="H139" s="8"/>
      <c r="I139" s="8" t="s">
        <v>2506</v>
      </c>
      <c r="J139" s="8" t="s">
        <v>59</v>
      </c>
      <c r="K139" s="8"/>
      <c r="L139" s="8">
        <v>1</v>
      </c>
      <c r="M139" s="8" t="s">
        <v>33</v>
      </c>
      <c r="N139" s="8" t="s">
        <v>34</v>
      </c>
      <c r="O139" s="8"/>
      <c r="P139" s="7" t="str">
        <f t="shared" si="4"/>
        <v>Sí</v>
      </c>
      <c r="Q139" s="8"/>
      <c r="R139" s="11"/>
      <c r="S139" s="13"/>
      <c r="T139" s="9" t="s">
        <v>2507</v>
      </c>
    </row>
    <row r="140" spans="1:20" x14ac:dyDescent="0.3">
      <c r="A140" s="7" t="s">
        <v>2508</v>
      </c>
      <c r="B140" s="8" t="s">
        <v>47</v>
      </c>
      <c r="C140" s="9"/>
      <c r="D140" s="8" t="s">
        <v>2509</v>
      </c>
      <c r="E140" s="8" t="s">
        <v>2504</v>
      </c>
      <c r="F140" s="8"/>
      <c r="G140" s="8" t="s">
        <v>2510</v>
      </c>
      <c r="H140" s="8"/>
      <c r="I140" s="8" t="s">
        <v>2511</v>
      </c>
      <c r="J140" s="8" t="s">
        <v>59</v>
      </c>
      <c r="K140" s="8"/>
      <c r="L140" s="8">
        <v>1</v>
      </c>
      <c r="M140" s="8" t="s">
        <v>33</v>
      </c>
      <c r="N140" s="8" t="s">
        <v>34</v>
      </c>
      <c r="O140" s="8"/>
      <c r="P140" s="7" t="str">
        <f t="shared" si="4"/>
        <v>Sí</v>
      </c>
      <c r="Q140" s="8"/>
      <c r="R140" s="11"/>
      <c r="S140" s="13"/>
      <c r="T140" s="9" t="s">
        <v>2512</v>
      </c>
    </row>
    <row r="141" spans="1:20" x14ac:dyDescent="0.3">
      <c r="A141" s="7" t="s">
        <v>2513</v>
      </c>
      <c r="B141" s="8" t="s">
        <v>47</v>
      </c>
      <c r="C141" s="9"/>
      <c r="D141" s="8" t="s">
        <v>2514</v>
      </c>
      <c r="E141" s="8" t="s">
        <v>2504</v>
      </c>
      <c r="F141" s="8"/>
      <c r="G141" s="8" t="s">
        <v>2515</v>
      </c>
      <c r="H141" s="8"/>
      <c r="I141" s="8" t="s">
        <v>2516</v>
      </c>
      <c r="J141" s="8" t="s">
        <v>59</v>
      </c>
      <c r="K141" s="8"/>
      <c r="L141" s="8">
        <v>1</v>
      </c>
      <c r="M141" s="8" t="s">
        <v>33</v>
      </c>
      <c r="N141" s="8" t="s">
        <v>34</v>
      </c>
      <c r="O141" s="8"/>
      <c r="P141" s="7" t="str">
        <f t="shared" si="4"/>
        <v>Sí</v>
      </c>
      <c r="Q141" s="8"/>
      <c r="R141" s="11"/>
      <c r="S141" s="13"/>
      <c r="T141" s="9" t="s">
        <v>2517</v>
      </c>
    </row>
    <row r="142" spans="1:20" x14ac:dyDescent="0.3">
      <c r="A142" s="7" t="s">
        <v>2518</v>
      </c>
      <c r="B142" s="8" t="s">
        <v>36</v>
      </c>
      <c r="C142" s="9" t="s">
        <v>2519</v>
      </c>
      <c r="D142" s="8" t="s">
        <v>2520</v>
      </c>
      <c r="E142" s="8"/>
      <c r="F142" s="8"/>
      <c r="G142" s="8"/>
      <c r="H142" s="8"/>
      <c r="I142" s="8" t="s">
        <v>2521</v>
      </c>
      <c r="J142" s="8"/>
      <c r="K142" s="8"/>
      <c r="L142" s="8">
        <v>1</v>
      </c>
      <c r="M142" s="8" t="s">
        <v>33</v>
      </c>
      <c r="N142" s="8"/>
      <c r="O142" s="8"/>
      <c r="P142" s="7" t="str">
        <f t="shared" si="4"/>
        <v>Sí</v>
      </c>
      <c r="Q142" s="8"/>
      <c r="R142" s="11"/>
      <c r="S142" s="13"/>
      <c r="T142" s="9" t="s">
        <v>2522</v>
      </c>
    </row>
    <row r="143" spans="1:20" x14ac:dyDescent="0.3">
      <c r="A143" s="7" t="s">
        <v>2523</v>
      </c>
      <c r="B143" s="8" t="s">
        <v>36</v>
      </c>
      <c r="C143" s="9" t="s">
        <v>2519</v>
      </c>
      <c r="D143" s="8" t="s">
        <v>2524</v>
      </c>
      <c r="E143" s="8"/>
      <c r="F143" s="8"/>
      <c r="G143" s="8"/>
      <c r="H143" s="8"/>
      <c r="I143" s="8" t="s">
        <v>2525</v>
      </c>
      <c r="J143" s="8"/>
      <c r="K143" s="8"/>
      <c r="L143" s="8">
        <v>1</v>
      </c>
      <c r="M143" s="8" t="s">
        <v>33</v>
      </c>
      <c r="N143" s="8"/>
      <c r="O143" s="8"/>
      <c r="P143" s="7" t="str">
        <f t="shared" si="4"/>
        <v>Sí</v>
      </c>
      <c r="Q143" s="8"/>
      <c r="R143" s="11"/>
      <c r="S143" s="13"/>
      <c r="T143" s="9" t="s">
        <v>2526</v>
      </c>
    </row>
    <row r="144" spans="1:20" x14ac:dyDescent="0.3">
      <c r="A144" s="7" t="s">
        <v>2527</v>
      </c>
      <c r="B144" s="8" t="s">
        <v>36</v>
      </c>
      <c r="C144" s="9" t="s">
        <v>2519</v>
      </c>
      <c r="D144" s="8" t="s">
        <v>2524</v>
      </c>
      <c r="E144" s="8"/>
      <c r="F144" s="8"/>
      <c r="G144" s="8"/>
      <c r="H144" s="8"/>
      <c r="I144" s="8" t="s">
        <v>2528</v>
      </c>
      <c r="J144" s="8"/>
      <c r="K144" s="8"/>
      <c r="L144" s="8">
        <v>1</v>
      </c>
      <c r="M144" s="8" t="s">
        <v>33</v>
      </c>
      <c r="N144" s="8"/>
      <c r="O144" s="8"/>
      <c r="P144" s="7" t="str">
        <f t="shared" si="4"/>
        <v>Sí</v>
      </c>
      <c r="Q144" s="8"/>
      <c r="R144" s="11"/>
      <c r="S144" s="13"/>
      <c r="T144" s="9" t="s">
        <v>2529</v>
      </c>
    </row>
    <row r="145" spans="1:20" x14ac:dyDescent="0.3">
      <c r="A145" s="7" t="s">
        <v>2530</v>
      </c>
      <c r="B145" s="8" t="s">
        <v>36</v>
      </c>
      <c r="C145" s="9" t="s">
        <v>2519</v>
      </c>
      <c r="D145" s="8" t="s">
        <v>2531</v>
      </c>
      <c r="E145" s="8"/>
      <c r="F145" s="8"/>
      <c r="G145" s="8"/>
      <c r="H145" s="8"/>
      <c r="I145" s="8" t="s">
        <v>2532</v>
      </c>
      <c r="J145" s="8"/>
      <c r="K145" s="8"/>
      <c r="L145" s="8">
        <v>1</v>
      </c>
      <c r="M145" s="8" t="s">
        <v>33</v>
      </c>
      <c r="N145" s="8"/>
      <c r="O145" s="8"/>
      <c r="P145" s="7" t="str">
        <f t="shared" si="4"/>
        <v>Sí</v>
      </c>
      <c r="Q145" s="8"/>
      <c r="R145" s="11"/>
      <c r="S145" s="13"/>
      <c r="T145" s="9" t="s">
        <v>2533</v>
      </c>
    </row>
    <row r="146" spans="1:20" x14ac:dyDescent="0.3">
      <c r="A146" s="7" t="s">
        <v>2534</v>
      </c>
      <c r="B146" s="8" t="s">
        <v>36</v>
      </c>
      <c r="C146" s="9" t="s">
        <v>2519</v>
      </c>
      <c r="D146" s="8" t="s">
        <v>2535</v>
      </c>
      <c r="E146" s="8"/>
      <c r="F146" s="8"/>
      <c r="G146" s="8"/>
      <c r="H146" s="8"/>
      <c r="I146" s="8" t="s">
        <v>2536</v>
      </c>
      <c r="J146" s="8"/>
      <c r="K146" s="8"/>
      <c r="L146" s="8">
        <v>1</v>
      </c>
      <c r="M146" s="8" t="s">
        <v>33</v>
      </c>
      <c r="N146" s="8"/>
      <c r="O146" s="8"/>
      <c r="P146" s="7" t="str">
        <f t="shared" si="4"/>
        <v>Sí</v>
      </c>
      <c r="Q146" s="8"/>
      <c r="R146" s="11"/>
      <c r="S146" s="13"/>
      <c r="T146" s="9" t="s">
        <v>2537</v>
      </c>
    </row>
    <row r="147" spans="1:20" x14ac:dyDescent="0.3">
      <c r="A147" s="7" t="s">
        <v>2538</v>
      </c>
      <c r="B147" s="8" t="s">
        <v>47</v>
      </c>
      <c r="C147" s="9"/>
      <c r="D147" s="8"/>
      <c r="E147" s="8"/>
      <c r="F147" s="8"/>
      <c r="G147" s="8"/>
      <c r="H147" s="8"/>
      <c r="I147" s="8"/>
      <c r="J147" s="8"/>
      <c r="K147" s="8"/>
      <c r="L147" s="8">
        <v>1</v>
      </c>
      <c r="M147" s="8" t="s">
        <v>33</v>
      </c>
      <c r="N147" s="8"/>
      <c r="O147" s="8"/>
      <c r="P147" s="7" t="str">
        <f t="shared" si="4"/>
        <v/>
      </c>
      <c r="Q147" s="8"/>
      <c r="R147" s="11"/>
      <c r="S147" s="13"/>
      <c r="T147" s="9"/>
    </row>
    <row r="148" spans="1:20" x14ac:dyDescent="0.3">
      <c r="A148" s="7" t="s">
        <v>2539</v>
      </c>
      <c r="B148" s="8" t="s">
        <v>47</v>
      </c>
      <c r="C148" s="9"/>
      <c r="D148" s="8"/>
      <c r="E148" s="8"/>
      <c r="F148" s="8"/>
      <c r="G148" s="8"/>
      <c r="H148" s="8"/>
      <c r="I148" s="8"/>
      <c r="J148" s="8"/>
      <c r="K148" s="8"/>
      <c r="L148" s="8">
        <v>1</v>
      </c>
      <c r="M148" s="8" t="s">
        <v>33</v>
      </c>
      <c r="N148" s="8"/>
      <c r="O148" s="8"/>
      <c r="P148" s="7" t="str">
        <f t="shared" si="4"/>
        <v/>
      </c>
      <c r="Q148" s="8"/>
      <c r="R148" s="11"/>
      <c r="S148" s="13"/>
      <c r="T148" s="9"/>
    </row>
    <row r="149" spans="1:20" x14ac:dyDescent="0.3">
      <c r="A149" s="7" t="s">
        <v>2540</v>
      </c>
      <c r="B149" s="8" t="s">
        <v>47</v>
      </c>
      <c r="C149" s="9"/>
      <c r="D149" s="8"/>
      <c r="E149" s="8"/>
      <c r="F149" s="8"/>
      <c r="G149" s="8"/>
      <c r="H149" s="8"/>
      <c r="I149" s="8"/>
      <c r="J149" s="8"/>
      <c r="K149" s="8"/>
      <c r="L149" s="8">
        <v>1</v>
      </c>
      <c r="M149" s="8" t="s">
        <v>33</v>
      </c>
      <c r="N149" s="8"/>
      <c r="O149" s="8"/>
      <c r="P149" s="7" t="str">
        <f t="shared" si="4"/>
        <v/>
      </c>
      <c r="Q149" s="8"/>
      <c r="R149" s="11"/>
      <c r="S149" s="13"/>
      <c r="T149" s="9"/>
    </row>
    <row r="150" spans="1:20" x14ac:dyDescent="0.3">
      <c r="A150" s="7" t="s">
        <v>2541</v>
      </c>
      <c r="B150" s="8" t="s">
        <v>47</v>
      </c>
      <c r="C150" s="9"/>
      <c r="D150" s="8"/>
      <c r="E150" s="8"/>
      <c r="F150" s="8"/>
      <c r="G150" s="8"/>
      <c r="H150" s="8"/>
      <c r="I150" s="8"/>
      <c r="J150" s="8"/>
      <c r="K150" s="8"/>
      <c r="L150" s="8">
        <v>1</v>
      </c>
      <c r="M150" s="8" t="s">
        <v>33</v>
      </c>
      <c r="N150" s="8"/>
      <c r="O150" s="8"/>
      <c r="P150" s="7" t="str">
        <f t="shared" si="4"/>
        <v/>
      </c>
      <c r="Q150" s="8"/>
      <c r="R150" s="11"/>
      <c r="S150" s="13"/>
      <c r="T150" s="9"/>
    </row>
    <row r="151" spans="1:20" x14ac:dyDescent="0.3">
      <c r="A151" s="7" t="s">
        <v>2542</v>
      </c>
      <c r="B151" s="8" t="s">
        <v>47</v>
      </c>
      <c r="C151" s="9"/>
      <c r="D151" s="8"/>
      <c r="E151" s="8"/>
      <c r="F151" s="8"/>
      <c r="G151" s="8"/>
      <c r="H151" s="8"/>
      <c r="I151" s="8"/>
      <c r="J151" s="8"/>
      <c r="K151" s="8"/>
      <c r="L151" s="8">
        <v>1</v>
      </c>
      <c r="M151" s="8" t="s">
        <v>33</v>
      </c>
      <c r="N151" s="8"/>
      <c r="O151" s="8"/>
      <c r="P151" s="7" t="str">
        <f t="shared" si="4"/>
        <v/>
      </c>
      <c r="Q151" s="8"/>
      <c r="R151" s="11"/>
      <c r="S151" s="13"/>
      <c r="T151" s="9"/>
    </row>
    <row r="152" spans="1:20" x14ac:dyDescent="0.3">
      <c r="A152" s="7" t="s">
        <v>2543</v>
      </c>
      <c r="B152" s="8" t="s">
        <v>47</v>
      </c>
      <c r="C152" s="9"/>
      <c r="D152" s="8"/>
      <c r="E152" s="8"/>
      <c r="F152" s="8"/>
      <c r="G152" s="8"/>
      <c r="H152" s="8"/>
      <c r="I152" s="8"/>
      <c r="J152" s="8"/>
      <c r="K152" s="8"/>
      <c r="L152" s="8">
        <v>1</v>
      </c>
      <c r="M152" s="8" t="s">
        <v>33</v>
      </c>
      <c r="N152" s="8"/>
      <c r="O152" s="8"/>
      <c r="P152" s="7" t="str">
        <f t="shared" si="4"/>
        <v/>
      </c>
      <c r="Q152" s="8"/>
      <c r="R152" s="11"/>
      <c r="S152" s="13"/>
      <c r="T152" s="9"/>
    </row>
    <row r="153" spans="1:20" x14ac:dyDescent="0.3">
      <c r="A153" s="7" t="s">
        <v>2544</v>
      </c>
      <c r="B153" s="8" t="s">
        <v>47</v>
      </c>
      <c r="C153" s="9"/>
      <c r="D153" s="8"/>
      <c r="E153" s="8"/>
      <c r="F153" s="8"/>
      <c r="G153" s="8"/>
      <c r="H153" s="8"/>
      <c r="I153" s="8"/>
      <c r="J153" s="8"/>
      <c r="K153" s="8"/>
      <c r="L153" s="8">
        <v>1</v>
      </c>
      <c r="M153" s="8" t="s">
        <v>33</v>
      </c>
      <c r="N153" s="8"/>
      <c r="O153" s="8"/>
      <c r="P153" s="7" t="str">
        <f t="shared" si="4"/>
        <v/>
      </c>
      <c r="Q153" s="8"/>
      <c r="R153" s="11"/>
      <c r="S153" s="13"/>
      <c r="T153" s="9"/>
    </row>
    <row r="154" spans="1:20" x14ac:dyDescent="0.3">
      <c r="A154" s="7" t="s">
        <v>2545</v>
      </c>
      <c r="B154" s="8" t="s">
        <v>47</v>
      </c>
      <c r="C154" s="9"/>
      <c r="D154" s="8"/>
      <c r="E154" s="8"/>
      <c r="F154" s="8"/>
      <c r="G154" s="8"/>
      <c r="H154" s="8"/>
      <c r="I154" s="8"/>
      <c r="J154" s="8"/>
      <c r="K154" s="8"/>
      <c r="L154" s="8">
        <v>1</v>
      </c>
      <c r="M154" s="8" t="s">
        <v>33</v>
      </c>
      <c r="N154" s="8"/>
      <c r="O154" s="8"/>
      <c r="P154" s="7" t="str">
        <f t="shared" si="4"/>
        <v/>
      </c>
      <c r="Q154" s="8"/>
      <c r="R154" s="11"/>
      <c r="S154" s="13"/>
      <c r="T154" s="9"/>
    </row>
    <row r="155" spans="1:20" x14ac:dyDescent="0.3">
      <c r="A155" s="7" t="s">
        <v>2546</v>
      </c>
      <c r="B155" s="8" t="s">
        <v>47</v>
      </c>
      <c r="C155" s="9"/>
      <c r="D155" s="8"/>
      <c r="E155" s="8"/>
      <c r="F155" s="8"/>
      <c r="G155" s="8"/>
      <c r="H155" s="8"/>
      <c r="I155" s="8"/>
      <c r="J155" s="8"/>
      <c r="K155" s="8"/>
      <c r="L155" s="8">
        <v>1</v>
      </c>
      <c r="M155" s="8" t="s">
        <v>33</v>
      </c>
      <c r="N155" s="8"/>
      <c r="O155" s="8"/>
      <c r="P155" s="7" t="str">
        <f t="shared" si="4"/>
        <v/>
      </c>
      <c r="Q155" s="8"/>
      <c r="R155" s="11"/>
      <c r="S155" s="13"/>
      <c r="T155" s="9"/>
    </row>
    <row r="156" spans="1:20" x14ac:dyDescent="0.3">
      <c r="A156" s="7" t="s">
        <v>2547</v>
      </c>
      <c r="B156" s="8" t="s">
        <v>47</v>
      </c>
      <c r="C156" s="9"/>
      <c r="D156" s="8"/>
      <c r="E156" s="8"/>
      <c r="F156" s="8"/>
      <c r="G156" s="8"/>
      <c r="H156" s="8"/>
      <c r="I156" s="8"/>
      <c r="J156" s="8"/>
      <c r="K156" s="8"/>
      <c r="L156" s="8">
        <v>1</v>
      </c>
      <c r="M156" s="8" t="s">
        <v>33</v>
      </c>
      <c r="N156" s="8"/>
      <c r="O156" s="8"/>
      <c r="P156" s="7" t="str">
        <f t="shared" si="4"/>
        <v/>
      </c>
      <c r="Q156" s="8"/>
      <c r="R156" s="11"/>
      <c r="S156" s="13"/>
      <c r="T156" s="9"/>
    </row>
    <row r="157" spans="1:20" x14ac:dyDescent="0.3">
      <c r="A157" s="7" t="s">
        <v>2548</v>
      </c>
      <c r="B157" s="8" t="s">
        <v>47</v>
      </c>
      <c r="C157" s="9"/>
      <c r="D157" s="8"/>
      <c r="E157" s="8"/>
      <c r="F157" s="8"/>
      <c r="G157" s="8"/>
      <c r="H157" s="8"/>
      <c r="I157" s="8"/>
      <c r="J157" s="8"/>
      <c r="K157" s="8"/>
      <c r="L157" s="8">
        <v>1</v>
      </c>
      <c r="M157" s="8" t="s">
        <v>33</v>
      </c>
      <c r="N157" s="8"/>
      <c r="O157" s="8"/>
      <c r="P157" s="7" t="str">
        <f t="shared" si="4"/>
        <v/>
      </c>
      <c r="Q157" s="8"/>
      <c r="R157" s="11"/>
      <c r="S157" s="13"/>
      <c r="T157" s="9"/>
    </row>
    <row r="158" spans="1:20" x14ac:dyDescent="0.3">
      <c r="A158" s="7" t="s">
        <v>2549</v>
      </c>
      <c r="B158" s="8" t="s">
        <v>47</v>
      </c>
      <c r="C158" s="9"/>
      <c r="D158" s="8"/>
      <c r="E158" s="8"/>
      <c r="F158" s="8"/>
      <c r="G158" s="8"/>
      <c r="H158" s="8"/>
      <c r="I158" s="8"/>
      <c r="J158" s="8"/>
      <c r="K158" s="8"/>
      <c r="L158" s="8">
        <v>1</v>
      </c>
      <c r="M158" s="8" t="s">
        <v>33</v>
      </c>
      <c r="N158" s="8"/>
      <c r="O158" s="8"/>
      <c r="P158" s="7" t="str">
        <f t="shared" si="4"/>
        <v/>
      </c>
      <c r="Q158" s="8"/>
      <c r="R158" s="11"/>
      <c r="S158" s="13"/>
      <c r="T158" s="9"/>
    </row>
    <row r="159" spans="1:20" x14ac:dyDescent="0.3">
      <c r="A159" s="7" t="s">
        <v>2550</v>
      </c>
      <c r="B159" s="8" t="s">
        <v>47</v>
      </c>
      <c r="C159" s="9"/>
      <c r="D159" s="8"/>
      <c r="E159" s="8"/>
      <c r="F159" s="8"/>
      <c r="G159" s="8"/>
      <c r="H159" s="8"/>
      <c r="I159" s="8"/>
      <c r="J159" s="8"/>
      <c r="K159" s="8"/>
      <c r="L159" s="8">
        <v>1</v>
      </c>
      <c r="M159" s="8" t="s">
        <v>33</v>
      </c>
      <c r="N159" s="8"/>
      <c r="O159" s="8"/>
      <c r="P159" s="7" t="str">
        <f t="shared" si="4"/>
        <v/>
      </c>
      <c r="Q159" s="8"/>
      <c r="R159" s="11"/>
      <c r="S159" s="13"/>
      <c r="T159" s="9"/>
    </row>
    <row r="160" spans="1:20" x14ac:dyDescent="0.3">
      <c r="A160" s="7" t="s">
        <v>2551</v>
      </c>
      <c r="B160" s="8" t="s">
        <v>47</v>
      </c>
      <c r="C160" s="9"/>
      <c r="D160" s="8"/>
      <c r="E160" s="8"/>
      <c r="F160" s="8"/>
      <c r="G160" s="8"/>
      <c r="H160" s="8"/>
      <c r="I160" s="8"/>
      <c r="J160" s="8"/>
      <c r="K160" s="8"/>
      <c r="L160" s="8">
        <v>1</v>
      </c>
      <c r="M160" s="8" t="s">
        <v>33</v>
      </c>
      <c r="N160" s="8"/>
      <c r="O160" s="8"/>
      <c r="P160" s="7" t="str">
        <f t="shared" si="4"/>
        <v/>
      </c>
      <c r="Q160" s="8"/>
      <c r="R160" s="11"/>
      <c r="S160" s="13"/>
      <c r="T160" s="9"/>
    </row>
    <row r="161" spans="1:20" x14ac:dyDescent="0.3">
      <c r="A161" s="7" t="s">
        <v>2552</v>
      </c>
      <c r="B161" s="8" t="s">
        <v>47</v>
      </c>
      <c r="C161" s="9"/>
      <c r="D161" s="8"/>
      <c r="E161" s="8"/>
      <c r="F161" s="8"/>
      <c r="G161" s="8"/>
      <c r="H161" s="8"/>
      <c r="I161" s="8"/>
      <c r="J161" s="8"/>
      <c r="K161" s="8"/>
      <c r="L161" s="8">
        <v>1</v>
      </c>
      <c r="M161" s="8" t="s">
        <v>33</v>
      </c>
      <c r="N161" s="8"/>
      <c r="O161" s="8"/>
      <c r="P161" s="7" t="str">
        <f t="shared" si="4"/>
        <v/>
      </c>
      <c r="Q161" s="8"/>
      <c r="R161" s="11"/>
      <c r="S161" s="13"/>
      <c r="T161" s="9"/>
    </row>
    <row r="162" spans="1:20" x14ac:dyDescent="0.3">
      <c r="A162" s="7" t="s">
        <v>2553</v>
      </c>
      <c r="B162" s="8" t="s">
        <v>47</v>
      </c>
      <c r="C162" s="9"/>
      <c r="D162" s="8"/>
      <c r="E162" s="8"/>
      <c r="F162" s="8"/>
      <c r="G162" s="8"/>
      <c r="H162" s="8"/>
      <c r="I162" s="8"/>
      <c r="J162" s="8"/>
      <c r="K162" s="8"/>
      <c r="L162" s="8">
        <v>1</v>
      </c>
      <c r="M162" s="8" t="s">
        <v>33</v>
      </c>
      <c r="N162" s="8"/>
      <c r="O162" s="8"/>
      <c r="P162" s="7" t="str">
        <f t="shared" ref="P162:P193" si="5">IF(D162="","",IF(M162="Baja","No: dado de baja",IF(M162="Fuera de servicio","No: fuera de servicio",IF(M162="En mantenimiento","No: en mantenimiento",IF(O162&lt;&gt;"","Sí, pero está en "&amp;O162&amp;": hacer el traslado a Carepa","Sí")))))</f>
        <v/>
      </c>
      <c r="Q162" s="8"/>
      <c r="R162" s="11"/>
      <c r="S162" s="13"/>
      <c r="T162" s="9"/>
    </row>
    <row r="163" spans="1:20" x14ac:dyDescent="0.3">
      <c r="A163" s="7" t="s">
        <v>2554</v>
      </c>
      <c r="B163" s="8" t="s">
        <v>47</v>
      </c>
      <c r="C163" s="9"/>
      <c r="D163" s="8"/>
      <c r="E163" s="8"/>
      <c r="F163" s="8"/>
      <c r="G163" s="8"/>
      <c r="H163" s="8"/>
      <c r="I163" s="8"/>
      <c r="J163" s="8"/>
      <c r="K163" s="8"/>
      <c r="L163" s="8">
        <v>1</v>
      </c>
      <c r="M163" s="8" t="s">
        <v>33</v>
      </c>
      <c r="N163" s="8"/>
      <c r="O163" s="8"/>
      <c r="P163" s="7" t="str">
        <f t="shared" si="5"/>
        <v/>
      </c>
      <c r="Q163" s="8"/>
      <c r="R163" s="11"/>
      <c r="S163" s="13"/>
      <c r="T163" s="9"/>
    </row>
    <row r="164" spans="1:20" x14ac:dyDescent="0.3">
      <c r="A164" s="7" t="s">
        <v>2555</v>
      </c>
      <c r="B164" s="8" t="s">
        <v>47</v>
      </c>
      <c r="C164" s="9"/>
      <c r="D164" s="8"/>
      <c r="E164" s="8"/>
      <c r="F164" s="8"/>
      <c r="G164" s="8"/>
      <c r="H164" s="8"/>
      <c r="I164" s="8"/>
      <c r="J164" s="8"/>
      <c r="K164" s="8"/>
      <c r="L164" s="8">
        <v>1</v>
      </c>
      <c r="M164" s="8" t="s">
        <v>33</v>
      </c>
      <c r="N164" s="8"/>
      <c r="O164" s="8"/>
      <c r="P164" s="7" t="str">
        <f t="shared" si="5"/>
        <v/>
      </c>
      <c r="Q164" s="8"/>
      <c r="R164" s="11"/>
      <c r="S164" s="13"/>
      <c r="T164" s="9"/>
    </row>
    <row r="165" spans="1:20" x14ac:dyDescent="0.3">
      <c r="A165" s="7" t="s">
        <v>2556</v>
      </c>
      <c r="B165" s="8" t="s">
        <v>47</v>
      </c>
      <c r="C165" s="9"/>
      <c r="D165" s="8"/>
      <c r="E165" s="8"/>
      <c r="F165" s="8"/>
      <c r="G165" s="8"/>
      <c r="H165" s="8"/>
      <c r="I165" s="8"/>
      <c r="J165" s="8"/>
      <c r="K165" s="8"/>
      <c r="L165" s="8">
        <v>1</v>
      </c>
      <c r="M165" s="8" t="s">
        <v>33</v>
      </c>
      <c r="N165" s="8"/>
      <c r="O165" s="8"/>
      <c r="P165" s="7" t="str">
        <f t="shared" si="5"/>
        <v/>
      </c>
      <c r="Q165" s="8"/>
      <c r="R165" s="11"/>
      <c r="S165" s="13"/>
      <c r="T165" s="9"/>
    </row>
    <row r="166" spans="1:20" x14ac:dyDescent="0.3">
      <c r="A166" s="7" t="s">
        <v>2557</v>
      </c>
      <c r="B166" s="8" t="s">
        <v>47</v>
      </c>
      <c r="C166" s="9"/>
      <c r="D166" s="8"/>
      <c r="E166" s="8"/>
      <c r="F166" s="8"/>
      <c r="G166" s="8"/>
      <c r="H166" s="8"/>
      <c r="I166" s="8"/>
      <c r="J166" s="8"/>
      <c r="K166" s="8"/>
      <c r="L166" s="8">
        <v>1</v>
      </c>
      <c r="M166" s="8" t="s">
        <v>33</v>
      </c>
      <c r="N166" s="8"/>
      <c r="O166" s="8"/>
      <c r="P166" s="7" t="str">
        <f t="shared" si="5"/>
        <v/>
      </c>
      <c r="Q166" s="8"/>
      <c r="R166" s="11"/>
      <c r="S166" s="13"/>
      <c r="T166" s="9"/>
    </row>
    <row r="167" spans="1:20" x14ac:dyDescent="0.3">
      <c r="A167" s="7" t="s">
        <v>2558</v>
      </c>
      <c r="B167" s="8" t="s">
        <v>47</v>
      </c>
      <c r="C167" s="9"/>
      <c r="D167" s="8"/>
      <c r="E167" s="8"/>
      <c r="F167" s="8"/>
      <c r="G167" s="8"/>
      <c r="H167" s="8"/>
      <c r="I167" s="8"/>
      <c r="J167" s="8"/>
      <c r="K167" s="8"/>
      <c r="L167" s="8">
        <v>1</v>
      </c>
      <c r="M167" s="8" t="s">
        <v>33</v>
      </c>
      <c r="N167" s="8"/>
      <c r="O167" s="8"/>
      <c r="P167" s="7" t="str">
        <f t="shared" si="5"/>
        <v/>
      </c>
      <c r="Q167" s="8"/>
      <c r="R167" s="11"/>
      <c r="S167" s="13"/>
      <c r="T167" s="9"/>
    </row>
    <row r="168" spans="1:20" x14ac:dyDescent="0.3">
      <c r="A168" s="7" t="s">
        <v>2559</v>
      </c>
      <c r="B168" s="8" t="s">
        <v>47</v>
      </c>
      <c r="C168" s="9"/>
      <c r="D168" s="8"/>
      <c r="E168" s="8"/>
      <c r="F168" s="8"/>
      <c r="G168" s="8"/>
      <c r="H168" s="8"/>
      <c r="I168" s="8"/>
      <c r="J168" s="8"/>
      <c r="K168" s="8"/>
      <c r="L168" s="8">
        <v>1</v>
      </c>
      <c r="M168" s="8" t="s">
        <v>33</v>
      </c>
      <c r="N168" s="8"/>
      <c r="O168" s="8"/>
      <c r="P168" s="7" t="str">
        <f t="shared" si="5"/>
        <v/>
      </c>
      <c r="Q168" s="8"/>
      <c r="R168" s="11"/>
      <c r="S168" s="13"/>
      <c r="T168" s="9"/>
    </row>
    <row r="169" spans="1:20" x14ac:dyDescent="0.3">
      <c r="A169" s="7" t="s">
        <v>2560</v>
      </c>
      <c r="B169" s="8" t="s">
        <v>47</v>
      </c>
      <c r="C169" s="9"/>
      <c r="D169" s="8"/>
      <c r="E169" s="8"/>
      <c r="F169" s="8"/>
      <c r="G169" s="8"/>
      <c r="H169" s="8"/>
      <c r="I169" s="8"/>
      <c r="J169" s="8"/>
      <c r="K169" s="8"/>
      <c r="L169" s="8">
        <v>1</v>
      </c>
      <c r="M169" s="8" t="s">
        <v>33</v>
      </c>
      <c r="N169" s="8"/>
      <c r="O169" s="8"/>
      <c r="P169" s="7" t="str">
        <f t="shared" si="5"/>
        <v/>
      </c>
      <c r="Q169" s="8"/>
      <c r="R169" s="11"/>
      <c r="S169" s="13"/>
      <c r="T169" s="9"/>
    </row>
    <row r="170" spans="1:20" x14ac:dyDescent="0.3">
      <c r="A170" s="7" t="s">
        <v>2561</v>
      </c>
      <c r="B170" s="8" t="s">
        <v>47</v>
      </c>
      <c r="C170" s="9"/>
      <c r="D170" s="8"/>
      <c r="E170" s="8"/>
      <c r="F170" s="8"/>
      <c r="G170" s="8"/>
      <c r="H170" s="8"/>
      <c r="I170" s="8"/>
      <c r="J170" s="8"/>
      <c r="K170" s="8"/>
      <c r="L170" s="8">
        <v>1</v>
      </c>
      <c r="M170" s="8" t="s">
        <v>33</v>
      </c>
      <c r="N170" s="8"/>
      <c r="O170" s="8"/>
      <c r="P170" s="7" t="str">
        <f t="shared" si="5"/>
        <v/>
      </c>
      <c r="Q170" s="8"/>
      <c r="R170" s="11"/>
      <c r="S170" s="13"/>
      <c r="T170" s="9"/>
    </row>
    <row r="171" spans="1:20" x14ac:dyDescent="0.3">
      <c r="A171" s="7" t="s">
        <v>2562</v>
      </c>
      <c r="B171" s="8" t="s">
        <v>47</v>
      </c>
      <c r="C171" s="9"/>
      <c r="D171" s="8"/>
      <c r="E171" s="8"/>
      <c r="F171" s="8"/>
      <c r="G171" s="8"/>
      <c r="H171" s="8"/>
      <c r="I171" s="8"/>
      <c r="J171" s="8"/>
      <c r="K171" s="8"/>
      <c r="L171" s="8">
        <v>1</v>
      </c>
      <c r="M171" s="8" t="s">
        <v>33</v>
      </c>
      <c r="N171" s="8"/>
      <c r="O171" s="8"/>
      <c r="P171" s="7" t="str">
        <f t="shared" si="5"/>
        <v/>
      </c>
      <c r="Q171" s="8"/>
      <c r="R171" s="11"/>
      <c r="S171" s="13"/>
      <c r="T171" s="9"/>
    </row>
    <row r="172" spans="1:20" x14ac:dyDescent="0.3">
      <c r="A172" s="7" t="s">
        <v>2563</v>
      </c>
      <c r="B172" s="8" t="s">
        <v>47</v>
      </c>
      <c r="C172" s="9"/>
      <c r="D172" s="8"/>
      <c r="E172" s="8"/>
      <c r="F172" s="8"/>
      <c r="G172" s="8"/>
      <c r="H172" s="8"/>
      <c r="I172" s="8"/>
      <c r="J172" s="8"/>
      <c r="K172" s="8"/>
      <c r="L172" s="8">
        <v>1</v>
      </c>
      <c r="M172" s="8" t="s">
        <v>33</v>
      </c>
      <c r="N172" s="8"/>
      <c r="O172" s="8"/>
      <c r="P172" s="7" t="str">
        <f t="shared" si="5"/>
        <v/>
      </c>
      <c r="Q172" s="8"/>
      <c r="R172" s="11"/>
      <c r="S172" s="13"/>
      <c r="T172" s="9"/>
    </row>
    <row r="173" spans="1:20" x14ac:dyDescent="0.3">
      <c r="A173" s="7" t="s">
        <v>2564</v>
      </c>
      <c r="B173" s="8" t="s">
        <v>47</v>
      </c>
      <c r="C173" s="9"/>
      <c r="D173" s="8"/>
      <c r="E173" s="8"/>
      <c r="F173" s="8"/>
      <c r="G173" s="8"/>
      <c r="H173" s="8"/>
      <c r="I173" s="8"/>
      <c r="J173" s="8"/>
      <c r="K173" s="8"/>
      <c r="L173" s="8">
        <v>1</v>
      </c>
      <c r="M173" s="8" t="s">
        <v>33</v>
      </c>
      <c r="N173" s="8"/>
      <c r="O173" s="8"/>
      <c r="P173" s="7" t="str">
        <f t="shared" si="5"/>
        <v/>
      </c>
      <c r="Q173" s="8"/>
      <c r="R173" s="11"/>
      <c r="S173" s="13"/>
      <c r="T173" s="9"/>
    </row>
    <row r="174" spans="1:20" x14ac:dyDescent="0.3">
      <c r="A174" s="7" t="s">
        <v>2565</v>
      </c>
      <c r="B174" s="8" t="s">
        <v>47</v>
      </c>
      <c r="C174" s="9"/>
      <c r="D174" s="8"/>
      <c r="E174" s="8"/>
      <c r="F174" s="8"/>
      <c r="G174" s="8"/>
      <c r="H174" s="8"/>
      <c r="I174" s="8"/>
      <c r="J174" s="8"/>
      <c r="K174" s="8"/>
      <c r="L174" s="8">
        <v>1</v>
      </c>
      <c r="M174" s="8" t="s">
        <v>33</v>
      </c>
      <c r="N174" s="8"/>
      <c r="O174" s="8"/>
      <c r="P174" s="7" t="str">
        <f t="shared" si="5"/>
        <v/>
      </c>
      <c r="Q174" s="8"/>
      <c r="R174" s="11"/>
      <c r="S174" s="13"/>
      <c r="T174" s="9"/>
    </row>
    <row r="175" spans="1:20" x14ac:dyDescent="0.3">
      <c r="A175" s="7" t="s">
        <v>2566</v>
      </c>
      <c r="B175" s="8" t="s">
        <v>47</v>
      </c>
      <c r="C175" s="9"/>
      <c r="D175" s="8"/>
      <c r="E175" s="8"/>
      <c r="F175" s="8"/>
      <c r="G175" s="8"/>
      <c r="H175" s="8"/>
      <c r="I175" s="8"/>
      <c r="J175" s="8"/>
      <c r="K175" s="8"/>
      <c r="L175" s="8">
        <v>1</v>
      </c>
      <c r="M175" s="8" t="s">
        <v>33</v>
      </c>
      <c r="N175" s="8"/>
      <c r="O175" s="8"/>
      <c r="P175" s="7" t="str">
        <f t="shared" si="5"/>
        <v/>
      </c>
      <c r="Q175" s="8"/>
      <c r="R175" s="11"/>
      <c r="S175" s="13"/>
      <c r="T175" s="9"/>
    </row>
    <row r="176" spans="1:20" x14ac:dyDescent="0.3">
      <c r="A176" s="7" t="s">
        <v>2567</v>
      </c>
      <c r="B176" s="8" t="s">
        <v>47</v>
      </c>
      <c r="C176" s="9"/>
      <c r="D176" s="8"/>
      <c r="E176" s="8"/>
      <c r="F176" s="8"/>
      <c r="G176" s="8"/>
      <c r="H176" s="8"/>
      <c r="I176" s="8"/>
      <c r="J176" s="8"/>
      <c r="K176" s="8"/>
      <c r="L176" s="8">
        <v>1</v>
      </c>
      <c r="M176" s="8" t="s">
        <v>33</v>
      </c>
      <c r="N176" s="8"/>
      <c r="O176" s="8"/>
      <c r="P176" s="7" t="str">
        <f t="shared" si="5"/>
        <v/>
      </c>
      <c r="Q176" s="8"/>
      <c r="R176" s="11"/>
      <c r="S176" s="13"/>
      <c r="T176" s="9"/>
    </row>
    <row r="177" spans="1:20" x14ac:dyDescent="0.3">
      <c r="A177" s="7" t="s">
        <v>2568</v>
      </c>
      <c r="B177" s="8" t="s">
        <v>47</v>
      </c>
      <c r="C177" s="9"/>
      <c r="D177" s="8"/>
      <c r="E177" s="8"/>
      <c r="F177" s="8"/>
      <c r="G177" s="8"/>
      <c r="H177" s="8"/>
      <c r="I177" s="8"/>
      <c r="J177" s="8"/>
      <c r="K177" s="8"/>
      <c r="L177" s="8">
        <v>1</v>
      </c>
      <c r="M177" s="8" t="s">
        <v>33</v>
      </c>
      <c r="N177" s="8"/>
      <c r="O177" s="8"/>
      <c r="P177" s="7" t="str">
        <f t="shared" si="5"/>
        <v/>
      </c>
      <c r="Q177" s="8"/>
      <c r="R177" s="11"/>
      <c r="S177" s="13"/>
      <c r="T177" s="9"/>
    </row>
    <row r="178" spans="1:20" x14ac:dyDescent="0.3">
      <c r="A178" s="7" t="s">
        <v>2569</v>
      </c>
      <c r="B178" s="8" t="s">
        <v>47</v>
      </c>
      <c r="C178" s="9"/>
      <c r="D178" s="8"/>
      <c r="E178" s="8"/>
      <c r="F178" s="8"/>
      <c r="G178" s="8"/>
      <c r="H178" s="8"/>
      <c r="I178" s="8"/>
      <c r="J178" s="8"/>
      <c r="K178" s="8"/>
      <c r="L178" s="8">
        <v>1</v>
      </c>
      <c r="M178" s="8" t="s">
        <v>33</v>
      </c>
      <c r="N178" s="8"/>
      <c r="O178" s="8"/>
      <c r="P178" s="7" t="str">
        <f t="shared" si="5"/>
        <v/>
      </c>
      <c r="Q178" s="8"/>
      <c r="R178" s="11"/>
      <c r="S178" s="13"/>
      <c r="T178" s="9"/>
    </row>
    <row r="179" spans="1:20" x14ac:dyDescent="0.3">
      <c r="A179" s="7" t="s">
        <v>2570</v>
      </c>
      <c r="B179" s="8" t="s">
        <v>47</v>
      </c>
      <c r="C179" s="9"/>
      <c r="D179" s="8"/>
      <c r="E179" s="8"/>
      <c r="F179" s="8"/>
      <c r="G179" s="8"/>
      <c r="H179" s="8"/>
      <c r="I179" s="8"/>
      <c r="J179" s="8"/>
      <c r="K179" s="8"/>
      <c r="L179" s="8">
        <v>1</v>
      </c>
      <c r="M179" s="8" t="s">
        <v>33</v>
      </c>
      <c r="N179" s="8"/>
      <c r="O179" s="8"/>
      <c r="P179" s="7" t="str">
        <f t="shared" si="5"/>
        <v/>
      </c>
      <c r="Q179" s="8"/>
      <c r="R179" s="11"/>
      <c r="S179" s="13"/>
      <c r="T179" s="9"/>
    </row>
    <row r="180" spans="1:20" x14ac:dyDescent="0.3">
      <c r="A180" s="7" t="s">
        <v>2571</v>
      </c>
      <c r="B180" s="8" t="s">
        <v>47</v>
      </c>
      <c r="C180" s="9"/>
      <c r="D180" s="8"/>
      <c r="E180" s="8"/>
      <c r="F180" s="8"/>
      <c r="G180" s="8"/>
      <c r="H180" s="8"/>
      <c r="I180" s="8"/>
      <c r="J180" s="8"/>
      <c r="K180" s="8"/>
      <c r="L180" s="8">
        <v>1</v>
      </c>
      <c r="M180" s="8" t="s">
        <v>33</v>
      </c>
      <c r="N180" s="8"/>
      <c r="O180" s="8"/>
      <c r="P180" s="7" t="str">
        <f t="shared" si="5"/>
        <v/>
      </c>
      <c r="Q180" s="8"/>
      <c r="R180" s="11"/>
      <c r="S180" s="13"/>
      <c r="T180" s="9"/>
    </row>
    <row r="181" spans="1:20" x14ac:dyDescent="0.3">
      <c r="A181" s="7" t="s">
        <v>2572</v>
      </c>
      <c r="B181" s="8" t="s">
        <v>47</v>
      </c>
      <c r="C181" s="9"/>
      <c r="D181" s="8"/>
      <c r="E181" s="8"/>
      <c r="F181" s="8"/>
      <c r="G181" s="8"/>
      <c r="H181" s="8"/>
      <c r="I181" s="8"/>
      <c r="J181" s="8"/>
      <c r="K181" s="8"/>
      <c r="L181" s="8">
        <v>1</v>
      </c>
      <c r="M181" s="8" t="s">
        <v>33</v>
      </c>
      <c r="N181" s="8"/>
      <c r="O181" s="8"/>
      <c r="P181" s="7" t="str">
        <f t="shared" si="5"/>
        <v/>
      </c>
      <c r="Q181" s="8"/>
      <c r="R181" s="11"/>
      <c r="S181" s="13"/>
      <c r="T181" s="9"/>
    </row>
    <row r="182" spans="1:20" x14ac:dyDescent="0.3">
      <c r="A182" s="7" t="s">
        <v>2573</v>
      </c>
      <c r="B182" s="8" t="s">
        <v>47</v>
      </c>
      <c r="C182" s="9"/>
      <c r="D182" s="8"/>
      <c r="E182" s="8"/>
      <c r="F182" s="8"/>
      <c r="G182" s="8"/>
      <c r="H182" s="8"/>
      <c r="I182" s="8"/>
      <c r="J182" s="8"/>
      <c r="K182" s="8"/>
      <c r="L182" s="8">
        <v>1</v>
      </c>
      <c r="M182" s="8" t="s">
        <v>33</v>
      </c>
      <c r="N182" s="8"/>
      <c r="O182" s="8"/>
      <c r="P182" s="7" t="str">
        <f t="shared" si="5"/>
        <v/>
      </c>
      <c r="Q182" s="8"/>
      <c r="R182" s="11"/>
      <c r="S182" s="13"/>
      <c r="T182" s="9"/>
    </row>
    <row r="183" spans="1:20" x14ac:dyDescent="0.3">
      <c r="A183" s="7" t="s">
        <v>2574</v>
      </c>
      <c r="B183" s="8" t="s">
        <v>47</v>
      </c>
      <c r="C183" s="9"/>
      <c r="D183" s="8"/>
      <c r="E183" s="8"/>
      <c r="F183" s="8"/>
      <c r="G183" s="8"/>
      <c r="H183" s="8"/>
      <c r="I183" s="8"/>
      <c r="J183" s="8"/>
      <c r="K183" s="8"/>
      <c r="L183" s="8">
        <v>1</v>
      </c>
      <c r="M183" s="8" t="s">
        <v>33</v>
      </c>
      <c r="N183" s="8"/>
      <c r="O183" s="8"/>
      <c r="P183" s="7" t="str">
        <f t="shared" si="5"/>
        <v/>
      </c>
      <c r="Q183" s="8"/>
      <c r="R183" s="11"/>
      <c r="S183" s="13"/>
      <c r="T183" s="9"/>
    </row>
    <row r="184" spans="1:20" x14ac:dyDescent="0.3">
      <c r="A184" s="7" t="s">
        <v>2575</v>
      </c>
      <c r="B184" s="8" t="s">
        <v>47</v>
      </c>
      <c r="C184" s="9"/>
      <c r="D184" s="8"/>
      <c r="E184" s="8"/>
      <c r="F184" s="8"/>
      <c r="G184" s="8"/>
      <c r="H184" s="8"/>
      <c r="I184" s="8"/>
      <c r="J184" s="8"/>
      <c r="K184" s="8"/>
      <c r="L184" s="8">
        <v>1</v>
      </c>
      <c r="M184" s="8" t="s">
        <v>33</v>
      </c>
      <c r="N184" s="8"/>
      <c r="O184" s="8"/>
      <c r="P184" s="7" t="str">
        <f t="shared" si="5"/>
        <v/>
      </c>
      <c r="Q184" s="8"/>
      <c r="R184" s="11"/>
      <c r="S184" s="13"/>
      <c r="T184" s="9"/>
    </row>
    <row r="185" spans="1:20" x14ac:dyDescent="0.3">
      <c r="A185" s="7" t="s">
        <v>2576</v>
      </c>
      <c r="B185" s="8" t="s">
        <v>47</v>
      </c>
      <c r="C185" s="9"/>
      <c r="D185" s="8"/>
      <c r="E185" s="8"/>
      <c r="F185" s="8"/>
      <c r="G185" s="8"/>
      <c r="H185" s="8"/>
      <c r="I185" s="8"/>
      <c r="J185" s="8"/>
      <c r="K185" s="8"/>
      <c r="L185" s="8">
        <v>1</v>
      </c>
      <c r="M185" s="8" t="s">
        <v>33</v>
      </c>
      <c r="N185" s="8"/>
      <c r="O185" s="8"/>
      <c r="P185" s="7" t="str">
        <f t="shared" si="5"/>
        <v/>
      </c>
      <c r="Q185" s="8"/>
      <c r="R185" s="11"/>
      <c r="S185" s="13"/>
      <c r="T185" s="9"/>
    </row>
    <row r="186" spans="1:20" x14ac:dyDescent="0.3">
      <c r="A186" s="7" t="s">
        <v>2577</v>
      </c>
      <c r="B186" s="8" t="s">
        <v>47</v>
      </c>
      <c r="C186" s="9"/>
      <c r="D186" s="8"/>
      <c r="E186" s="8"/>
      <c r="F186" s="8"/>
      <c r="G186" s="8"/>
      <c r="H186" s="8"/>
      <c r="I186" s="8"/>
      <c r="J186" s="8"/>
      <c r="K186" s="8"/>
      <c r="L186" s="8">
        <v>1</v>
      </c>
      <c r="M186" s="8" t="s">
        <v>33</v>
      </c>
      <c r="N186" s="8"/>
      <c r="O186" s="8"/>
      <c r="P186" s="7" t="str">
        <f t="shared" si="5"/>
        <v/>
      </c>
      <c r="Q186" s="8"/>
      <c r="R186" s="11"/>
      <c r="S186" s="13"/>
      <c r="T186" s="9"/>
    </row>
  </sheetData>
  <autoFilter ref="A1:T186" xr:uid="{00000000-0009-0000-0000-000004000000}"/>
  <conditionalFormatting sqref="A2:T186">
    <cfRule type="expression" dxfId="5" priority="1">
      <formula>$B2="Sí"</formula>
    </cfRule>
  </conditionalFormatting>
  <conditionalFormatting sqref="H2:H186">
    <cfRule type="expression" dxfId="4" priority="4">
      <formula>AND(H2&lt;&gt;"",COUNTIF($H$2:$H$186,H2)&gt;1)</formula>
    </cfRule>
  </conditionalFormatting>
  <conditionalFormatting sqref="P2:P186">
    <cfRule type="expression" dxfId="3" priority="2">
      <formula>LEFT(P2,2)="No"</formula>
    </cfRule>
    <cfRule type="expression" dxfId="2" priority="3">
      <formula>ISNUMBER(SEARCH("traslado",P2))</formula>
    </cfRule>
  </conditionalFormatting>
  <dataValidations count="2">
    <dataValidation type="list" allowBlank="1" showErrorMessage="1" sqref="B2:B186" xr:uid="{00000000-0002-0000-0400-000000000000}">
      <formula1>"Sí,No"</formula1>
    </dataValidation>
    <dataValidation type="whole" operator="greaterThanOrEqual" allowBlank="1" showErrorMessage="1" error="Cantidad entera de 1 o más" sqref="L2:L186" xr:uid="{00000000-0002-0000-0400-000006000000}">
      <formula1>1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400-000001000000}">
          <x14:formula1>
            <xm:f>Listas!$D$2:$D$5</xm:f>
          </x14:formula1>
          <xm:sqref>M2:M186</xm:sqref>
        </x14:dataValidation>
        <x14:dataValidation type="list" allowBlank="1" showErrorMessage="1" xr:uid="{00000000-0002-0000-0400-000002000000}">
          <x14:formula1>
            <xm:f>Listas!$E$2:$E$4</xm:f>
          </x14:formula1>
          <xm:sqref>N2:N186</xm:sqref>
        </x14:dataValidation>
        <x14:dataValidation type="list" allowBlank="1" showErrorMessage="1" xr:uid="{00000000-0002-0000-0400-000003000000}">
          <x14:formula1>
            <xm:f>Listas!$F$2:$F$6</xm:f>
          </x14:formula1>
          <xm:sqref>O2:O186</xm:sqref>
        </x14:dataValidation>
        <x14:dataValidation type="list" allowBlank="1" showErrorMessage="1" xr:uid="{00000000-0002-0000-0400-000004000000}">
          <x14:formula1>
            <xm:f>Listas!$I$2:$I$5</xm:f>
          </x14:formula1>
          <xm:sqref>K2:K186</xm:sqref>
        </x14:dataValidation>
        <x14:dataValidation type="list" errorStyle="warning" allowBlank="1" showErrorMessage="1" error="Salón nuevo: confirme que es correcto." xr:uid="{00000000-0002-0000-0400-000005000000}">
          <x14:formula1>
            <xm:f>Listas!$J$2:$J$4</xm:f>
          </x14:formula1>
          <xm:sqref>J2:J186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01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13" customWidth="1"/>
    <col min="2" max="2" width="9" customWidth="1"/>
    <col min="3" max="3" width="34" customWidth="1"/>
    <col min="4" max="4" width="22" customWidth="1"/>
    <col min="5" max="5" width="11" customWidth="1"/>
    <col min="6" max="7" width="10" customWidth="1"/>
    <col min="8" max="8" width="13" customWidth="1"/>
    <col min="9" max="9" width="11" customWidth="1"/>
    <col min="10" max="10" width="14" customWidth="1"/>
    <col min="11" max="11" width="18" customWidth="1"/>
    <col min="12" max="12" width="12" customWidth="1"/>
    <col min="13" max="13" width="34" customWidth="1"/>
  </cols>
  <sheetData>
    <row r="1" spans="1:13" ht="42" customHeight="1" x14ac:dyDescent="0.3">
      <c r="A1" s="5" t="s">
        <v>79</v>
      </c>
      <c r="B1" s="6" t="s">
        <v>80</v>
      </c>
      <c r="C1" s="6" t="s">
        <v>2578</v>
      </c>
      <c r="D1" s="6" t="s">
        <v>2579</v>
      </c>
      <c r="E1" s="6" t="s">
        <v>26</v>
      </c>
      <c r="F1" s="6" t="s">
        <v>2580</v>
      </c>
      <c r="G1" s="6" t="s">
        <v>2581</v>
      </c>
      <c r="H1" s="6" t="s">
        <v>2582</v>
      </c>
      <c r="I1" s="5" t="s">
        <v>2583</v>
      </c>
      <c r="J1" s="5" t="s">
        <v>2584</v>
      </c>
      <c r="K1" s="6" t="s">
        <v>94</v>
      </c>
      <c r="L1" s="6" t="s">
        <v>86</v>
      </c>
      <c r="M1" s="6" t="s">
        <v>98</v>
      </c>
    </row>
    <row r="2" spans="1:13" x14ac:dyDescent="0.3">
      <c r="A2" s="7" t="s">
        <v>2585</v>
      </c>
      <c r="B2" s="8" t="s">
        <v>47</v>
      </c>
      <c r="C2" s="8"/>
      <c r="D2" s="8"/>
      <c r="E2" s="8"/>
      <c r="F2" s="8"/>
      <c r="G2" s="8"/>
      <c r="H2" s="8"/>
      <c r="I2" s="7" t="str">
        <f>IF(C2="","",SUMIFS(Roturas!$D$2:$D$2000,Roturas!$B$2:$B$2000,A2))</f>
        <v/>
      </c>
      <c r="J2" s="7" t="str">
        <f t="shared" ref="J2:J65" si="0">IF(C2="","",N(F2)+N(G2)-I2)</f>
        <v/>
      </c>
      <c r="K2" s="8"/>
      <c r="L2" s="11"/>
      <c r="M2" s="13"/>
    </row>
    <row r="3" spans="1:13" x14ac:dyDescent="0.3">
      <c r="A3" s="7" t="s">
        <v>2586</v>
      </c>
      <c r="B3" s="8" t="s">
        <v>47</v>
      </c>
      <c r="C3" s="8"/>
      <c r="D3" s="8"/>
      <c r="E3" s="8"/>
      <c r="F3" s="8"/>
      <c r="G3" s="8"/>
      <c r="H3" s="8"/>
      <c r="I3" s="7" t="str">
        <f>IF(C3="","",SUMIFS(Roturas!$D$2:$D$2000,Roturas!$B$2:$B$2000,A3))</f>
        <v/>
      </c>
      <c r="J3" s="7" t="str">
        <f t="shared" si="0"/>
        <v/>
      </c>
      <c r="K3" s="8"/>
      <c r="L3" s="11"/>
      <c r="M3" s="13"/>
    </row>
    <row r="4" spans="1:13" x14ac:dyDescent="0.3">
      <c r="A4" s="7" t="s">
        <v>2587</v>
      </c>
      <c r="B4" s="8" t="s">
        <v>47</v>
      </c>
      <c r="C4" s="8"/>
      <c r="D4" s="8"/>
      <c r="E4" s="8"/>
      <c r="F4" s="8"/>
      <c r="G4" s="8"/>
      <c r="H4" s="8"/>
      <c r="I4" s="7" t="str">
        <f>IF(C4="","",SUMIFS(Roturas!$D$2:$D$2000,Roturas!$B$2:$B$2000,A4))</f>
        <v/>
      </c>
      <c r="J4" s="7" t="str">
        <f t="shared" si="0"/>
        <v/>
      </c>
      <c r="K4" s="8"/>
      <c r="L4" s="11"/>
      <c r="M4" s="13"/>
    </row>
    <row r="5" spans="1:13" x14ac:dyDescent="0.3">
      <c r="A5" s="7" t="s">
        <v>2588</v>
      </c>
      <c r="B5" s="8" t="s">
        <v>47</v>
      </c>
      <c r="C5" s="8"/>
      <c r="D5" s="8"/>
      <c r="E5" s="8"/>
      <c r="F5" s="8"/>
      <c r="G5" s="8"/>
      <c r="H5" s="8"/>
      <c r="I5" s="7" t="str">
        <f>IF(C5="","",SUMIFS(Roturas!$D$2:$D$2000,Roturas!$B$2:$B$2000,A5))</f>
        <v/>
      </c>
      <c r="J5" s="7" t="str">
        <f t="shared" si="0"/>
        <v/>
      </c>
      <c r="K5" s="8"/>
      <c r="L5" s="11"/>
      <c r="M5" s="13"/>
    </row>
    <row r="6" spans="1:13" x14ac:dyDescent="0.3">
      <c r="A6" s="7" t="s">
        <v>2589</v>
      </c>
      <c r="B6" s="8" t="s">
        <v>47</v>
      </c>
      <c r="C6" s="8"/>
      <c r="D6" s="8"/>
      <c r="E6" s="8"/>
      <c r="F6" s="8"/>
      <c r="G6" s="8"/>
      <c r="H6" s="8"/>
      <c r="I6" s="7" t="str">
        <f>IF(C6="","",SUMIFS(Roturas!$D$2:$D$2000,Roturas!$B$2:$B$2000,A6))</f>
        <v/>
      </c>
      <c r="J6" s="7" t="str">
        <f t="shared" si="0"/>
        <v/>
      </c>
      <c r="K6" s="8"/>
      <c r="L6" s="11"/>
      <c r="M6" s="13"/>
    </row>
    <row r="7" spans="1:13" x14ac:dyDescent="0.3">
      <c r="A7" s="7" t="s">
        <v>2590</v>
      </c>
      <c r="B7" s="8" t="s">
        <v>47</v>
      </c>
      <c r="C7" s="8"/>
      <c r="D7" s="8"/>
      <c r="E7" s="8"/>
      <c r="F7" s="8"/>
      <c r="G7" s="8"/>
      <c r="H7" s="8"/>
      <c r="I7" s="7" t="str">
        <f>IF(C7="","",SUMIFS(Roturas!$D$2:$D$2000,Roturas!$B$2:$B$2000,A7))</f>
        <v/>
      </c>
      <c r="J7" s="7" t="str">
        <f t="shared" si="0"/>
        <v/>
      </c>
      <c r="K7" s="8"/>
      <c r="L7" s="11"/>
      <c r="M7" s="13"/>
    </row>
    <row r="8" spans="1:13" x14ac:dyDescent="0.3">
      <c r="A8" s="7" t="s">
        <v>2591</v>
      </c>
      <c r="B8" s="8" t="s">
        <v>47</v>
      </c>
      <c r="C8" s="8"/>
      <c r="D8" s="8"/>
      <c r="E8" s="8"/>
      <c r="F8" s="8"/>
      <c r="G8" s="8"/>
      <c r="H8" s="8"/>
      <c r="I8" s="7" t="str">
        <f>IF(C8="","",SUMIFS(Roturas!$D$2:$D$2000,Roturas!$B$2:$B$2000,A8))</f>
        <v/>
      </c>
      <c r="J8" s="7" t="str">
        <f t="shared" si="0"/>
        <v/>
      </c>
      <c r="K8" s="8"/>
      <c r="L8" s="11"/>
      <c r="M8" s="13"/>
    </row>
    <row r="9" spans="1:13" x14ac:dyDescent="0.3">
      <c r="A9" s="7" t="s">
        <v>2592</v>
      </c>
      <c r="B9" s="8" t="s">
        <v>47</v>
      </c>
      <c r="C9" s="8"/>
      <c r="D9" s="8"/>
      <c r="E9" s="8"/>
      <c r="F9" s="8"/>
      <c r="G9" s="8"/>
      <c r="H9" s="8"/>
      <c r="I9" s="7" t="str">
        <f>IF(C9="","",SUMIFS(Roturas!$D$2:$D$2000,Roturas!$B$2:$B$2000,A9))</f>
        <v/>
      </c>
      <c r="J9" s="7" t="str">
        <f t="shared" si="0"/>
        <v/>
      </c>
      <c r="K9" s="8"/>
      <c r="L9" s="11"/>
      <c r="M9" s="13"/>
    </row>
    <row r="10" spans="1:13" x14ac:dyDescent="0.3">
      <c r="A10" s="7" t="s">
        <v>2593</v>
      </c>
      <c r="B10" s="8" t="s">
        <v>47</v>
      </c>
      <c r="C10" s="8"/>
      <c r="D10" s="8"/>
      <c r="E10" s="8"/>
      <c r="F10" s="8"/>
      <c r="G10" s="8"/>
      <c r="H10" s="8"/>
      <c r="I10" s="7" t="str">
        <f>IF(C10="","",SUMIFS(Roturas!$D$2:$D$2000,Roturas!$B$2:$B$2000,A10))</f>
        <v/>
      </c>
      <c r="J10" s="7" t="str">
        <f t="shared" si="0"/>
        <v/>
      </c>
      <c r="K10" s="8"/>
      <c r="L10" s="11"/>
      <c r="M10" s="13"/>
    </row>
    <row r="11" spans="1:13" x14ac:dyDescent="0.3">
      <c r="A11" s="7" t="s">
        <v>2594</v>
      </c>
      <c r="B11" s="8" t="s">
        <v>47</v>
      </c>
      <c r="C11" s="8"/>
      <c r="D11" s="8"/>
      <c r="E11" s="8"/>
      <c r="F11" s="8"/>
      <c r="G11" s="8"/>
      <c r="H11" s="8"/>
      <c r="I11" s="7" t="str">
        <f>IF(C11="","",SUMIFS(Roturas!$D$2:$D$2000,Roturas!$B$2:$B$2000,A11))</f>
        <v/>
      </c>
      <c r="J11" s="7" t="str">
        <f t="shared" si="0"/>
        <v/>
      </c>
      <c r="K11" s="8"/>
      <c r="L11" s="11"/>
      <c r="M11" s="13"/>
    </row>
    <row r="12" spans="1:13" x14ac:dyDescent="0.3">
      <c r="A12" s="7" t="s">
        <v>2595</v>
      </c>
      <c r="B12" s="8" t="s">
        <v>47</v>
      </c>
      <c r="C12" s="8"/>
      <c r="D12" s="8"/>
      <c r="E12" s="8"/>
      <c r="F12" s="8"/>
      <c r="G12" s="8"/>
      <c r="H12" s="8"/>
      <c r="I12" s="7" t="str">
        <f>IF(C12="","",SUMIFS(Roturas!$D$2:$D$2000,Roturas!$B$2:$B$2000,A12))</f>
        <v/>
      </c>
      <c r="J12" s="7" t="str">
        <f t="shared" si="0"/>
        <v/>
      </c>
      <c r="K12" s="8"/>
      <c r="L12" s="11"/>
      <c r="M12" s="13"/>
    </row>
    <row r="13" spans="1:13" x14ac:dyDescent="0.3">
      <c r="A13" s="7" t="s">
        <v>2596</v>
      </c>
      <c r="B13" s="8" t="s">
        <v>47</v>
      </c>
      <c r="C13" s="8"/>
      <c r="D13" s="8"/>
      <c r="E13" s="8"/>
      <c r="F13" s="8"/>
      <c r="G13" s="8"/>
      <c r="H13" s="8"/>
      <c r="I13" s="7" t="str">
        <f>IF(C13="","",SUMIFS(Roturas!$D$2:$D$2000,Roturas!$B$2:$B$2000,A13))</f>
        <v/>
      </c>
      <c r="J13" s="7" t="str">
        <f t="shared" si="0"/>
        <v/>
      </c>
      <c r="K13" s="8"/>
      <c r="L13" s="11"/>
      <c r="M13" s="13"/>
    </row>
    <row r="14" spans="1:13" x14ac:dyDescent="0.3">
      <c r="A14" s="7" t="s">
        <v>2597</v>
      </c>
      <c r="B14" s="8" t="s">
        <v>47</v>
      </c>
      <c r="C14" s="8"/>
      <c r="D14" s="8"/>
      <c r="E14" s="8"/>
      <c r="F14" s="8"/>
      <c r="G14" s="8"/>
      <c r="H14" s="8"/>
      <c r="I14" s="7" t="str">
        <f>IF(C14="","",SUMIFS(Roturas!$D$2:$D$2000,Roturas!$B$2:$B$2000,A14))</f>
        <v/>
      </c>
      <c r="J14" s="7" t="str">
        <f t="shared" si="0"/>
        <v/>
      </c>
      <c r="K14" s="8"/>
      <c r="L14" s="11"/>
      <c r="M14" s="13"/>
    </row>
    <row r="15" spans="1:13" x14ac:dyDescent="0.3">
      <c r="A15" s="7" t="s">
        <v>2598</v>
      </c>
      <c r="B15" s="8" t="s">
        <v>47</v>
      </c>
      <c r="C15" s="8"/>
      <c r="D15" s="8"/>
      <c r="E15" s="8"/>
      <c r="F15" s="8"/>
      <c r="G15" s="8"/>
      <c r="H15" s="8"/>
      <c r="I15" s="7" t="str">
        <f>IF(C15="","",SUMIFS(Roturas!$D$2:$D$2000,Roturas!$B$2:$B$2000,A15))</f>
        <v/>
      </c>
      <c r="J15" s="7" t="str">
        <f t="shared" si="0"/>
        <v/>
      </c>
      <c r="K15" s="8"/>
      <c r="L15" s="11"/>
      <c r="M15" s="13"/>
    </row>
    <row r="16" spans="1:13" x14ac:dyDescent="0.3">
      <c r="A16" s="7" t="s">
        <v>2599</v>
      </c>
      <c r="B16" s="8" t="s">
        <v>47</v>
      </c>
      <c r="C16" s="8"/>
      <c r="D16" s="8"/>
      <c r="E16" s="8"/>
      <c r="F16" s="8"/>
      <c r="G16" s="8"/>
      <c r="H16" s="8"/>
      <c r="I16" s="7" t="str">
        <f>IF(C16="","",SUMIFS(Roturas!$D$2:$D$2000,Roturas!$B$2:$B$2000,A16))</f>
        <v/>
      </c>
      <c r="J16" s="7" t="str">
        <f t="shared" si="0"/>
        <v/>
      </c>
      <c r="K16" s="8"/>
      <c r="L16" s="11"/>
      <c r="M16" s="13"/>
    </row>
    <row r="17" spans="1:13" x14ac:dyDescent="0.3">
      <c r="A17" s="7" t="s">
        <v>2600</v>
      </c>
      <c r="B17" s="8" t="s">
        <v>47</v>
      </c>
      <c r="C17" s="8"/>
      <c r="D17" s="8"/>
      <c r="E17" s="8"/>
      <c r="F17" s="8"/>
      <c r="G17" s="8"/>
      <c r="H17" s="8"/>
      <c r="I17" s="7" t="str">
        <f>IF(C17="","",SUMIFS(Roturas!$D$2:$D$2000,Roturas!$B$2:$B$2000,A17))</f>
        <v/>
      </c>
      <c r="J17" s="7" t="str">
        <f t="shared" si="0"/>
        <v/>
      </c>
      <c r="K17" s="8"/>
      <c r="L17" s="11"/>
      <c r="M17" s="13"/>
    </row>
    <row r="18" spans="1:13" x14ac:dyDescent="0.3">
      <c r="A18" s="7" t="s">
        <v>2601</v>
      </c>
      <c r="B18" s="8" t="s">
        <v>47</v>
      </c>
      <c r="C18" s="8"/>
      <c r="D18" s="8"/>
      <c r="E18" s="8"/>
      <c r="F18" s="8"/>
      <c r="G18" s="8"/>
      <c r="H18" s="8"/>
      <c r="I18" s="7" t="str">
        <f>IF(C18="","",SUMIFS(Roturas!$D$2:$D$2000,Roturas!$B$2:$B$2000,A18))</f>
        <v/>
      </c>
      <c r="J18" s="7" t="str">
        <f t="shared" si="0"/>
        <v/>
      </c>
      <c r="K18" s="8"/>
      <c r="L18" s="11"/>
      <c r="M18" s="13"/>
    </row>
    <row r="19" spans="1:13" x14ac:dyDescent="0.3">
      <c r="A19" s="7" t="s">
        <v>2602</v>
      </c>
      <c r="B19" s="8" t="s">
        <v>47</v>
      </c>
      <c r="C19" s="8"/>
      <c r="D19" s="8"/>
      <c r="E19" s="8"/>
      <c r="F19" s="8"/>
      <c r="G19" s="8"/>
      <c r="H19" s="8"/>
      <c r="I19" s="7" t="str">
        <f>IF(C19="","",SUMIFS(Roturas!$D$2:$D$2000,Roturas!$B$2:$B$2000,A19))</f>
        <v/>
      </c>
      <c r="J19" s="7" t="str">
        <f t="shared" si="0"/>
        <v/>
      </c>
      <c r="K19" s="8"/>
      <c r="L19" s="11"/>
      <c r="M19" s="13"/>
    </row>
    <row r="20" spans="1:13" x14ac:dyDescent="0.3">
      <c r="A20" s="7" t="s">
        <v>2603</v>
      </c>
      <c r="B20" s="8" t="s">
        <v>47</v>
      </c>
      <c r="C20" s="8"/>
      <c r="D20" s="8"/>
      <c r="E20" s="8"/>
      <c r="F20" s="8"/>
      <c r="G20" s="8"/>
      <c r="H20" s="8"/>
      <c r="I20" s="7" t="str">
        <f>IF(C20="","",SUMIFS(Roturas!$D$2:$D$2000,Roturas!$B$2:$B$2000,A20))</f>
        <v/>
      </c>
      <c r="J20" s="7" t="str">
        <f t="shared" si="0"/>
        <v/>
      </c>
      <c r="K20" s="8"/>
      <c r="L20" s="11"/>
      <c r="M20" s="13"/>
    </row>
    <row r="21" spans="1:13" x14ac:dyDescent="0.3">
      <c r="A21" s="7" t="s">
        <v>2604</v>
      </c>
      <c r="B21" s="8" t="s">
        <v>47</v>
      </c>
      <c r="C21" s="8"/>
      <c r="D21" s="8"/>
      <c r="E21" s="8"/>
      <c r="F21" s="8"/>
      <c r="G21" s="8"/>
      <c r="H21" s="8"/>
      <c r="I21" s="7" t="str">
        <f>IF(C21="","",SUMIFS(Roturas!$D$2:$D$2000,Roturas!$B$2:$B$2000,A21))</f>
        <v/>
      </c>
      <c r="J21" s="7" t="str">
        <f t="shared" si="0"/>
        <v/>
      </c>
      <c r="K21" s="8"/>
      <c r="L21" s="11"/>
      <c r="M21" s="13"/>
    </row>
    <row r="22" spans="1:13" x14ac:dyDescent="0.3">
      <c r="A22" s="7" t="s">
        <v>2605</v>
      </c>
      <c r="B22" s="8" t="s">
        <v>47</v>
      </c>
      <c r="C22" s="8"/>
      <c r="D22" s="8"/>
      <c r="E22" s="8"/>
      <c r="F22" s="8"/>
      <c r="G22" s="8"/>
      <c r="H22" s="8"/>
      <c r="I22" s="7" t="str">
        <f>IF(C22="","",SUMIFS(Roturas!$D$2:$D$2000,Roturas!$B$2:$B$2000,A22))</f>
        <v/>
      </c>
      <c r="J22" s="7" t="str">
        <f t="shared" si="0"/>
        <v/>
      </c>
      <c r="K22" s="8"/>
      <c r="L22" s="11"/>
      <c r="M22" s="13"/>
    </row>
    <row r="23" spans="1:13" x14ac:dyDescent="0.3">
      <c r="A23" s="7" t="s">
        <v>2606</v>
      </c>
      <c r="B23" s="8" t="s">
        <v>47</v>
      </c>
      <c r="C23" s="8"/>
      <c r="D23" s="8"/>
      <c r="E23" s="8"/>
      <c r="F23" s="8"/>
      <c r="G23" s="8"/>
      <c r="H23" s="8"/>
      <c r="I23" s="7" t="str">
        <f>IF(C23="","",SUMIFS(Roturas!$D$2:$D$2000,Roturas!$B$2:$B$2000,A23))</f>
        <v/>
      </c>
      <c r="J23" s="7" t="str">
        <f t="shared" si="0"/>
        <v/>
      </c>
      <c r="K23" s="8"/>
      <c r="L23" s="11"/>
      <c r="M23" s="13"/>
    </row>
    <row r="24" spans="1:13" x14ac:dyDescent="0.3">
      <c r="A24" s="7" t="s">
        <v>2607</v>
      </c>
      <c r="B24" s="8" t="s">
        <v>47</v>
      </c>
      <c r="C24" s="8"/>
      <c r="D24" s="8"/>
      <c r="E24" s="8"/>
      <c r="F24" s="8"/>
      <c r="G24" s="8"/>
      <c r="H24" s="8"/>
      <c r="I24" s="7" t="str">
        <f>IF(C24="","",SUMIFS(Roturas!$D$2:$D$2000,Roturas!$B$2:$B$2000,A24))</f>
        <v/>
      </c>
      <c r="J24" s="7" t="str">
        <f t="shared" si="0"/>
        <v/>
      </c>
      <c r="K24" s="8"/>
      <c r="L24" s="11"/>
      <c r="M24" s="13"/>
    </row>
    <row r="25" spans="1:13" x14ac:dyDescent="0.3">
      <c r="A25" s="7" t="s">
        <v>2608</v>
      </c>
      <c r="B25" s="8" t="s">
        <v>47</v>
      </c>
      <c r="C25" s="8"/>
      <c r="D25" s="8"/>
      <c r="E25" s="8"/>
      <c r="F25" s="8"/>
      <c r="G25" s="8"/>
      <c r="H25" s="8"/>
      <c r="I25" s="7" t="str">
        <f>IF(C25="","",SUMIFS(Roturas!$D$2:$D$2000,Roturas!$B$2:$B$2000,A25))</f>
        <v/>
      </c>
      <c r="J25" s="7" t="str">
        <f t="shared" si="0"/>
        <v/>
      </c>
      <c r="K25" s="8"/>
      <c r="L25" s="11"/>
      <c r="M25" s="13"/>
    </row>
    <row r="26" spans="1:13" x14ac:dyDescent="0.3">
      <c r="A26" s="7" t="s">
        <v>2609</v>
      </c>
      <c r="B26" s="8" t="s">
        <v>47</v>
      </c>
      <c r="C26" s="8"/>
      <c r="D26" s="8"/>
      <c r="E26" s="8"/>
      <c r="F26" s="8"/>
      <c r="G26" s="8"/>
      <c r="H26" s="8"/>
      <c r="I26" s="7" t="str">
        <f>IF(C26="","",SUMIFS(Roturas!$D$2:$D$2000,Roturas!$B$2:$B$2000,A26))</f>
        <v/>
      </c>
      <c r="J26" s="7" t="str">
        <f t="shared" si="0"/>
        <v/>
      </c>
      <c r="K26" s="8"/>
      <c r="L26" s="11"/>
      <c r="M26" s="13"/>
    </row>
    <row r="27" spans="1:13" x14ac:dyDescent="0.3">
      <c r="A27" s="7" t="s">
        <v>2610</v>
      </c>
      <c r="B27" s="8" t="s">
        <v>47</v>
      </c>
      <c r="C27" s="8"/>
      <c r="D27" s="8"/>
      <c r="E27" s="8"/>
      <c r="F27" s="8"/>
      <c r="G27" s="8"/>
      <c r="H27" s="8"/>
      <c r="I27" s="7" t="str">
        <f>IF(C27="","",SUMIFS(Roturas!$D$2:$D$2000,Roturas!$B$2:$B$2000,A27))</f>
        <v/>
      </c>
      <c r="J27" s="7" t="str">
        <f t="shared" si="0"/>
        <v/>
      </c>
      <c r="K27" s="8"/>
      <c r="L27" s="11"/>
      <c r="M27" s="13"/>
    </row>
    <row r="28" spans="1:13" x14ac:dyDescent="0.3">
      <c r="A28" s="7" t="s">
        <v>2611</v>
      </c>
      <c r="B28" s="8" t="s">
        <v>47</v>
      </c>
      <c r="C28" s="8"/>
      <c r="D28" s="8"/>
      <c r="E28" s="8"/>
      <c r="F28" s="8"/>
      <c r="G28" s="8"/>
      <c r="H28" s="8"/>
      <c r="I28" s="7" t="str">
        <f>IF(C28="","",SUMIFS(Roturas!$D$2:$D$2000,Roturas!$B$2:$B$2000,A28))</f>
        <v/>
      </c>
      <c r="J28" s="7" t="str">
        <f t="shared" si="0"/>
        <v/>
      </c>
      <c r="K28" s="8"/>
      <c r="L28" s="11"/>
      <c r="M28" s="13"/>
    </row>
    <row r="29" spans="1:13" x14ac:dyDescent="0.3">
      <c r="A29" s="7" t="s">
        <v>2612</v>
      </c>
      <c r="B29" s="8" t="s">
        <v>47</v>
      </c>
      <c r="C29" s="8"/>
      <c r="D29" s="8"/>
      <c r="E29" s="8"/>
      <c r="F29" s="8"/>
      <c r="G29" s="8"/>
      <c r="H29" s="8"/>
      <c r="I29" s="7" t="str">
        <f>IF(C29="","",SUMIFS(Roturas!$D$2:$D$2000,Roturas!$B$2:$B$2000,A29))</f>
        <v/>
      </c>
      <c r="J29" s="7" t="str">
        <f t="shared" si="0"/>
        <v/>
      </c>
      <c r="K29" s="8"/>
      <c r="L29" s="11"/>
      <c r="M29" s="13"/>
    </row>
    <row r="30" spans="1:13" x14ac:dyDescent="0.3">
      <c r="A30" s="7" t="s">
        <v>2613</v>
      </c>
      <c r="B30" s="8" t="s">
        <v>47</v>
      </c>
      <c r="C30" s="8"/>
      <c r="D30" s="8"/>
      <c r="E30" s="8"/>
      <c r="F30" s="8"/>
      <c r="G30" s="8"/>
      <c r="H30" s="8"/>
      <c r="I30" s="7" t="str">
        <f>IF(C30="","",SUMIFS(Roturas!$D$2:$D$2000,Roturas!$B$2:$B$2000,A30))</f>
        <v/>
      </c>
      <c r="J30" s="7" t="str">
        <f t="shared" si="0"/>
        <v/>
      </c>
      <c r="K30" s="8"/>
      <c r="L30" s="11"/>
      <c r="M30" s="13"/>
    </row>
    <row r="31" spans="1:13" x14ac:dyDescent="0.3">
      <c r="A31" s="7" t="s">
        <v>2614</v>
      </c>
      <c r="B31" s="8" t="s">
        <v>47</v>
      </c>
      <c r="C31" s="8"/>
      <c r="D31" s="8"/>
      <c r="E31" s="8"/>
      <c r="F31" s="8"/>
      <c r="G31" s="8"/>
      <c r="H31" s="8"/>
      <c r="I31" s="7" t="str">
        <f>IF(C31="","",SUMIFS(Roturas!$D$2:$D$2000,Roturas!$B$2:$B$2000,A31))</f>
        <v/>
      </c>
      <c r="J31" s="7" t="str">
        <f t="shared" si="0"/>
        <v/>
      </c>
      <c r="K31" s="8"/>
      <c r="L31" s="11"/>
      <c r="M31" s="13"/>
    </row>
    <row r="32" spans="1:13" x14ac:dyDescent="0.3">
      <c r="A32" s="7" t="s">
        <v>2615</v>
      </c>
      <c r="B32" s="8" t="s">
        <v>47</v>
      </c>
      <c r="C32" s="8"/>
      <c r="D32" s="8"/>
      <c r="E32" s="8"/>
      <c r="F32" s="8"/>
      <c r="G32" s="8"/>
      <c r="H32" s="8"/>
      <c r="I32" s="7" t="str">
        <f>IF(C32="","",SUMIFS(Roturas!$D$2:$D$2000,Roturas!$B$2:$B$2000,A32))</f>
        <v/>
      </c>
      <c r="J32" s="7" t="str">
        <f t="shared" si="0"/>
        <v/>
      </c>
      <c r="K32" s="8"/>
      <c r="L32" s="11"/>
      <c r="M32" s="13"/>
    </row>
    <row r="33" spans="1:13" x14ac:dyDescent="0.3">
      <c r="A33" s="7" t="s">
        <v>2616</v>
      </c>
      <c r="B33" s="8" t="s">
        <v>47</v>
      </c>
      <c r="C33" s="8"/>
      <c r="D33" s="8"/>
      <c r="E33" s="8"/>
      <c r="F33" s="8"/>
      <c r="G33" s="8"/>
      <c r="H33" s="8"/>
      <c r="I33" s="7" t="str">
        <f>IF(C33="","",SUMIFS(Roturas!$D$2:$D$2000,Roturas!$B$2:$B$2000,A33))</f>
        <v/>
      </c>
      <c r="J33" s="7" t="str">
        <f t="shared" si="0"/>
        <v/>
      </c>
      <c r="K33" s="8"/>
      <c r="L33" s="11"/>
      <c r="M33" s="13"/>
    </row>
    <row r="34" spans="1:13" x14ac:dyDescent="0.3">
      <c r="A34" s="7" t="s">
        <v>2617</v>
      </c>
      <c r="B34" s="8" t="s">
        <v>47</v>
      </c>
      <c r="C34" s="8"/>
      <c r="D34" s="8"/>
      <c r="E34" s="8"/>
      <c r="F34" s="8"/>
      <c r="G34" s="8"/>
      <c r="H34" s="8"/>
      <c r="I34" s="7" t="str">
        <f>IF(C34="","",SUMIFS(Roturas!$D$2:$D$2000,Roturas!$B$2:$B$2000,A34))</f>
        <v/>
      </c>
      <c r="J34" s="7" t="str">
        <f t="shared" si="0"/>
        <v/>
      </c>
      <c r="K34" s="8"/>
      <c r="L34" s="11"/>
      <c r="M34" s="13"/>
    </row>
    <row r="35" spans="1:13" x14ac:dyDescent="0.3">
      <c r="A35" s="7" t="s">
        <v>2618</v>
      </c>
      <c r="B35" s="8" t="s">
        <v>47</v>
      </c>
      <c r="C35" s="8"/>
      <c r="D35" s="8"/>
      <c r="E35" s="8"/>
      <c r="F35" s="8"/>
      <c r="G35" s="8"/>
      <c r="H35" s="8"/>
      <c r="I35" s="7" t="str">
        <f>IF(C35="","",SUMIFS(Roturas!$D$2:$D$2000,Roturas!$B$2:$B$2000,A35))</f>
        <v/>
      </c>
      <c r="J35" s="7" t="str">
        <f t="shared" si="0"/>
        <v/>
      </c>
      <c r="K35" s="8"/>
      <c r="L35" s="11"/>
      <c r="M35" s="13"/>
    </row>
    <row r="36" spans="1:13" x14ac:dyDescent="0.3">
      <c r="A36" s="7" t="s">
        <v>2619</v>
      </c>
      <c r="B36" s="8" t="s">
        <v>47</v>
      </c>
      <c r="C36" s="8"/>
      <c r="D36" s="8"/>
      <c r="E36" s="8"/>
      <c r="F36" s="8"/>
      <c r="G36" s="8"/>
      <c r="H36" s="8"/>
      <c r="I36" s="7" t="str">
        <f>IF(C36="","",SUMIFS(Roturas!$D$2:$D$2000,Roturas!$B$2:$B$2000,A36))</f>
        <v/>
      </c>
      <c r="J36" s="7" t="str">
        <f t="shared" si="0"/>
        <v/>
      </c>
      <c r="K36" s="8"/>
      <c r="L36" s="11"/>
      <c r="M36" s="13"/>
    </row>
    <row r="37" spans="1:13" x14ac:dyDescent="0.3">
      <c r="A37" s="7" t="s">
        <v>2620</v>
      </c>
      <c r="B37" s="8" t="s">
        <v>47</v>
      </c>
      <c r="C37" s="8"/>
      <c r="D37" s="8"/>
      <c r="E37" s="8"/>
      <c r="F37" s="8"/>
      <c r="G37" s="8"/>
      <c r="H37" s="8"/>
      <c r="I37" s="7" t="str">
        <f>IF(C37="","",SUMIFS(Roturas!$D$2:$D$2000,Roturas!$B$2:$B$2000,A37))</f>
        <v/>
      </c>
      <c r="J37" s="7" t="str">
        <f t="shared" si="0"/>
        <v/>
      </c>
      <c r="K37" s="8"/>
      <c r="L37" s="11"/>
      <c r="M37" s="13"/>
    </row>
    <row r="38" spans="1:13" x14ac:dyDescent="0.3">
      <c r="A38" s="7" t="s">
        <v>2621</v>
      </c>
      <c r="B38" s="8" t="s">
        <v>47</v>
      </c>
      <c r="C38" s="8"/>
      <c r="D38" s="8"/>
      <c r="E38" s="8"/>
      <c r="F38" s="8"/>
      <c r="G38" s="8"/>
      <c r="H38" s="8"/>
      <c r="I38" s="7" t="str">
        <f>IF(C38="","",SUMIFS(Roturas!$D$2:$D$2000,Roturas!$B$2:$B$2000,A38))</f>
        <v/>
      </c>
      <c r="J38" s="7" t="str">
        <f t="shared" si="0"/>
        <v/>
      </c>
      <c r="K38" s="8"/>
      <c r="L38" s="11"/>
      <c r="M38" s="13"/>
    </row>
    <row r="39" spans="1:13" x14ac:dyDescent="0.3">
      <c r="A39" s="7" t="s">
        <v>2622</v>
      </c>
      <c r="B39" s="8" t="s">
        <v>47</v>
      </c>
      <c r="C39" s="8"/>
      <c r="D39" s="8"/>
      <c r="E39" s="8"/>
      <c r="F39" s="8"/>
      <c r="G39" s="8"/>
      <c r="H39" s="8"/>
      <c r="I39" s="7" t="str">
        <f>IF(C39="","",SUMIFS(Roturas!$D$2:$D$2000,Roturas!$B$2:$B$2000,A39))</f>
        <v/>
      </c>
      <c r="J39" s="7" t="str">
        <f t="shared" si="0"/>
        <v/>
      </c>
      <c r="K39" s="8"/>
      <c r="L39" s="11"/>
      <c r="M39" s="13"/>
    </row>
    <row r="40" spans="1:13" x14ac:dyDescent="0.3">
      <c r="A40" s="7" t="s">
        <v>2623</v>
      </c>
      <c r="B40" s="8" t="s">
        <v>47</v>
      </c>
      <c r="C40" s="8"/>
      <c r="D40" s="8"/>
      <c r="E40" s="8"/>
      <c r="F40" s="8"/>
      <c r="G40" s="8"/>
      <c r="H40" s="8"/>
      <c r="I40" s="7" t="str">
        <f>IF(C40="","",SUMIFS(Roturas!$D$2:$D$2000,Roturas!$B$2:$B$2000,A40))</f>
        <v/>
      </c>
      <c r="J40" s="7" t="str">
        <f t="shared" si="0"/>
        <v/>
      </c>
      <c r="K40" s="8"/>
      <c r="L40" s="11"/>
      <c r="M40" s="13"/>
    </row>
    <row r="41" spans="1:13" x14ac:dyDescent="0.3">
      <c r="A41" s="7" t="s">
        <v>2624</v>
      </c>
      <c r="B41" s="8" t="s">
        <v>47</v>
      </c>
      <c r="C41" s="8"/>
      <c r="D41" s="8"/>
      <c r="E41" s="8"/>
      <c r="F41" s="8"/>
      <c r="G41" s="8"/>
      <c r="H41" s="8"/>
      <c r="I41" s="7" t="str">
        <f>IF(C41="","",SUMIFS(Roturas!$D$2:$D$2000,Roturas!$B$2:$B$2000,A41))</f>
        <v/>
      </c>
      <c r="J41" s="7" t="str">
        <f t="shared" si="0"/>
        <v/>
      </c>
      <c r="K41" s="8"/>
      <c r="L41" s="11"/>
      <c r="M41" s="13"/>
    </row>
    <row r="42" spans="1:13" x14ac:dyDescent="0.3">
      <c r="A42" s="7" t="s">
        <v>2625</v>
      </c>
      <c r="B42" s="8" t="s">
        <v>47</v>
      </c>
      <c r="C42" s="8"/>
      <c r="D42" s="8"/>
      <c r="E42" s="8"/>
      <c r="F42" s="8"/>
      <c r="G42" s="8"/>
      <c r="H42" s="8"/>
      <c r="I42" s="7" t="str">
        <f>IF(C42="","",SUMIFS(Roturas!$D$2:$D$2000,Roturas!$B$2:$B$2000,A42))</f>
        <v/>
      </c>
      <c r="J42" s="7" t="str">
        <f t="shared" si="0"/>
        <v/>
      </c>
      <c r="K42" s="8"/>
      <c r="L42" s="11"/>
      <c r="M42" s="13"/>
    </row>
    <row r="43" spans="1:13" x14ac:dyDescent="0.3">
      <c r="A43" s="7" t="s">
        <v>2626</v>
      </c>
      <c r="B43" s="8" t="s">
        <v>47</v>
      </c>
      <c r="C43" s="8"/>
      <c r="D43" s="8"/>
      <c r="E43" s="8"/>
      <c r="F43" s="8"/>
      <c r="G43" s="8"/>
      <c r="H43" s="8"/>
      <c r="I43" s="7" t="str">
        <f>IF(C43="","",SUMIFS(Roturas!$D$2:$D$2000,Roturas!$B$2:$B$2000,A43))</f>
        <v/>
      </c>
      <c r="J43" s="7" t="str">
        <f t="shared" si="0"/>
        <v/>
      </c>
      <c r="K43" s="8"/>
      <c r="L43" s="11"/>
      <c r="M43" s="13"/>
    </row>
    <row r="44" spans="1:13" x14ac:dyDescent="0.3">
      <c r="A44" s="7" t="s">
        <v>2627</v>
      </c>
      <c r="B44" s="8" t="s">
        <v>47</v>
      </c>
      <c r="C44" s="8"/>
      <c r="D44" s="8"/>
      <c r="E44" s="8"/>
      <c r="F44" s="8"/>
      <c r="G44" s="8"/>
      <c r="H44" s="8"/>
      <c r="I44" s="7" t="str">
        <f>IF(C44="","",SUMIFS(Roturas!$D$2:$D$2000,Roturas!$B$2:$B$2000,A44))</f>
        <v/>
      </c>
      <c r="J44" s="7" t="str">
        <f t="shared" si="0"/>
        <v/>
      </c>
      <c r="K44" s="8"/>
      <c r="L44" s="11"/>
      <c r="M44" s="13"/>
    </row>
    <row r="45" spans="1:13" x14ac:dyDescent="0.3">
      <c r="A45" s="7" t="s">
        <v>2628</v>
      </c>
      <c r="B45" s="8" t="s">
        <v>47</v>
      </c>
      <c r="C45" s="8"/>
      <c r="D45" s="8"/>
      <c r="E45" s="8"/>
      <c r="F45" s="8"/>
      <c r="G45" s="8"/>
      <c r="H45" s="8"/>
      <c r="I45" s="7" t="str">
        <f>IF(C45="","",SUMIFS(Roturas!$D$2:$D$2000,Roturas!$B$2:$B$2000,A45))</f>
        <v/>
      </c>
      <c r="J45" s="7" t="str">
        <f t="shared" si="0"/>
        <v/>
      </c>
      <c r="K45" s="8"/>
      <c r="L45" s="11"/>
      <c r="M45" s="13"/>
    </row>
    <row r="46" spans="1:13" x14ac:dyDescent="0.3">
      <c r="A46" s="7" t="s">
        <v>2629</v>
      </c>
      <c r="B46" s="8" t="s">
        <v>47</v>
      </c>
      <c r="C46" s="8"/>
      <c r="D46" s="8"/>
      <c r="E46" s="8"/>
      <c r="F46" s="8"/>
      <c r="G46" s="8"/>
      <c r="H46" s="8"/>
      <c r="I46" s="7" t="str">
        <f>IF(C46="","",SUMIFS(Roturas!$D$2:$D$2000,Roturas!$B$2:$B$2000,A46))</f>
        <v/>
      </c>
      <c r="J46" s="7" t="str">
        <f t="shared" si="0"/>
        <v/>
      </c>
      <c r="K46" s="8"/>
      <c r="L46" s="11"/>
      <c r="M46" s="13"/>
    </row>
    <row r="47" spans="1:13" x14ac:dyDescent="0.3">
      <c r="A47" s="7" t="s">
        <v>2630</v>
      </c>
      <c r="B47" s="8" t="s">
        <v>47</v>
      </c>
      <c r="C47" s="8"/>
      <c r="D47" s="8"/>
      <c r="E47" s="8"/>
      <c r="F47" s="8"/>
      <c r="G47" s="8"/>
      <c r="H47" s="8"/>
      <c r="I47" s="7" t="str">
        <f>IF(C47="","",SUMIFS(Roturas!$D$2:$D$2000,Roturas!$B$2:$B$2000,A47))</f>
        <v/>
      </c>
      <c r="J47" s="7" t="str">
        <f t="shared" si="0"/>
        <v/>
      </c>
      <c r="K47" s="8"/>
      <c r="L47" s="11"/>
      <c r="M47" s="13"/>
    </row>
    <row r="48" spans="1:13" x14ac:dyDescent="0.3">
      <c r="A48" s="7" t="s">
        <v>2631</v>
      </c>
      <c r="B48" s="8" t="s">
        <v>47</v>
      </c>
      <c r="C48" s="8"/>
      <c r="D48" s="8"/>
      <c r="E48" s="8"/>
      <c r="F48" s="8"/>
      <c r="G48" s="8"/>
      <c r="H48" s="8"/>
      <c r="I48" s="7" t="str">
        <f>IF(C48="","",SUMIFS(Roturas!$D$2:$D$2000,Roturas!$B$2:$B$2000,A48))</f>
        <v/>
      </c>
      <c r="J48" s="7" t="str">
        <f t="shared" si="0"/>
        <v/>
      </c>
      <c r="K48" s="8"/>
      <c r="L48" s="11"/>
      <c r="M48" s="13"/>
    </row>
    <row r="49" spans="1:13" x14ac:dyDescent="0.3">
      <c r="A49" s="7" t="s">
        <v>2632</v>
      </c>
      <c r="B49" s="8" t="s">
        <v>47</v>
      </c>
      <c r="C49" s="8"/>
      <c r="D49" s="8"/>
      <c r="E49" s="8"/>
      <c r="F49" s="8"/>
      <c r="G49" s="8"/>
      <c r="H49" s="8"/>
      <c r="I49" s="7" t="str">
        <f>IF(C49="","",SUMIFS(Roturas!$D$2:$D$2000,Roturas!$B$2:$B$2000,A49))</f>
        <v/>
      </c>
      <c r="J49" s="7" t="str">
        <f t="shared" si="0"/>
        <v/>
      </c>
      <c r="K49" s="8"/>
      <c r="L49" s="11"/>
      <c r="M49" s="13"/>
    </row>
    <row r="50" spans="1:13" x14ac:dyDescent="0.3">
      <c r="A50" s="7" t="s">
        <v>2633</v>
      </c>
      <c r="B50" s="8" t="s">
        <v>47</v>
      </c>
      <c r="C50" s="8"/>
      <c r="D50" s="8"/>
      <c r="E50" s="8"/>
      <c r="F50" s="8"/>
      <c r="G50" s="8"/>
      <c r="H50" s="8"/>
      <c r="I50" s="7" t="str">
        <f>IF(C50="","",SUMIFS(Roturas!$D$2:$D$2000,Roturas!$B$2:$B$2000,A50))</f>
        <v/>
      </c>
      <c r="J50" s="7" t="str">
        <f t="shared" si="0"/>
        <v/>
      </c>
      <c r="K50" s="8"/>
      <c r="L50" s="11"/>
      <c r="M50" s="13"/>
    </row>
    <row r="51" spans="1:13" x14ac:dyDescent="0.3">
      <c r="A51" s="7" t="s">
        <v>2634</v>
      </c>
      <c r="B51" s="8" t="s">
        <v>47</v>
      </c>
      <c r="C51" s="8"/>
      <c r="D51" s="8"/>
      <c r="E51" s="8"/>
      <c r="F51" s="8"/>
      <c r="G51" s="8"/>
      <c r="H51" s="8"/>
      <c r="I51" s="7" t="str">
        <f>IF(C51="","",SUMIFS(Roturas!$D$2:$D$2000,Roturas!$B$2:$B$2000,A51))</f>
        <v/>
      </c>
      <c r="J51" s="7" t="str">
        <f t="shared" si="0"/>
        <v/>
      </c>
      <c r="K51" s="8"/>
      <c r="L51" s="11"/>
      <c r="M51" s="13"/>
    </row>
    <row r="52" spans="1:13" x14ac:dyDescent="0.3">
      <c r="A52" s="7" t="s">
        <v>2635</v>
      </c>
      <c r="B52" s="8" t="s">
        <v>47</v>
      </c>
      <c r="C52" s="8"/>
      <c r="D52" s="8"/>
      <c r="E52" s="8"/>
      <c r="F52" s="8"/>
      <c r="G52" s="8"/>
      <c r="H52" s="8"/>
      <c r="I52" s="7" t="str">
        <f>IF(C52="","",SUMIFS(Roturas!$D$2:$D$2000,Roturas!$B$2:$B$2000,A52))</f>
        <v/>
      </c>
      <c r="J52" s="7" t="str">
        <f t="shared" si="0"/>
        <v/>
      </c>
      <c r="K52" s="8"/>
      <c r="L52" s="11"/>
      <c r="M52" s="13"/>
    </row>
    <row r="53" spans="1:13" x14ac:dyDescent="0.3">
      <c r="A53" s="7" t="s">
        <v>2636</v>
      </c>
      <c r="B53" s="8" t="s">
        <v>47</v>
      </c>
      <c r="C53" s="8"/>
      <c r="D53" s="8"/>
      <c r="E53" s="8"/>
      <c r="F53" s="8"/>
      <c r="G53" s="8"/>
      <c r="H53" s="8"/>
      <c r="I53" s="7" t="str">
        <f>IF(C53="","",SUMIFS(Roturas!$D$2:$D$2000,Roturas!$B$2:$B$2000,A53))</f>
        <v/>
      </c>
      <c r="J53" s="7" t="str">
        <f t="shared" si="0"/>
        <v/>
      </c>
      <c r="K53" s="8"/>
      <c r="L53" s="11"/>
      <c r="M53" s="13"/>
    </row>
    <row r="54" spans="1:13" x14ac:dyDescent="0.3">
      <c r="A54" s="7" t="s">
        <v>2637</v>
      </c>
      <c r="B54" s="8" t="s">
        <v>47</v>
      </c>
      <c r="C54" s="8"/>
      <c r="D54" s="8"/>
      <c r="E54" s="8"/>
      <c r="F54" s="8"/>
      <c r="G54" s="8"/>
      <c r="H54" s="8"/>
      <c r="I54" s="7" t="str">
        <f>IF(C54="","",SUMIFS(Roturas!$D$2:$D$2000,Roturas!$B$2:$B$2000,A54))</f>
        <v/>
      </c>
      <c r="J54" s="7" t="str">
        <f t="shared" si="0"/>
        <v/>
      </c>
      <c r="K54" s="8"/>
      <c r="L54" s="11"/>
      <c r="M54" s="13"/>
    </row>
    <row r="55" spans="1:13" x14ac:dyDescent="0.3">
      <c r="A55" s="7" t="s">
        <v>2638</v>
      </c>
      <c r="B55" s="8" t="s">
        <v>47</v>
      </c>
      <c r="C55" s="8"/>
      <c r="D55" s="8"/>
      <c r="E55" s="8"/>
      <c r="F55" s="8"/>
      <c r="G55" s="8"/>
      <c r="H55" s="8"/>
      <c r="I55" s="7" t="str">
        <f>IF(C55="","",SUMIFS(Roturas!$D$2:$D$2000,Roturas!$B$2:$B$2000,A55))</f>
        <v/>
      </c>
      <c r="J55" s="7" t="str">
        <f t="shared" si="0"/>
        <v/>
      </c>
      <c r="K55" s="8"/>
      <c r="L55" s="11"/>
      <c r="M55" s="13"/>
    </row>
    <row r="56" spans="1:13" x14ac:dyDescent="0.3">
      <c r="A56" s="7" t="s">
        <v>2639</v>
      </c>
      <c r="B56" s="8" t="s">
        <v>47</v>
      </c>
      <c r="C56" s="8"/>
      <c r="D56" s="8"/>
      <c r="E56" s="8"/>
      <c r="F56" s="8"/>
      <c r="G56" s="8"/>
      <c r="H56" s="8"/>
      <c r="I56" s="7" t="str">
        <f>IF(C56="","",SUMIFS(Roturas!$D$2:$D$2000,Roturas!$B$2:$B$2000,A56))</f>
        <v/>
      </c>
      <c r="J56" s="7" t="str">
        <f t="shared" si="0"/>
        <v/>
      </c>
      <c r="K56" s="8"/>
      <c r="L56" s="11"/>
      <c r="M56" s="13"/>
    </row>
    <row r="57" spans="1:13" x14ac:dyDescent="0.3">
      <c r="A57" s="7" t="s">
        <v>2640</v>
      </c>
      <c r="B57" s="8" t="s">
        <v>47</v>
      </c>
      <c r="C57" s="8"/>
      <c r="D57" s="8"/>
      <c r="E57" s="8"/>
      <c r="F57" s="8"/>
      <c r="G57" s="8"/>
      <c r="H57" s="8"/>
      <c r="I57" s="7" t="str">
        <f>IF(C57="","",SUMIFS(Roturas!$D$2:$D$2000,Roturas!$B$2:$B$2000,A57))</f>
        <v/>
      </c>
      <c r="J57" s="7" t="str">
        <f t="shared" si="0"/>
        <v/>
      </c>
      <c r="K57" s="8"/>
      <c r="L57" s="11"/>
      <c r="M57" s="13"/>
    </row>
    <row r="58" spans="1:13" x14ac:dyDescent="0.3">
      <c r="A58" s="7" t="s">
        <v>2641</v>
      </c>
      <c r="B58" s="8" t="s">
        <v>47</v>
      </c>
      <c r="C58" s="8"/>
      <c r="D58" s="8"/>
      <c r="E58" s="8"/>
      <c r="F58" s="8"/>
      <c r="G58" s="8"/>
      <c r="H58" s="8"/>
      <c r="I58" s="7" t="str">
        <f>IF(C58="","",SUMIFS(Roturas!$D$2:$D$2000,Roturas!$B$2:$B$2000,A58))</f>
        <v/>
      </c>
      <c r="J58" s="7" t="str">
        <f t="shared" si="0"/>
        <v/>
      </c>
      <c r="K58" s="8"/>
      <c r="L58" s="11"/>
      <c r="M58" s="13"/>
    </row>
    <row r="59" spans="1:13" x14ac:dyDescent="0.3">
      <c r="A59" s="7" t="s">
        <v>2642</v>
      </c>
      <c r="B59" s="8" t="s">
        <v>47</v>
      </c>
      <c r="C59" s="8"/>
      <c r="D59" s="8"/>
      <c r="E59" s="8"/>
      <c r="F59" s="8"/>
      <c r="G59" s="8"/>
      <c r="H59" s="8"/>
      <c r="I59" s="7" t="str">
        <f>IF(C59="","",SUMIFS(Roturas!$D$2:$D$2000,Roturas!$B$2:$B$2000,A59))</f>
        <v/>
      </c>
      <c r="J59" s="7" t="str">
        <f t="shared" si="0"/>
        <v/>
      </c>
      <c r="K59" s="8"/>
      <c r="L59" s="11"/>
      <c r="M59" s="13"/>
    </row>
    <row r="60" spans="1:13" x14ac:dyDescent="0.3">
      <c r="A60" s="7" t="s">
        <v>2643</v>
      </c>
      <c r="B60" s="8" t="s">
        <v>47</v>
      </c>
      <c r="C60" s="8"/>
      <c r="D60" s="8"/>
      <c r="E60" s="8"/>
      <c r="F60" s="8"/>
      <c r="G60" s="8"/>
      <c r="H60" s="8"/>
      <c r="I60" s="7" t="str">
        <f>IF(C60="","",SUMIFS(Roturas!$D$2:$D$2000,Roturas!$B$2:$B$2000,A60))</f>
        <v/>
      </c>
      <c r="J60" s="7" t="str">
        <f t="shared" si="0"/>
        <v/>
      </c>
      <c r="K60" s="8"/>
      <c r="L60" s="11"/>
      <c r="M60" s="13"/>
    </row>
    <row r="61" spans="1:13" x14ac:dyDescent="0.3">
      <c r="A61" s="7" t="s">
        <v>2644</v>
      </c>
      <c r="B61" s="8" t="s">
        <v>47</v>
      </c>
      <c r="C61" s="8"/>
      <c r="D61" s="8"/>
      <c r="E61" s="8"/>
      <c r="F61" s="8"/>
      <c r="G61" s="8"/>
      <c r="H61" s="8"/>
      <c r="I61" s="7" t="str">
        <f>IF(C61="","",SUMIFS(Roturas!$D$2:$D$2000,Roturas!$B$2:$B$2000,A61))</f>
        <v/>
      </c>
      <c r="J61" s="7" t="str">
        <f t="shared" si="0"/>
        <v/>
      </c>
      <c r="K61" s="8"/>
      <c r="L61" s="11"/>
      <c r="M61" s="13"/>
    </row>
    <row r="62" spans="1:13" x14ac:dyDescent="0.3">
      <c r="A62" s="7" t="s">
        <v>2645</v>
      </c>
      <c r="B62" s="8" t="s">
        <v>47</v>
      </c>
      <c r="C62" s="8"/>
      <c r="D62" s="8"/>
      <c r="E62" s="8"/>
      <c r="F62" s="8"/>
      <c r="G62" s="8"/>
      <c r="H62" s="8"/>
      <c r="I62" s="7" t="str">
        <f>IF(C62="","",SUMIFS(Roturas!$D$2:$D$2000,Roturas!$B$2:$B$2000,A62))</f>
        <v/>
      </c>
      <c r="J62" s="7" t="str">
        <f t="shared" si="0"/>
        <v/>
      </c>
      <c r="K62" s="8"/>
      <c r="L62" s="11"/>
      <c r="M62" s="13"/>
    </row>
    <row r="63" spans="1:13" x14ac:dyDescent="0.3">
      <c r="A63" s="7" t="s">
        <v>2646</v>
      </c>
      <c r="B63" s="8" t="s">
        <v>47</v>
      </c>
      <c r="C63" s="8"/>
      <c r="D63" s="8"/>
      <c r="E63" s="8"/>
      <c r="F63" s="8"/>
      <c r="G63" s="8"/>
      <c r="H63" s="8"/>
      <c r="I63" s="7" t="str">
        <f>IF(C63="","",SUMIFS(Roturas!$D$2:$D$2000,Roturas!$B$2:$B$2000,A63))</f>
        <v/>
      </c>
      <c r="J63" s="7" t="str">
        <f t="shared" si="0"/>
        <v/>
      </c>
      <c r="K63" s="8"/>
      <c r="L63" s="11"/>
      <c r="M63" s="13"/>
    </row>
    <row r="64" spans="1:13" x14ac:dyDescent="0.3">
      <c r="A64" s="7" t="s">
        <v>2647</v>
      </c>
      <c r="B64" s="8" t="s">
        <v>47</v>
      </c>
      <c r="C64" s="8"/>
      <c r="D64" s="8"/>
      <c r="E64" s="8"/>
      <c r="F64" s="8"/>
      <c r="G64" s="8"/>
      <c r="H64" s="8"/>
      <c r="I64" s="7" t="str">
        <f>IF(C64="","",SUMIFS(Roturas!$D$2:$D$2000,Roturas!$B$2:$B$2000,A64))</f>
        <v/>
      </c>
      <c r="J64" s="7" t="str">
        <f t="shared" si="0"/>
        <v/>
      </c>
      <c r="K64" s="8"/>
      <c r="L64" s="11"/>
      <c r="M64" s="13"/>
    </row>
    <row r="65" spans="1:13" x14ac:dyDescent="0.3">
      <c r="A65" s="7" t="s">
        <v>2648</v>
      </c>
      <c r="B65" s="8" t="s">
        <v>47</v>
      </c>
      <c r="C65" s="8"/>
      <c r="D65" s="8"/>
      <c r="E65" s="8"/>
      <c r="F65" s="8"/>
      <c r="G65" s="8"/>
      <c r="H65" s="8"/>
      <c r="I65" s="7" t="str">
        <f>IF(C65="","",SUMIFS(Roturas!$D$2:$D$2000,Roturas!$B$2:$B$2000,A65))</f>
        <v/>
      </c>
      <c r="J65" s="7" t="str">
        <f t="shared" si="0"/>
        <v/>
      </c>
      <c r="K65" s="8"/>
      <c r="L65" s="11"/>
      <c r="M65" s="13"/>
    </row>
    <row r="66" spans="1:13" x14ac:dyDescent="0.3">
      <c r="A66" s="7" t="s">
        <v>2649</v>
      </c>
      <c r="B66" s="8" t="s">
        <v>47</v>
      </c>
      <c r="C66" s="8"/>
      <c r="D66" s="8"/>
      <c r="E66" s="8"/>
      <c r="F66" s="8"/>
      <c r="G66" s="8"/>
      <c r="H66" s="8"/>
      <c r="I66" s="7" t="str">
        <f>IF(C66="","",SUMIFS(Roturas!$D$2:$D$2000,Roturas!$B$2:$B$2000,A66))</f>
        <v/>
      </c>
      <c r="J66" s="7" t="str">
        <f t="shared" ref="J66:J129" si="1">IF(C66="","",N(F66)+N(G66)-I66)</f>
        <v/>
      </c>
      <c r="K66" s="8"/>
      <c r="L66" s="11"/>
      <c r="M66" s="13"/>
    </row>
    <row r="67" spans="1:13" x14ac:dyDescent="0.3">
      <c r="A67" s="7" t="s">
        <v>2650</v>
      </c>
      <c r="B67" s="8" t="s">
        <v>47</v>
      </c>
      <c r="C67" s="8"/>
      <c r="D67" s="8"/>
      <c r="E67" s="8"/>
      <c r="F67" s="8"/>
      <c r="G67" s="8"/>
      <c r="H67" s="8"/>
      <c r="I67" s="7" t="str">
        <f>IF(C67="","",SUMIFS(Roturas!$D$2:$D$2000,Roturas!$B$2:$B$2000,A67))</f>
        <v/>
      </c>
      <c r="J67" s="7" t="str">
        <f t="shared" si="1"/>
        <v/>
      </c>
      <c r="K67" s="8"/>
      <c r="L67" s="11"/>
      <c r="M67" s="13"/>
    </row>
    <row r="68" spans="1:13" x14ac:dyDescent="0.3">
      <c r="A68" s="7" t="s">
        <v>2651</v>
      </c>
      <c r="B68" s="8" t="s">
        <v>47</v>
      </c>
      <c r="C68" s="8"/>
      <c r="D68" s="8"/>
      <c r="E68" s="8"/>
      <c r="F68" s="8"/>
      <c r="G68" s="8"/>
      <c r="H68" s="8"/>
      <c r="I68" s="7" t="str">
        <f>IF(C68="","",SUMIFS(Roturas!$D$2:$D$2000,Roturas!$B$2:$B$2000,A68))</f>
        <v/>
      </c>
      <c r="J68" s="7" t="str">
        <f t="shared" si="1"/>
        <v/>
      </c>
      <c r="K68" s="8"/>
      <c r="L68" s="11"/>
      <c r="M68" s="13"/>
    </row>
    <row r="69" spans="1:13" x14ac:dyDescent="0.3">
      <c r="A69" s="7" t="s">
        <v>2652</v>
      </c>
      <c r="B69" s="8" t="s">
        <v>47</v>
      </c>
      <c r="C69" s="8"/>
      <c r="D69" s="8"/>
      <c r="E69" s="8"/>
      <c r="F69" s="8"/>
      <c r="G69" s="8"/>
      <c r="H69" s="8"/>
      <c r="I69" s="7" t="str">
        <f>IF(C69="","",SUMIFS(Roturas!$D$2:$D$2000,Roturas!$B$2:$B$2000,A69))</f>
        <v/>
      </c>
      <c r="J69" s="7" t="str">
        <f t="shared" si="1"/>
        <v/>
      </c>
      <c r="K69" s="8"/>
      <c r="L69" s="11"/>
      <c r="M69" s="13"/>
    </row>
    <row r="70" spans="1:13" x14ac:dyDescent="0.3">
      <c r="A70" s="7" t="s">
        <v>2653</v>
      </c>
      <c r="B70" s="8" t="s">
        <v>47</v>
      </c>
      <c r="C70" s="8"/>
      <c r="D70" s="8"/>
      <c r="E70" s="8"/>
      <c r="F70" s="8"/>
      <c r="G70" s="8"/>
      <c r="H70" s="8"/>
      <c r="I70" s="7" t="str">
        <f>IF(C70="","",SUMIFS(Roturas!$D$2:$D$2000,Roturas!$B$2:$B$2000,A70))</f>
        <v/>
      </c>
      <c r="J70" s="7" t="str">
        <f t="shared" si="1"/>
        <v/>
      </c>
      <c r="K70" s="8"/>
      <c r="L70" s="11"/>
      <c r="M70" s="13"/>
    </row>
    <row r="71" spans="1:13" x14ac:dyDescent="0.3">
      <c r="A71" s="7" t="s">
        <v>2654</v>
      </c>
      <c r="B71" s="8" t="s">
        <v>47</v>
      </c>
      <c r="C71" s="8"/>
      <c r="D71" s="8"/>
      <c r="E71" s="8"/>
      <c r="F71" s="8"/>
      <c r="G71" s="8"/>
      <c r="H71" s="8"/>
      <c r="I71" s="7" t="str">
        <f>IF(C71="","",SUMIFS(Roturas!$D$2:$D$2000,Roturas!$B$2:$B$2000,A71))</f>
        <v/>
      </c>
      <c r="J71" s="7" t="str">
        <f t="shared" si="1"/>
        <v/>
      </c>
      <c r="K71" s="8"/>
      <c r="L71" s="11"/>
      <c r="M71" s="13"/>
    </row>
    <row r="72" spans="1:13" x14ac:dyDescent="0.3">
      <c r="A72" s="7" t="s">
        <v>2655</v>
      </c>
      <c r="B72" s="8" t="s">
        <v>47</v>
      </c>
      <c r="C72" s="8"/>
      <c r="D72" s="8"/>
      <c r="E72" s="8"/>
      <c r="F72" s="8"/>
      <c r="G72" s="8"/>
      <c r="H72" s="8"/>
      <c r="I72" s="7" t="str">
        <f>IF(C72="","",SUMIFS(Roturas!$D$2:$D$2000,Roturas!$B$2:$B$2000,A72))</f>
        <v/>
      </c>
      <c r="J72" s="7" t="str">
        <f t="shared" si="1"/>
        <v/>
      </c>
      <c r="K72" s="8"/>
      <c r="L72" s="11"/>
      <c r="M72" s="13"/>
    </row>
    <row r="73" spans="1:13" x14ac:dyDescent="0.3">
      <c r="A73" s="7" t="s">
        <v>2656</v>
      </c>
      <c r="B73" s="8" t="s">
        <v>47</v>
      </c>
      <c r="C73" s="8"/>
      <c r="D73" s="8"/>
      <c r="E73" s="8"/>
      <c r="F73" s="8"/>
      <c r="G73" s="8"/>
      <c r="H73" s="8"/>
      <c r="I73" s="7" t="str">
        <f>IF(C73="","",SUMIFS(Roturas!$D$2:$D$2000,Roturas!$B$2:$B$2000,A73))</f>
        <v/>
      </c>
      <c r="J73" s="7" t="str">
        <f t="shared" si="1"/>
        <v/>
      </c>
      <c r="K73" s="8"/>
      <c r="L73" s="11"/>
      <c r="M73" s="13"/>
    </row>
    <row r="74" spans="1:13" x14ac:dyDescent="0.3">
      <c r="A74" s="7" t="s">
        <v>2657</v>
      </c>
      <c r="B74" s="8" t="s">
        <v>47</v>
      </c>
      <c r="C74" s="8"/>
      <c r="D74" s="8"/>
      <c r="E74" s="8"/>
      <c r="F74" s="8"/>
      <c r="G74" s="8"/>
      <c r="H74" s="8"/>
      <c r="I74" s="7" t="str">
        <f>IF(C74="","",SUMIFS(Roturas!$D$2:$D$2000,Roturas!$B$2:$B$2000,A74))</f>
        <v/>
      </c>
      <c r="J74" s="7" t="str">
        <f t="shared" si="1"/>
        <v/>
      </c>
      <c r="K74" s="8"/>
      <c r="L74" s="11"/>
      <c r="M74" s="13"/>
    </row>
    <row r="75" spans="1:13" x14ac:dyDescent="0.3">
      <c r="A75" s="7" t="s">
        <v>2658</v>
      </c>
      <c r="B75" s="8" t="s">
        <v>47</v>
      </c>
      <c r="C75" s="8"/>
      <c r="D75" s="8"/>
      <c r="E75" s="8"/>
      <c r="F75" s="8"/>
      <c r="G75" s="8"/>
      <c r="H75" s="8"/>
      <c r="I75" s="7" t="str">
        <f>IF(C75="","",SUMIFS(Roturas!$D$2:$D$2000,Roturas!$B$2:$B$2000,A75))</f>
        <v/>
      </c>
      <c r="J75" s="7" t="str">
        <f t="shared" si="1"/>
        <v/>
      </c>
      <c r="K75" s="8"/>
      <c r="L75" s="11"/>
      <c r="M75" s="13"/>
    </row>
    <row r="76" spans="1:13" x14ac:dyDescent="0.3">
      <c r="A76" s="7" t="s">
        <v>2659</v>
      </c>
      <c r="B76" s="8" t="s">
        <v>47</v>
      </c>
      <c r="C76" s="8"/>
      <c r="D76" s="8"/>
      <c r="E76" s="8"/>
      <c r="F76" s="8"/>
      <c r="G76" s="8"/>
      <c r="H76" s="8"/>
      <c r="I76" s="7" t="str">
        <f>IF(C76="","",SUMIFS(Roturas!$D$2:$D$2000,Roturas!$B$2:$B$2000,A76))</f>
        <v/>
      </c>
      <c r="J76" s="7" t="str">
        <f t="shared" si="1"/>
        <v/>
      </c>
      <c r="K76" s="8"/>
      <c r="L76" s="11"/>
      <c r="M76" s="13"/>
    </row>
    <row r="77" spans="1:13" x14ac:dyDescent="0.3">
      <c r="A77" s="7" t="s">
        <v>2660</v>
      </c>
      <c r="B77" s="8" t="s">
        <v>47</v>
      </c>
      <c r="C77" s="8"/>
      <c r="D77" s="8"/>
      <c r="E77" s="8"/>
      <c r="F77" s="8"/>
      <c r="G77" s="8"/>
      <c r="H77" s="8"/>
      <c r="I77" s="7" t="str">
        <f>IF(C77="","",SUMIFS(Roturas!$D$2:$D$2000,Roturas!$B$2:$B$2000,A77))</f>
        <v/>
      </c>
      <c r="J77" s="7" t="str">
        <f t="shared" si="1"/>
        <v/>
      </c>
      <c r="K77" s="8"/>
      <c r="L77" s="11"/>
      <c r="M77" s="13"/>
    </row>
    <row r="78" spans="1:13" x14ac:dyDescent="0.3">
      <c r="A78" s="7" t="s">
        <v>2661</v>
      </c>
      <c r="B78" s="8" t="s">
        <v>47</v>
      </c>
      <c r="C78" s="8"/>
      <c r="D78" s="8"/>
      <c r="E78" s="8"/>
      <c r="F78" s="8"/>
      <c r="G78" s="8"/>
      <c r="H78" s="8"/>
      <c r="I78" s="7" t="str">
        <f>IF(C78="","",SUMIFS(Roturas!$D$2:$D$2000,Roturas!$B$2:$B$2000,A78))</f>
        <v/>
      </c>
      <c r="J78" s="7" t="str">
        <f t="shared" si="1"/>
        <v/>
      </c>
      <c r="K78" s="8"/>
      <c r="L78" s="11"/>
      <c r="M78" s="13"/>
    </row>
    <row r="79" spans="1:13" x14ac:dyDescent="0.3">
      <c r="A79" s="7" t="s">
        <v>2662</v>
      </c>
      <c r="B79" s="8" t="s">
        <v>47</v>
      </c>
      <c r="C79" s="8"/>
      <c r="D79" s="8"/>
      <c r="E79" s="8"/>
      <c r="F79" s="8"/>
      <c r="G79" s="8"/>
      <c r="H79" s="8"/>
      <c r="I79" s="7" t="str">
        <f>IF(C79="","",SUMIFS(Roturas!$D$2:$D$2000,Roturas!$B$2:$B$2000,A79))</f>
        <v/>
      </c>
      <c r="J79" s="7" t="str">
        <f t="shared" si="1"/>
        <v/>
      </c>
      <c r="K79" s="8"/>
      <c r="L79" s="11"/>
      <c r="M79" s="13"/>
    </row>
    <row r="80" spans="1:13" x14ac:dyDescent="0.3">
      <c r="A80" s="7" t="s">
        <v>2663</v>
      </c>
      <c r="B80" s="8" t="s">
        <v>47</v>
      </c>
      <c r="C80" s="8"/>
      <c r="D80" s="8"/>
      <c r="E80" s="8"/>
      <c r="F80" s="8"/>
      <c r="G80" s="8"/>
      <c r="H80" s="8"/>
      <c r="I80" s="7" t="str">
        <f>IF(C80="","",SUMIFS(Roturas!$D$2:$D$2000,Roturas!$B$2:$B$2000,A80))</f>
        <v/>
      </c>
      <c r="J80" s="7" t="str">
        <f t="shared" si="1"/>
        <v/>
      </c>
      <c r="K80" s="8"/>
      <c r="L80" s="11"/>
      <c r="M80" s="13"/>
    </row>
    <row r="81" spans="1:13" x14ac:dyDescent="0.3">
      <c r="A81" s="7" t="s">
        <v>2664</v>
      </c>
      <c r="B81" s="8" t="s">
        <v>47</v>
      </c>
      <c r="C81" s="8"/>
      <c r="D81" s="8"/>
      <c r="E81" s="8"/>
      <c r="F81" s="8"/>
      <c r="G81" s="8"/>
      <c r="H81" s="8"/>
      <c r="I81" s="7" t="str">
        <f>IF(C81="","",SUMIFS(Roturas!$D$2:$D$2000,Roturas!$B$2:$B$2000,A81))</f>
        <v/>
      </c>
      <c r="J81" s="7" t="str">
        <f t="shared" si="1"/>
        <v/>
      </c>
      <c r="K81" s="8"/>
      <c r="L81" s="11"/>
      <c r="M81" s="13"/>
    </row>
    <row r="82" spans="1:13" x14ac:dyDescent="0.3">
      <c r="A82" s="7" t="s">
        <v>2665</v>
      </c>
      <c r="B82" s="8" t="s">
        <v>47</v>
      </c>
      <c r="C82" s="8"/>
      <c r="D82" s="8"/>
      <c r="E82" s="8"/>
      <c r="F82" s="8"/>
      <c r="G82" s="8"/>
      <c r="H82" s="8"/>
      <c r="I82" s="7" t="str">
        <f>IF(C82="","",SUMIFS(Roturas!$D$2:$D$2000,Roturas!$B$2:$B$2000,A82))</f>
        <v/>
      </c>
      <c r="J82" s="7" t="str">
        <f t="shared" si="1"/>
        <v/>
      </c>
      <c r="K82" s="8"/>
      <c r="L82" s="11"/>
      <c r="M82" s="13"/>
    </row>
    <row r="83" spans="1:13" x14ac:dyDescent="0.3">
      <c r="A83" s="7" t="s">
        <v>2666</v>
      </c>
      <c r="B83" s="8" t="s">
        <v>47</v>
      </c>
      <c r="C83" s="8"/>
      <c r="D83" s="8"/>
      <c r="E83" s="8"/>
      <c r="F83" s="8"/>
      <c r="G83" s="8"/>
      <c r="H83" s="8"/>
      <c r="I83" s="7" t="str">
        <f>IF(C83="","",SUMIFS(Roturas!$D$2:$D$2000,Roturas!$B$2:$B$2000,A83))</f>
        <v/>
      </c>
      <c r="J83" s="7" t="str">
        <f t="shared" si="1"/>
        <v/>
      </c>
      <c r="K83" s="8"/>
      <c r="L83" s="11"/>
      <c r="M83" s="13"/>
    </row>
    <row r="84" spans="1:13" x14ac:dyDescent="0.3">
      <c r="A84" s="7" t="s">
        <v>2667</v>
      </c>
      <c r="B84" s="8" t="s">
        <v>47</v>
      </c>
      <c r="C84" s="8"/>
      <c r="D84" s="8"/>
      <c r="E84" s="8"/>
      <c r="F84" s="8"/>
      <c r="G84" s="8"/>
      <c r="H84" s="8"/>
      <c r="I84" s="7" t="str">
        <f>IF(C84="","",SUMIFS(Roturas!$D$2:$D$2000,Roturas!$B$2:$B$2000,A84))</f>
        <v/>
      </c>
      <c r="J84" s="7" t="str">
        <f t="shared" si="1"/>
        <v/>
      </c>
      <c r="K84" s="8"/>
      <c r="L84" s="11"/>
      <c r="M84" s="13"/>
    </row>
    <row r="85" spans="1:13" x14ac:dyDescent="0.3">
      <c r="A85" s="7" t="s">
        <v>2668</v>
      </c>
      <c r="B85" s="8" t="s">
        <v>47</v>
      </c>
      <c r="C85" s="8"/>
      <c r="D85" s="8"/>
      <c r="E85" s="8"/>
      <c r="F85" s="8"/>
      <c r="G85" s="8"/>
      <c r="H85" s="8"/>
      <c r="I85" s="7" t="str">
        <f>IF(C85="","",SUMIFS(Roturas!$D$2:$D$2000,Roturas!$B$2:$B$2000,A85))</f>
        <v/>
      </c>
      <c r="J85" s="7" t="str">
        <f t="shared" si="1"/>
        <v/>
      </c>
      <c r="K85" s="8"/>
      <c r="L85" s="11"/>
      <c r="M85" s="13"/>
    </row>
    <row r="86" spans="1:13" x14ac:dyDescent="0.3">
      <c r="A86" s="7" t="s">
        <v>2669</v>
      </c>
      <c r="B86" s="8" t="s">
        <v>47</v>
      </c>
      <c r="C86" s="8"/>
      <c r="D86" s="8"/>
      <c r="E86" s="8"/>
      <c r="F86" s="8"/>
      <c r="G86" s="8"/>
      <c r="H86" s="8"/>
      <c r="I86" s="7" t="str">
        <f>IF(C86="","",SUMIFS(Roturas!$D$2:$D$2000,Roturas!$B$2:$B$2000,A86))</f>
        <v/>
      </c>
      <c r="J86" s="7" t="str">
        <f t="shared" si="1"/>
        <v/>
      </c>
      <c r="K86" s="8"/>
      <c r="L86" s="11"/>
      <c r="M86" s="13"/>
    </row>
    <row r="87" spans="1:13" x14ac:dyDescent="0.3">
      <c r="A87" s="7" t="s">
        <v>2670</v>
      </c>
      <c r="B87" s="8" t="s">
        <v>47</v>
      </c>
      <c r="C87" s="8"/>
      <c r="D87" s="8"/>
      <c r="E87" s="8"/>
      <c r="F87" s="8"/>
      <c r="G87" s="8"/>
      <c r="H87" s="8"/>
      <c r="I87" s="7" t="str">
        <f>IF(C87="","",SUMIFS(Roturas!$D$2:$D$2000,Roturas!$B$2:$B$2000,A87))</f>
        <v/>
      </c>
      <c r="J87" s="7" t="str">
        <f t="shared" si="1"/>
        <v/>
      </c>
      <c r="K87" s="8"/>
      <c r="L87" s="11"/>
      <c r="M87" s="13"/>
    </row>
    <row r="88" spans="1:13" x14ac:dyDescent="0.3">
      <c r="A88" s="7" t="s">
        <v>2671</v>
      </c>
      <c r="B88" s="8" t="s">
        <v>47</v>
      </c>
      <c r="C88" s="8"/>
      <c r="D88" s="8"/>
      <c r="E88" s="8"/>
      <c r="F88" s="8"/>
      <c r="G88" s="8"/>
      <c r="H88" s="8"/>
      <c r="I88" s="7" t="str">
        <f>IF(C88="","",SUMIFS(Roturas!$D$2:$D$2000,Roturas!$B$2:$B$2000,A88))</f>
        <v/>
      </c>
      <c r="J88" s="7" t="str">
        <f t="shared" si="1"/>
        <v/>
      </c>
      <c r="K88" s="8"/>
      <c r="L88" s="11"/>
      <c r="M88" s="13"/>
    </row>
    <row r="89" spans="1:13" x14ac:dyDescent="0.3">
      <c r="A89" s="7" t="s">
        <v>2672</v>
      </c>
      <c r="B89" s="8" t="s">
        <v>47</v>
      </c>
      <c r="C89" s="8"/>
      <c r="D89" s="8"/>
      <c r="E89" s="8"/>
      <c r="F89" s="8"/>
      <c r="G89" s="8"/>
      <c r="H89" s="8"/>
      <c r="I89" s="7" t="str">
        <f>IF(C89="","",SUMIFS(Roturas!$D$2:$D$2000,Roturas!$B$2:$B$2000,A89))</f>
        <v/>
      </c>
      <c r="J89" s="7" t="str">
        <f t="shared" si="1"/>
        <v/>
      </c>
      <c r="K89" s="8"/>
      <c r="L89" s="11"/>
      <c r="M89" s="13"/>
    </row>
    <row r="90" spans="1:13" x14ac:dyDescent="0.3">
      <c r="A90" s="7" t="s">
        <v>2673</v>
      </c>
      <c r="B90" s="8" t="s">
        <v>47</v>
      </c>
      <c r="C90" s="8"/>
      <c r="D90" s="8"/>
      <c r="E90" s="8"/>
      <c r="F90" s="8"/>
      <c r="G90" s="8"/>
      <c r="H90" s="8"/>
      <c r="I90" s="7" t="str">
        <f>IF(C90="","",SUMIFS(Roturas!$D$2:$D$2000,Roturas!$B$2:$B$2000,A90))</f>
        <v/>
      </c>
      <c r="J90" s="7" t="str">
        <f t="shared" si="1"/>
        <v/>
      </c>
      <c r="K90" s="8"/>
      <c r="L90" s="11"/>
      <c r="M90" s="13"/>
    </row>
    <row r="91" spans="1:13" x14ac:dyDescent="0.3">
      <c r="A91" s="7" t="s">
        <v>2674</v>
      </c>
      <c r="B91" s="8" t="s">
        <v>47</v>
      </c>
      <c r="C91" s="8"/>
      <c r="D91" s="8"/>
      <c r="E91" s="8"/>
      <c r="F91" s="8"/>
      <c r="G91" s="8"/>
      <c r="H91" s="8"/>
      <c r="I91" s="7" t="str">
        <f>IF(C91="","",SUMIFS(Roturas!$D$2:$D$2000,Roturas!$B$2:$B$2000,A91))</f>
        <v/>
      </c>
      <c r="J91" s="7" t="str">
        <f t="shared" si="1"/>
        <v/>
      </c>
      <c r="K91" s="8"/>
      <c r="L91" s="11"/>
      <c r="M91" s="13"/>
    </row>
    <row r="92" spans="1:13" x14ac:dyDescent="0.3">
      <c r="A92" s="7" t="s">
        <v>2675</v>
      </c>
      <c r="B92" s="8" t="s">
        <v>47</v>
      </c>
      <c r="C92" s="8"/>
      <c r="D92" s="8"/>
      <c r="E92" s="8"/>
      <c r="F92" s="8"/>
      <c r="G92" s="8"/>
      <c r="H92" s="8"/>
      <c r="I92" s="7" t="str">
        <f>IF(C92="","",SUMIFS(Roturas!$D$2:$D$2000,Roturas!$B$2:$B$2000,A92))</f>
        <v/>
      </c>
      <c r="J92" s="7" t="str">
        <f t="shared" si="1"/>
        <v/>
      </c>
      <c r="K92" s="8"/>
      <c r="L92" s="11"/>
      <c r="M92" s="13"/>
    </row>
    <row r="93" spans="1:13" x14ac:dyDescent="0.3">
      <c r="A93" s="7" t="s">
        <v>2676</v>
      </c>
      <c r="B93" s="8" t="s">
        <v>47</v>
      </c>
      <c r="C93" s="8"/>
      <c r="D93" s="8"/>
      <c r="E93" s="8"/>
      <c r="F93" s="8"/>
      <c r="G93" s="8"/>
      <c r="H93" s="8"/>
      <c r="I93" s="7" t="str">
        <f>IF(C93="","",SUMIFS(Roturas!$D$2:$D$2000,Roturas!$B$2:$B$2000,A93))</f>
        <v/>
      </c>
      <c r="J93" s="7" t="str">
        <f t="shared" si="1"/>
        <v/>
      </c>
      <c r="K93" s="8"/>
      <c r="L93" s="11"/>
      <c r="M93" s="13"/>
    </row>
    <row r="94" spans="1:13" x14ac:dyDescent="0.3">
      <c r="A94" s="7" t="s">
        <v>2677</v>
      </c>
      <c r="B94" s="8" t="s">
        <v>47</v>
      </c>
      <c r="C94" s="8"/>
      <c r="D94" s="8"/>
      <c r="E94" s="8"/>
      <c r="F94" s="8"/>
      <c r="G94" s="8"/>
      <c r="H94" s="8"/>
      <c r="I94" s="7" t="str">
        <f>IF(C94="","",SUMIFS(Roturas!$D$2:$D$2000,Roturas!$B$2:$B$2000,A94))</f>
        <v/>
      </c>
      <c r="J94" s="7" t="str">
        <f t="shared" si="1"/>
        <v/>
      </c>
      <c r="K94" s="8"/>
      <c r="L94" s="11"/>
      <c r="M94" s="13"/>
    </row>
    <row r="95" spans="1:13" x14ac:dyDescent="0.3">
      <c r="A95" s="7" t="s">
        <v>2678</v>
      </c>
      <c r="B95" s="8" t="s">
        <v>47</v>
      </c>
      <c r="C95" s="8"/>
      <c r="D95" s="8"/>
      <c r="E95" s="8"/>
      <c r="F95" s="8"/>
      <c r="G95" s="8"/>
      <c r="H95" s="8"/>
      <c r="I95" s="7" t="str">
        <f>IF(C95="","",SUMIFS(Roturas!$D$2:$D$2000,Roturas!$B$2:$B$2000,A95))</f>
        <v/>
      </c>
      <c r="J95" s="7" t="str">
        <f t="shared" si="1"/>
        <v/>
      </c>
      <c r="K95" s="8"/>
      <c r="L95" s="11"/>
      <c r="M95" s="13"/>
    </row>
    <row r="96" spans="1:13" x14ac:dyDescent="0.3">
      <c r="A96" s="7" t="s">
        <v>2679</v>
      </c>
      <c r="B96" s="8" t="s">
        <v>47</v>
      </c>
      <c r="C96" s="8"/>
      <c r="D96" s="8"/>
      <c r="E96" s="8"/>
      <c r="F96" s="8"/>
      <c r="G96" s="8"/>
      <c r="H96" s="8"/>
      <c r="I96" s="7" t="str">
        <f>IF(C96="","",SUMIFS(Roturas!$D$2:$D$2000,Roturas!$B$2:$B$2000,A96))</f>
        <v/>
      </c>
      <c r="J96" s="7" t="str">
        <f t="shared" si="1"/>
        <v/>
      </c>
      <c r="K96" s="8"/>
      <c r="L96" s="11"/>
      <c r="M96" s="13"/>
    </row>
    <row r="97" spans="1:13" x14ac:dyDescent="0.3">
      <c r="A97" s="7" t="s">
        <v>2680</v>
      </c>
      <c r="B97" s="8" t="s">
        <v>47</v>
      </c>
      <c r="C97" s="8"/>
      <c r="D97" s="8"/>
      <c r="E97" s="8"/>
      <c r="F97" s="8"/>
      <c r="G97" s="8"/>
      <c r="H97" s="8"/>
      <c r="I97" s="7" t="str">
        <f>IF(C97="","",SUMIFS(Roturas!$D$2:$D$2000,Roturas!$B$2:$B$2000,A97))</f>
        <v/>
      </c>
      <c r="J97" s="7" t="str">
        <f t="shared" si="1"/>
        <v/>
      </c>
      <c r="K97" s="8"/>
      <c r="L97" s="11"/>
      <c r="M97" s="13"/>
    </row>
    <row r="98" spans="1:13" x14ac:dyDescent="0.3">
      <c r="A98" s="7" t="s">
        <v>2681</v>
      </c>
      <c r="B98" s="8" t="s">
        <v>47</v>
      </c>
      <c r="C98" s="8"/>
      <c r="D98" s="8"/>
      <c r="E98" s="8"/>
      <c r="F98" s="8"/>
      <c r="G98" s="8"/>
      <c r="H98" s="8"/>
      <c r="I98" s="7" t="str">
        <f>IF(C98="","",SUMIFS(Roturas!$D$2:$D$2000,Roturas!$B$2:$B$2000,A98))</f>
        <v/>
      </c>
      <c r="J98" s="7" t="str">
        <f t="shared" si="1"/>
        <v/>
      </c>
      <c r="K98" s="8"/>
      <c r="L98" s="11"/>
      <c r="M98" s="13"/>
    </row>
    <row r="99" spans="1:13" x14ac:dyDescent="0.3">
      <c r="A99" s="7" t="s">
        <v>2682</v>
      </c>
      <c r="B99" s="8" t="s">
        <v>47</v>
      </c>
      <c r="C99" s="8"/>
      <c r="D99" s="8"/>
      <c r="E99" s="8"/>
      <c r="F99" s="8"/>
      <c r="G99" s="8"/>
      <c r="H99" s="8"/>
      <c r="I99" s="7" t="str">
        <f>IF(C99="","",SUMIFS(Roturas!$D$2:$D$2000,Roturas!$B$2:$B$2000,A99))</f>
        <v/>
      </c>
      <c r="J99" s="7" t="str">
        <f t="shared" si="1"/>
        <v/>
      </c>
      <c r="K99" s="8"/>
      <c r="L99" s="11"/>
      <c r="M99" s="13"/>
    </row>
    <row r="100" spans="1:13" x14ac:dyDescent="0.3">
      <c r="A100" s="7" t="s">
        <v>2683</v>
      </c>
      <c r="B100" s="8" t="s">
        <v>47</v>
      </c>
      <c r="C100" s="8"/>
      <c r="D100" s="8"/>
      <c r="E100" s="8"/>
      <c r="F100" s="8"/>
      <c r="G100" s="8"/>
      <c r="H100" s="8"/>
      <c r="I100" s="7" t="str">
        <f>IF(C100="","",SUMIFS(Roturas!$D$2:$D$2000,Roturas!$B$2:$B$2000,A100))</f>
        <v/>
      </c>
      <c r="J100" s="7" t="str">
        <f t="shared" si="1"/>
        <v/>
      </c>
      <c r="K100" s="8"/>
      <c r="L100" s="11"/>
      <c r="M100" s="13"/>
    </row>
    <row r="101" spans="1:13" x14ac:dyDescent="0.3">
      <c r="A101" s="7" t="s">
        <v>2684</v>
      </c>
      <c r="B101" s="8" t="s">
        <v>47</v>
      </c>
      <c r="C101" s="8"/>
      <c r="D101" s="8"/>
      <c r="E101" s="8"/>
      <c r="F101" s="8"/>
      <c r="G101" s="8"/>
      <c r="H101" s="8"/>
      <c r="I101" s="7" t="str">
        <f>IF(C101="","",SUMIFS(Roturas!$D$2:$D$2000,Roturas!$B$2:$B$2000,A101))</f>
        <v/>
      </c>
      <c r="J101" s="7" t="str">
        <f t="shared" si="1"/>
        <v/>
      </c>
      <c r="K101" s="8"/>
      <c r="L101" s="11"/>
      <c r="M101" s="13"/>
    </row>
    <row r="102" spans="1:13" x14ac:dyDescent="0.3">
      <c r="A102" s="7" t="s">
        <v>2685</v>
      </c>
      <c r="B102" s="8" t="s">
        <v>47</v>
      </c>
      <c r="C102" s="8"/>
      <c r="D102" s="8"/>
      <c r="E102" s="8"/>
      <c r="F102" s="8"/>
      <c r="G102" s="8"/>
      <c r="H102" s="8"/>
      <c r="I102" s="7" t="str">
        <f>IF(C102="","",SUMIFS(Roturas!$D$2:$D$2000,Roturas!$B$2:$B$2000,A102))</f>
        <v/>
      </c>
      <c r="J102" s="7" t="str">
        <f t="shared" si="1"/>
        <v/>
      </c>
      <c r="K102" s="8"/>
      <c r="L102" s="11"/>
      <c r="M102" s="13"/>
    </row>
    <row r="103" spans="1:13" x14ac:dyDescent="0.3">
      <c r="A103" s="7" t="s">
        <v>2686</v>
      </c>
      <c r="B103" s="8" t="s">
        <v>47</v>
      </c>
      <c r="C103" s="8"/>
      <c r="D103" s="8"/>
      <c r="E103" s="8"/>
      <c r="F103" s="8"/>
      <c r="G103" s="8"/>
      <c r="H103" s="8"/>
      <c r="I103" s="7" t="str">
        <f>IF(C103="","",SUMIFS(Roturas!$D$2:$D$2000,Roturas!$B$2:$B$2000,A103))</f>
        <v/>
      </c>
      <c r="J103" s="7" t="str">
        <f t="shared" si="1"/>
        <v/>
      </c>
      <c r="K103" s="8"/>
      <c r="L103" s="11"/>
      <c r="M103" s="13"/>
    </row>
    <row r="104" spans="1:13" x14ac:dyDescent="0.3">
      <c r="A104" s="7" t="s">
        <v>2687</v>
      </c>
      <c r="B104" s="8" t="s">
        <v>47</v>
      </c>
      <c r="C104" s="8"/>
      <c r="D104" s="8"/>
      <c r="E104" s="8"/>
      <c r="F104" s="8"/>
      <c r="G104" s="8"/>
      <c r="H104" s="8"/>
      <c r="I104" s="7" t="str">
        <f>IF(C104="","",SUMIFS(Roturas!$D$2:$D$2000,Roturas!$B$2:$B$2000,A104))</f>
        <v/>
      </c>
      <c r="J104" s="7" t="str">
        <f t="shared" si="1"/>
        <v/>
      </c>
      <c r="K104" s="8"/>
      <c r="L104" s="11"/>
      <c r="M104" s="13"/>
    </row>
    <row r="105" spans="1:13" x14ac:dyDescent="0.3">
      <c r="A105" s="7" t="s">
        <v>2688</v>
      </c>
      <c r="B105" s="8" t="s">
        <v>47</v>
      </c>
      <c r="C105" s="8"/>
      <c r="D105" s="8"/>
      <c r="E105" s="8"/>
      <c r="F105" s="8"/>
      <c r="G105" s="8"/>
      <c r="H105" s="8"/>
      <c r="I105" s="7" t="str">
        <f>IF(C105="","",SUMIFS(Roturas!$D$2:$D$2000,Roturas!$B$2:$B$2000,A105))</f>
        <v/>
      </c>
      <c r="J105" s="7" t="str">
        <f t="shared" si="1"/>
        <v/>
      </c>
      <c r="K105" s="8"/>
      <c r="L105" s="11"/>
      <c r="M105" s="13"/>
    </row>
    <row r="106" spans="1:13" x14ac:dyDescent="0.3">
      <c r="A106" s="7" t="s">
        <v>2689</v>
      </c>
      <c r="B106" s="8" t="s">
        <v>47</v>
      </c>
      <c r="C106" s="8"/>
      <c r="D106" s="8"/>
      <c r="E106" s="8"/>
      <c r="F106" s="8"/>
      <c r="G106" s="8"/>
      <c r="H106" s="8"/>
      <c r="I106" s="7" t="str">
        <f>IF(C106="","",SUMIFS(Roturas!$D$2:$D$2000,Roturas!$B$2:$B$2000,A106))</f>
        <v/>
      </c>
      <c r="J106" s="7" t="str">
        <f t="shared" si="1"/>
        <v/>
      </c>
      <c r="K106" s="8"/>
      <c r="L106" s="11"/>
      <c r="M106" s="13"/>
    </row>
    <row r="107" spans="1:13" x14ac:dyDescent="0.3">
      <c r="A107" s="7" t="s">
        <v>2690</v>
      </c>
      <c r="B107" s="8" t="s">
        <v>47</v>
      </c>
      <c r="C107" s="8"/>
      <c r="D107" s="8"/>
      <c r="E107" s="8"/>
      <c r="F107" s="8"/>
      <c r="G107" s="8"/>
      <c r="H107" s="8"/>
      <c r="I107" s="7" t="str">
        <f>IF(C107="","",SUMIFS(Roturas!$D$2:$D$2000,Roturas!$B$2:$B$2000,A107))</f>
        <v/>
      </c>
      <c r="J107" s="7" t="str">
        <f t="shared" si="1"/>
        <v/>
      </c>
      <c r="K107" s="8"/>
      <c r="L107" s="11"/>
      <c r="M107" s="13"/>
    </row>
    <row r="108" spans="1:13" x14ac:dyDescent="0.3">
      <c r="A108" s="7" t="s">
        <v>2691</v>
      </c>
      <c r="B108" s="8" t="s">
        <v>47</v>
      </c>
      <c r="C108" s="8"/>
      <c r="D108" s="8"/>
      <c r="E108" s="8"/>
      <c r="F108" s="8"/>
      <c r="G108" s="8"/>
      <c r="H108" s="8"/>
      <c r="I108" s="7" t="str">
        <f>IF(C108="","",SUMIFS(Roturas!$D$2:$D$2000,Roturas!$B$2:$B$2000,A108))</f>
        <v/>
      </c>
      <c r="J108" s="7" t="str">
        <f t="shared" si="1"/>
        <v/>
      </c>
      <c r="K108" s="8"/>
      <c r="L108" s="11"/>
      <c r="M108" s="13"/>
    </row>
    <row r="109" spans="1:13" x14ac:dyDescent="0.3">
      <c r="A109" s="7" t="s">
        <v>2692</v>
      </c>
      <c r="B109" s="8" t="s">
        <v>47</v>
      </c>
      <c r="C109" s="8"/>
      <c r="D109" s="8"/>
      <c r="E109" s="8"/>
      <c r="F109" s="8"/>
      <c r="G109" s="8"/>
      <c r="H109" s="8"/>
      <c r="I109" s="7" t="str">
        <f>IF(C109="","",SUMIFS(Roturas!$D$2:$D$2000,Roturas!$B$2:$B$2000,A109))</f>
        <v/>
      </c>
      <c r="J109" s="7" t="str">
        <f t="shared" si="1"/>
        <v/>
      </c>
      <c r="K109" s="8"/>
      <c r="L109" s="11"/>
      <c r="M109" s="13"/>
    </row>
    <row r="110" spans="1:13" x14ac:dyDescent="0.3">
      <c r="A110" s="7" t="s">
        <v>2693</v>
      </c>
      <c r="B110" s="8" t="s">
        <v>47</v>
      </c>
      <c r="C110" s="8"/>
      <c r="D110" s="8"/>
      <c r="E110" s="8"/>
      <c r="F110" s="8"/>
      <c r="G110" s="8"/>
      <c r="H110" s="8"/>
      <c r="I110" s="7" t="str">
        <f>IF(C110="","",SUMIFS(Roturas!$D$2:$D$2000,Roturas!$B$2:$B$2000,A110))</f>
        <v/>
      </c>
      <c r="J110" s="7" t="str">
        <f t="shared" si="1"/>
        <v/>
      </c>
      <c r="K110" s="8"/>
      <c r="L110" s="11"/>
      <c r="M110" s="13"/>
    </row>
    <row r="111" spans="1:13" x14ac:dyDescent="0.3">
      <c r="A111" s="7" t="s">
        <v>2694</v>
      </c>
      <c r="B111" s="8" t="s">
        <v>47</v>
      </c>
      <c r="C111" s="8"/>
      <c r="D111" s="8"/>
      <c r="E111" s="8"/>
      <c r="F111" s="8"/>
      <c r="G111" s="8"/>
      <c r="H111" s="8"/>
      <c r="I111" s="7" t="str">
        <f>IF(C111="","",SUMIFS(Roturas!$D$2:$D$2000,Roturas!$B$2:$B$2000,A111))</f>
        <v/>
      </c>
      <c r="J111" s="7" t="str">
        <f t="shared" si="1"/>
        <v/>
      </c>
      <c r="K111" s="8"/>
      <c r="L111" s="11"/>
      <c r="M111" s="13"/>
    </row>
    <row r="112" spans="1:13" x14ac:dyDescent="0.3">
      <c r="A112" s="7" t="s">
        <v>2695</v>
      </c>
      <c r="B112" s="8" t="s">
        <v>47</v>
      </c>
      <c r="C112" s="8"/>
      <c r="D112" s="8"/>
      <c r="E112" s="8"/>
      <c r="F112" s="8"/>
      <c r="G112" s="8"/>
      <c r="H112" s="8"/>
      <c r="I112" s="7" t="str">
        <f>IF(C112="","",SUMIFS(Roturas!$D$2:$D$2000,Roturas!$B$2:$B$2000,A112))</f>
        <v/>
      </c>
      <c r="J112" s="7" t="str">
        <f t="shared" si="1"/>
        <v/>
      </c>
      <c r="K112" s="8"/>
      <c r="L112" s="11"/>
      <c r="M112" s="13"/>
    </row>
    <row r="113" spans="1:13" x14ac:dyDescent="0.3">
      <c r="A113" s="7" t="s">
        <v>2696</v>
      </c>
      <c r="B113" s="8" t="s">
        <v>47</v>
      </c>
      <c r="C113" s="8"/>
      <c r="D113" s="8"/>
      <c r="E113" s="8"/>
      <c r="F113" s="8"/>
      <c r="G113" s="8"/>
      <c r="H113" s="8"/>
      <c r="I113" s="7" t="str">
        <f>IF(C113="","",SUMIFS(Roturas!$D$2:$D$2000,Roturas!$B$2:$B$2000,A113))</f>
        <v/>
      </c>
      <c r="J113" s="7" t="str">
        <f t="shared" si="1"/>
        <v/>
      </c>
      <c r="K113" s="8"/>
      <c r="L113" s="11"/>
      <c r="M113" s="13"/>
    </row>
    <row r="114" spans="1:13" x14ac:dyDescent="0.3">
      <c r="A114" s="7" t="s">
        <v>2697</v>
      </c>
      <c r="B114" s="8" t="s">
        <v>47</v>
      </c>
      <c r="C114" s="8"/>
      <c r="D114" s="8"/>
      <c r="E114" s="8"/>
      <c r="F114" s="8"/>
      <c r="G114" s="8"/>
      <c r="H114" s="8"/>
      <c r="I114" s="7" t="str">
        <f>IF(C114="","",SUMIFS(Roturas!$D$2:$D$2000,Roturas!$B$2:$B$2000,A114))</f>
        <v/>
      </c>
      <c r="J114" s="7" t="str">
        <f t="shared" si="1"/>
        <v/>
      </c>
      <c r="K114" s="8"/>
      <c r="L114" s="11"/>
      <c r="M114" s="13"/>
    </row>
    <row r="115" spans="1:13" x14ac:dyDescent="0.3">
      <c r="A115" s="7" t="s">
        <v>2698</v>
      </c>
      <c r="B115" s="8" t="s">
        <v>47</v>
      </c>
      <c r="C115" s="8"/>
      <c r="D115" s="8"/>
      <c r="E115" s="8"/>
      <c r="F115" s="8"/>
      <c r="G115" s="8"/>
      <c r="H115" s="8"/>
      <c r="I115" s="7" t="str">
        <f>IF(C115="","",SUMIFS(Roturas!$D$2:$D$2000,Roturas!$B$2:$B$2000,A115))</f>
        <v/>
      </c>
      <c r="J115" s="7" t="str">
        <f t="shared" si="1"/>
        <v/>
      </c>
      <c r="K115" s="8"/>
      <c r="L115" s="11"/>
      <c r="M115" s="13"/>
    </row>
    <row r="116" spans="1:13" x14ac:dyDescent="0.3">
      <c r="A116" s="7" t="s">
        <v>2699</v>
      </c>
      <c r="B116" s="8" t="s">
        <v>47</v>
      </c>
      <c r="C116" s="8"/>
      <c r="D116" s="8"/>
      <c r="E116" s="8"/>
      <c r="F116" s="8"/>
      <c r="G116" s="8"/>
      <c r="H116" s="8"/>
      <c r="I116" s="7" t="str">
        <f>IF(C116="","",SUMIFS(Roturas!$D$2:$D$2000,Roturas!$B$2:$B$2000,A116))</f>
        <v/>
      </c>
      <c r="J116" s="7" t="str">
        <f t="shared" si="1"/>
        <v/>
      </c>
      <c r="K116" s="8"/>
      <c r="L116" s="11"/>
      <c r="M116" s="13"/>
    </row>
    <row r="117" spans="1:13" x14ac:dyDescent="0.3">
      <c r="A117" s="7" t="s">
        <v>2700</v>
      </c>
      <c r="B117" s="8" t="s">
        <v>47</v>
      </c>
      <c r="C117" s="8"/>
      <c r="D117" s="8"/>
      <c r="E117" s="8"/>
      <c r="F117" s="8"/>
      <c r="G117" s="8"/>
      <c r="H117" s="8"/>
      <c r="I117" s="7" t="str">
        <f>IF(C117="","",SUMIFS(Roturas!$D$2:$D$2000,Roturas!$B$2:$B$2000,A117))</f>
        <v/>
      </c>
      <c r="J117" s="7" t="str">
        <f t="shared" si="1"/>
        <v/>
      </c>
      <c r="K117" s="8"/>
      <c r="L117" s="11"/>
      <c r="M117" s="13"/>
    </row>
    <row r="118" spans="1:13" x14ac:dyDescent="0.3">
      <c r="A118" s="7" t="s">
        <v>2701</v>
      </c>
      <c r="B118" s="8" t="s">
        <v>47</v>
      </c>
      <c r="C118" s="8"/>
      <c r="D118" s="8"/>
      <c r="E118" s="8"/>
      <c r="F118" s="8"/>
      <c r="G118" s="8"/>
      <c r="H118" s="8"/>
      <c r="I118" s="7" t="str">
        <f>IF(C118="","",SUMIFS(Roturas!$D$2:$D$2000,Roturas!$B$2:$B$2000,A118))</f>
        <v/>
      </c>
      <c r="J118" s="7" t="str">
        <f t="shared" si="1"/>
        <v/>
      </c>
      <c r="K118" s="8"/>
      <c r="L118" s="11"/>
      <c r="M118" s="13"/>
    </row>
    <row r="119" spans="1:13" x14ac:dyDescent="0.3">
      <c r="A119" s="7" t="s">
        <v>2702</v>
      </c>
      <c r="B119" s="8" t="s">
        <v>47</v>
      </c>
      <c r="C119" s="8"/>
      <c r="D119" s="8"/>
      <c r="E119" s="8"/>
      <c r="F119" s="8"/>
      <c r="G119" s="8"/>
      <c r="H119" s="8"/>
      <c r="I119" s="7" t="str">
        <f>IF(C119="","",SUMIFS(Roturas!$D$2:$D$2000,Roturas!$B$2:$B$2000,A119))</f>
        <v/>
      </c>
      <c r="J119" s="7" t="str">
        <f t="shared" si="1"/>
        <v/>
      </c>
      <c r="K119" s="8"/>
      <c r="L119" s="11"/>
      <c r="M119" s="13"/>
    </row>
    <row r="120" spans="1:13" x14ac:dyDescent="0.3">
      <c r="A120" s="7" t="s">
        <v>2703</v>
      </c>
      <c r="B120" s="8" t="s">
        <v>47</v>
      </c>
      <c r="C120" s="8"/>
      <c r="D120" s="8"/>
      <c r="E120" s="8"/>
      <c r="F120" s="8"/>
      <c r="G120" s="8"/>
      <c r="H120" s="8"/>
      <c r="I120" s="7" t="str">
        <f>IF(C120="","",SUMIFS(Roturas!$D$2:$D$2000,Roturas!$B$2:$B$2000,A120))</f>
        <v/>
      </c>
      <c r="J120" s="7" t="str">
        <f t="shared" si="1"/>
        <v/>
      </c>
      <c r="K120" s="8"/>
      <c r="L120" s="11"/>
      <c r="M120" s="13"/>
    </row>
    <row r="121" spans="1:13" x14ac:dyDescent="0.3">
      <c r="A121" s="7" t="s">
        <v>2704</v>
      </c>
      <c r="B121" s="8" t="s">
        <v>47</v>
      </c>
      <c r="C121" s="8"/>
      <c r="D121" s="8"/>
      <c r="E121" s="8"/>
      <c r="F121" s="8"/>
      <c r="G121" s="8"/>
      <c r="H121" s="8"/>
      <c r="I121" s="7" t="str">
        <f>IF(C121="","",SUMIFS(Roturas!$D$2:$D$2000,Roturas!$B$2:$B$2000,A121))</f>
        <v/>
      </c>
      <c r="J121" s="7" t="str">
        <f t="shared" si="1"/>
        <v/>
      </c>
      <c r="K121" s="8"/>
      <c r="L121" s="11"/>
      <c r="M121" s="13"/>
    </row>
    <row r="122" spans="1:13" x14ac:dyDescent="0.3">
      <c r="A122" s="7" t="s">
        <v>2705</v>
      </c>
      <c r="B122" s="8" t="s">
        <v>47</v>
      </c>
      <c r="C122" s="8"/>
      <c r="D122" s="8"/>
      <c r="E122" s="8"/>
      <c r="F122" s="8"/>
      <c r="G122" s="8"/>
      <c r="H122" s="8"/>
      <c r="I122" s="7" t="str">
        <f>IF(C122="","",SUMIFS(Roturas!$D$2:$D$2000,Roturas!$B$2:$B$2000,A122))</f>
        <v/>
      </c>
      <c r="J122" s="7" t="str">
        <f t="shared" si="1"/>
        <v/>
      </c>
      <c r="K122" s="8"/>
      <c r="L122" s="11"/>
      <c r="M122" s="13"/>
    </row>
    <row r="123" spans="1:13" x14ac:dyDescent="0.3">
      <c r="A123" s="7" t="s">
        <v>2706</v>
      </c>
      <c r="B123" s="8" t="s">
        <v>47</v>
      </c>
      <c r="C123" s="8"/>
      <c r="D123" s="8"/>
      <c r="E123" s="8"/>
      <c r="F123" s="8"/>
      <c r="G123" s="8"/>
      <c r="H123" s="8"/>
      <c r="I123" s="7" t="str">
        <f>IF(C123="","",SUMIFS(Roturas!$D$2:$D$2000,Roturas!$B$2:$B$2000,A123))</f>
        <v/>
      </c>
      <c r="J123" s="7" t="str">
        <f t="shared" si="1"/>
        <v/>
      </c>
      <c r="K123" s="8"/>
      <c r="L123" s="11"/>
      <c r="M123" s="13"/>
    </row>
    <row r="124" spans="1:13" x14ac:dyDescent="0.3">
      <c r="A124" s="7" t="s">
        <v>2707</v>
      </c>
      <c r="B124" s="8" t="s">
        <v>47</v>
      </c>
      <c r="C124" s="8"/>
      <c r="D124" s="8"/>
      <c r="E124" s="8"/>
      <c r="F124" s="8"/>
      <c r="G124" s="8"/>
      <c r="H124" s="8"/>
      <c r="I124" s="7" t="str">
        <f>IF(C124="","",SUMIFS(Roturas!$D$2:$D$2000,Roturas!$B$2:$B$2000,A124))</f>
        <v/>
      </c>
      <c r="J124" s="7" t="str">
        <f t="shared" si="1"/>
        <v/>
      </c>
      <c r="K124" s="8"/>
      <c r="L124" s="11"/>
      <c r="M124" s="13"/>
    </row>
    <row r="125" spans="1:13" x14ac:dyDescent="0.3">
      <c r="A125" s="7" t="s">
        <v>2708</v>
      </c>
      <c r="B125" s="8" t="s">
        <v>47</v>
      </c>
      <c r="C125" s="8"/>
      <c r="D125" s="8"/>
      <c r="E125" s="8"/>
      <c r="F125" s="8"/>
      <c r="G125" s="8"/>
      <c r="H125" s="8"/>
      <c r="I125" s="7" t="str">
        <f>IF(C125="","",SUMIFS(Roturas!$D$2:$D$2000,Roturas!$B$2:$B$2000,A125))</f>
        <v/>
      </c>
      <c r="J125" s="7" t="str">
        <f t="shared" si="1"/>
        <v/>
      </c>
      <c r="K125" s="8"/>
      <c r="L125" s="11"/>
      <c r="M125" s="13"/>
    </row>
    <row r="126" spans="1:13" x14ac:dyDescent="0.3">
      <c r="A126" s="7" t="s">
        <v>2709</v>
      </c>
      <c r="B126" s="8" t="s">
        <v>47</v>
      </c>
      <c r="C126" s="8"/>
      <c r="D126" s="8"/>
      <c r="E126" s="8"/>
      <c r="F126" s="8"/>
      <c r="G126" s="8"/>
      <c r="H126" s="8"/>
      <c r="I126" s="7" t="str">
        <f>IF(C126="","",SUMIFS(Roturas!$D$2:$D$2000,Roturas!$B$2:$B$2000,A126))</f>
        <v/>
      </c>
      <c r="J126" s="7" t="str">
        <f t="shared" si="1"/>
        <v/>
      </c>
      <c r="K126" s="8"/>
      <c r="L126" s="11"/>
      <c r="M126" s="13"/>
    </row>
    <row r="127" spans="1:13" x14ac:dyDescent="0.3">
      <c r="A127" s="7" t="s">
        <v>2710</v>
      </c>
      <c r="B127" s="8" t="s">
        <v>47</v>
      </c>
      <c r="C127" s="8"/>
      <c r="D127" s="8"/>
      <c r="E127" s="8"/>
      <c r="F127" s="8"/>
      <c r="G127" s="8"/>
      <c r="H127" s="8"/>
      <c r="I127" s="7" t="str">
        <f>IF(C127="","",SUMIFS(Roturas!$D$2:$D$2000,Roturas!$B$2:$B$2000,A127))</f>
        <v/>
      </c>
      <c r="J127" s="7" t="str">
        <f t="shared" si="1"/>
        <v/>
      </c>
      <c r="K127" s="8"/>
      <c r="L127" s="11"/>
      <c r="M127" s="13"/>
    </row>
    <row r="128" spans="1:13" x14ac:dyDescent="0.3">
      <c r="A128" s="7" t="s">
        <v>2711</v>
      </c>
      <c r="B128" s="8" t="s">
        <v>47</v>
      </c>
      <c r="C128" s="8"/>
      <c r="D128" s="8"/>
      <c r="E128" s="8"/>
      <c r="F128" s="8"/>
      <c r="G128" s="8"/>
      <c r="H128" s="8"/>
      <c r="I128" s="7" t="str">
        <f>IF(C128="","",SUMIFS(Roturas!$D$2:$D$2000,Roturas!$B$2:$B$2000,A128))</f>
        <v/>
      </c>
      <c r="J128" s="7" t="str">
        <f t="shared" si="1"/>
        <v/>
      </c>
      <c r="K128" s="8"/>
      <c r="L128" s="11"/>
      <c r="M128" s="13"/>
    </row>
    <row r="129" spans="1:13" x14ac:dyDescent="0.3">
      <c r="A129" s="7" t="s">
        <v>2712</v>
      </c>
      <c r="B129" s="8" t="s">
        <v>47</v>
      </c>
      <c r="C129" s="8"/>
      <c r="D129" s="8"/>
      <c r="E129" s="8"/>
      <c r="F129" s="8"/>
      <c r="G129" s="8"/>
      <c r="H129" s="8"/>
      <c r="I129" s="7" t="str">
        <f>IF(C129="","",SUMIFS(Roturas!$D$2:$D$2000,Roturas!$B$2:$B$2000,A129))</f>
        <v/>
      </c>
      <c r="J129" s="7" t="str">
        <f t="shared" si="1"/>
        <v/>
      </c>
      <c r="K129" s="8"/>
      <c r="L129" s="11"/>
      <c r="M129" s="13"/>
    </row>
    <row r="130" spans="1:13" x14ac:dyDescent="0.3">
      <c r="A130" s="7" t="s">
        <v>2713</v>
      </c>
      <c r="B130" s="8" t="s">
        <v>47</v>
      </c>
      <c r="C130" s="8"/>
      <c r="D130" s="8"/>
      <c r="E130" s="8"/>
      <c r="F130" s="8"/>
      <c r="G130" s="8"/>
      <c r="H130" s="8"/>
      <c r="I130" s="7" t="str">
        <f>IF(C130="","",SUMIFS(Roturas!$D$2:$D$2000,Roturas!$B$2:$B$2000,A130))</f>
        <v/>
      </c>
      <c r="J130" s="7" t="str">
        <f t="shared" ref="J130:J193" si="2">IF(C130="","",N(F130)+N(G130)-I130)</f>
        <v/>
      </c>
      <c r="K130" s="8"/>
      <c r="L130" s="11"/>
      <c r="M130" s="13"/>
    </row>
    <row r="131" spans="1:13" x14ac:dyDescent="0.3">
      <c r="A131" s="7" t="s">
        <v>2714</v>
      </c>
      <c r="B131" s="8" t="s">
        <v>47</v>
      </c>
      <c r="C131" s="8"/>
      <c r="D131" s="8"/>
      <c r="E131" s="8"/>
      <c r="F131" s="8"/>
      <c r="G131" s="8"/>
      <c r="H131" s="8"/>
      <c r="I131" s="7" t="str">
        <f>IF(C131="","",SUMIFS(Roturas!$D$2:$D$2000,Roturas!$B$2:$B$2000,A131))</f>
        <v/>
      </c>
      <c r="J131" s="7" t="str">
        <f t="shared" si="2"/>
        <v/>
      </c>
      <c r="K131" s="8"/>
      <c r="L131" s="11"/>
      <c r="M131" s="13"/>
    </row>
    <row r="132" spans="1:13" x14ac:dyDescent="0.3">
      <c r="A132" s="7" t="s">
        <v>2715</v>
      </c>
      <c r="B132" s="8" t="s">
        <v>47</v>
      </c>
      <c r="C132" s="8"/>
      <c r="D132" s="8"/>
      <c r="E132" s="8"/>
      <c r="F132" s="8"/>
      <c r="G132" s="8"/>
      <c r="H132" s="8"/>
      <c r="I132" s="7" t="str">
        <f>IF(C132="","",SUMIFS(Roturas!$D$2:$D$2000,Roturas!$B$2:$B$2000,A132))</f>
        <v/>
      </c>
      <c r="J132" s="7" t="str">
        <f t="shared" si="2"/>
        <v/>
      </c>
      <c r="K132" s="8"/>
      <c r="L132" s="11"/>
      <c r="M132" s="13"/>
    </row>
    <row r="133" spans="1:13" x14ac:dyDescent="0.3">
      <c r="A133" s="7" t="s">
        <v>2716</v>
      </c>
      <c r="B133" s="8" t="s">
        <v>47</v>
      </c>
      <c r="C133" s="8"/>
      <c r="D133" s="8"/>
      <c r="E133" s="8"/>
      <c r="F133" s="8"/>
      <c r="G133" s="8"/>
      <c r="H133" s="8"/>
      <c r="I133" s="7" t="str">
        <f>IF(C133="","",SUMIFS(Roturas!$D$2:$D$2000,Roturas!$B$2:$B$2000,A133))</f>
        <v/>
      </c>
      <c r="J133" s="7" t="str">
        <f t="shared" si="2"/>
        <v/>
      </c>
      <c r="K133" s="8"/>
      <c r="L133" s="11"/>
      <c r="M133" s="13"/>
    </row>
    <row r="134" spans="1:13" x14ac:dyDescent="0.3">
      <c r="A134" s="7" t="s">
        <v>2717</v>
      </c>
      <c r="B134" s="8" t="s">
        <v>47</v>
      </c>
      <c r="C134" s="8"/>
      <c r="D134" s="8"/>
      <c r="E134" s="8"/>
      <c r="F134" s="8"/>
      <c r="G134" s="8"/>
      <c r="H134" s="8"/>
      <c r="I134" s="7" t="str">
        <f>IF(C134="","",SUMIFS(Roturas!$D$2:$D$2000,Roturas!$B$2:$B$2000,A134))</f>
        <v/>
      </c>
      <c r="J134" s="7" t="str">
        <f t="shared" si="2"/>
        <v/>
      </c>
      <c r="K134" s="8"/>
      <c r="L134" s="11"/>
      <c r="M134" s="13"/>
    </row>
    <row r="135" spans="1:13" x14ac:dyDescent="0.3">
      <c r="A135" s="7" t="s">
        <v>2718</v>
      </c>
      <c r="B135" s="8" t="s">
        <v>47</v>
      </c>
      <c r="C135" s="8"/>
      <c r="D135" s="8"/>
      <c r="E135" s="8"/>
      <c r="F135" s="8"/>
      <c r="G135" s="8"/>
      <c r="H135" s="8"/>
      <c r="I135" s="7" t="str">
        <f>IF(C135="","",SUMIFS(Roturas!$D$2:$D$2000,Roturas!$B$2:$B$2000,A135))</f>
        <v/>
      </c>
      <c r="J135" s="7" t="str">
        <f t="shared" si="2"/>
        <v/>
      </c>
      <c r="K135" s="8"/>
      <c r="L135" s="11"/>
      <c r="M135" s="13"/>
    </row>
    <row r="136" spans="1:13" x14ac:dyDescent="0.3">
      <c r="A136" s="7" t="s">
        <v>2719</v>
      </c>
      <c r="B136" s="8" t="s">
        <v>47</v>
      </c>
      <c r="C136" s="8"/>
      <c r="D136" s="8"/>
      <c r="E136" s="8"/>
      <c r="F136" s="8"/>
      <c r="G136" s="8"/>
      <c r="H136" s="8"/>
      <c r="I136" s="7" t="str">
        <f>IF(C136="","",SUMIFS(Roturas!$D$2:$D$2000,Roturas!$B$2:$B$2000,A136))</f>
        <v/>
      </c>
      <c r="J136" s="7" t="str">
        <f t="shared" si="2"/>
        <v/>
      </c>
      <c r="K136" s="8"/>
      <c r="L136" s="11"/>
      <c r="M136" s="13"/>
    </row>
    <row r="137" spans="1:13" x14ac:dyDescent="0.3">
      <c r="A137" s="7" t="s">
        <v>2720</v>
      </c>
      <c r="B137" s="8" t="s">
        <v>47</v>
      </c>
      <c r="C137" s="8"/>
      <c r="D137" s="8"/>
      <c r="E137" s="8"/>
      <c r="F137" s="8"/>
      <c r="G137" s="8"/>
      <c r="H137" s="8"/>
      <c r="I137" s="7" t="str">
        <f>IF(C137="","",SUMIFS(Roturas!$D$2:$D$2000,Roturas!$B$2:$B$2000,A137))</f>
        <v/>
      </c>
      <c r="J137" s="7" t="str">
        <f t="shared" si="2"/>
        <v/>
      </c>
      <c r="K137" s="8"/>
      <c r="L137" s="11"/>
      <c r="M137" s="13"/>
    </row>
    <row r="138" spans="1:13" x14ac:dyDescent="0.3">
      <c r="A138" s="7" t="s">
        <v>2721</v>
      </c>
      <c r="B138" s="8" t="s">
        <v>47</v>
      </c>
      <c r="C138" s="8"/>
      <c r="D138" s="8"/>
      <c r="E138" s="8"/>
      <c r="F138" s="8"/>
      <c r="G138" s="8"/>
      <c r="H138" s="8"/>
      <c r="I138" s="7" t="str">
        <f>IF(C138="","",SUMIFS(Roturas!$D$2:$D$2000,Roturas!$B$2:$B$2000,A138))</f>
        <v/>
      </c>
      <c r="J138" s="7" t="str">
        <f t="shared" si="2"/>
        <v/>
      </c>
      <c r="K138" s="8"/>
      <c r="L138" s="11"/>
      <c r="M138" s="13"/>
    </row>
    <row r="139" spans="1:13" x14ac:dyDescent="0.3">
      <c r="A139" s="7" t="s">
        <v>2722</v>
      </c>
      <c r="B139" s="8" t="s">
        <v>47</v>
      </c>
      <c r="C139" s="8"/>
      <c r="D139" s="8"/>
      <c r="E139" s="8"/>
      <c r="F139" s="8"/>
      <c r="G139" s="8"/>
      <c r="H139" s="8"/>
      <c r="I139" s="7" t="str">
        <f>IF(C139="","",SUMIFS(Roturas!$D$2:$D$2000,Roturas!$B$2:$B$2000,A139))</f>
        <v/>
      </c>
      <c r="J139" s="7" t="str">
        <f t="shared" si="2"/>
        <v/>
      </c>
      <c r="K139" s="8"/>
      <c r="L139" s="11"/>
      <c r="M139" s="13"/>
    </row>
    <row r="140" spans="1:13" x14ac:dyDescent="0.3">
      <c r="A140" s="7" t="s">
        <v>2723</v>
      </c>
      <c r="B140" s="8" t="s">
        <v>47</v>
      </c>
      <c r="C140" s="8"/>
      <c r="D140" s="8"/>
      <c r="E140" s="8"/>
      <c r="F140" s="8"/>
      <c r="G140" s="8"/>
      <c r="H140" s="8"/>
      <c r="I140" s="7" t="str">
        <f>IF(C140="","",SUMIFS(Roturas!$D$2:$D$2000,Roturas!$B$2:$B$2000,A140))</f>
        <v/>
      </c>
      <c r="J140" s="7" t="str">
        <f t="shared" si="2"/>
        <v/>
      </c>
      <c r="K140" s="8"/>
      <c r="L140" s="11"/>
      <c r="M140" s="13"/>
    </row>
    <row r="141" spans="1:13" x14ac:dyDescent="0.3">
      <c r="A141" s="7" t="s">
        <v>2724</v>
      </c>
      <c r="B141" s="8" t="s">
        <v>47</v>
      </c>
      <c r="C141" s="8"/>
      <c r="D141" s="8"/>
      <c r="E141" s="8"/>
      <c r="F141" s="8"/>
      <c r="G141" s="8"/>
      <c r="H141" s="8"/>
      <c r="I141" s="7" t="str">
        <f>IF(C141="","",SUMIFS(Roturas!$D$2:$D$2000,Roturas!$B$2:$B$2000,A141))</f>
        <v/>
      </c>
      <c r="J141" s="7" t="str">
        <f t="shared" si="2"/>
        <v/>
      </c>
      <c r="K141" s="8"/>
      <c r="L141" s="11"/>
      <c r="M141" s="13"/>
    </row>
    <row r="142" spans="1:13" x14ac:dyDescent="0.3">
      <c r="A142" s="7" t="s">
        <v>2725</v>
      </c>
      <c r="B142" s="8" t="s">
        <v>47</v>
      </c>
      <c r="C142" s="8"/>
      <c r="D142" s="8"/>
      <c r="E142" s="8"/>
      <c r="F142" s="8"/>
      <c r="G142" s="8"/>
      <c r="H142" s="8"/>
      <c r="I142" s="7" t="str">
        <f>IF(C142="","",SUMIFS(Roturas!$D$2:$D$2000,Roturas!$B$2:$B$2000,A142))</f>
        <v/>
      </c>
      <c r="J142" s="7" t="str">
        <f t="shared" si="2"/>
        <v/>
      </c>
      <c r="K142" s="8"/>
      <c r="L142" s="11"/>
      <c r="M142" s="13"/>
    </row>
    <row r="143" spans="1:13" x14ac:dyDescent="0.3">
      <c r="A143" s="7" t="s">
        <v>2726</v>
      </c>
      <c r="B143" s="8" t="s">
        <v>47</v>
      </c>
      <c r="C143" s="8"/>
      <c r="D143" s="8"/>
      <c r="E143" s="8"/>
      <c r="F143" s="8"/>
      <c r="G143" s="8"/>
      <c r="H143" s="8"/>
      <c r="I143" s="7" t="str">
        <f>IF(C143="","",SUMIFS(Roturas!$D$2:$D$2000,Roturas!$B$2:$B$2000,A143))</f>
        <v/>
      </c>
      <c r="J143" s="7" t="str">
        <f t="shared" si="2"/>
        <v/>
      </c>
      <c r="K143" s="8"/>
      <c r="L143" s="11"/>
      <c r="M143" s="13"/>
    </row>
    <row r="144" spans="1:13" x14ac:dyDescent="0.3">
      <c r="A144" s="7" t="s">
        <v>2727</v>
      </c>
      <c r="B144" s="8" t="s">
        <v>47</v>
      </c>
      <c r="C144" s="8"/>
      <c r="D144" s="8"/>
      <c r="E144" s="8"/>
      <c r="F144" s="8"/>
      <c r="G144" s="8"/>
      <c r="H144" s="8"/>
      <c r="I144" s="7" t="str">
        <f>IF(C144="","",SUMIFS(Roturas!$D$2:$D$2000,Roturas!$B$2:$B$2000,A144))</f>
        <v/>
      </c>
      <c r="J144" s="7" t="str">
        <f t="shared" si="2"/>
        <v/>
      </c>
      <c r="K144" s="8"/>
      <c r="L144" s="11"/>
      <c r="M144" s="13"/>
    </row>
    <row r="145" spans="1:13" x14ac:dyDescent="0.3">
      <c r="A145" s="7" t="s">
        <v>2728</v>
      </c>
      <c r="B145" s="8" t="s">
        <v>47</v>
      </c>
      <c r="C145" s="8"/>
      <c r="D145" s="8"/>
      <c r="E145" s="8"/>
      <c r="F145" s="8"/>
      <c r="G145" s="8"/>
      <c r="H145" s="8"/>
      <c r="I145" s="7" t="str">
        <f>IF(C145="","",SUMIFS(Roturas!$D$2:$D$2000,Roturas!$B$2:$B$2000,A145))</f>
        <v/>
      </c>
      <c r="J145" s="7" t="str">
        <f t="shared" si="2"/>
        <v/>
      </c>
      <c r="K145" s="8"/>
      <c r="L145" s="11"/>
      <c r="M145" s="13"/>
    </row>
    <row r="146" spans="1:13" x14ac:dyDescent="0.3">
      <c r="A146" s="7" t="s">
        <v>2729</v>
      </c>
      <c r="B146" s="8" t="s">
        <v>47</v>
      </c>
      <c r="C146" s="8"/>
      <c r="D146" s="8"/>
      <c r="E146" s="8"/>
      <c r="F146" s="8"/>
      <c r="G146" s="8"/>
      <c r="H146" s="8"/>
      <c r="I146" s="7" t="str">
        <f>IF(C146="","",SUMIFS(Roturas!$D$2:$D$2000,Roturas!$B$2:$B$2000,A146))</f>
        <v/>
      </c>
      <c r="J146" s="7" t="str">
        <f t="shared" si="2"/>
        <v/>
      </c>
      <c r="K146" s="8"/>
      <c r="L146" s="11"/>
      <c r="M146" s="13"/>
    </row>
    <row r="147" spans="1:13" x14ac:dyDescent="0.3">
      <c r="A147" s="7" t="s">
        <v>2730</v>
      </c>
      <c r="B147" s="8" t="s">
        <v>47</v>
      </c>
      <c r="C147" s="8"/>
      <c r="D147" s="8"/>
      <c r="E147" s="8"/>
      <c r="F147" s="8"/>
      <c r="G147" s="8"/>
      <c r="H147" s="8"/>
      <c r="I147" s="7" t="str">
        <f>IF(C147="","",SUMIFS(Roturas!$D$2:$D$2000,Roturas!$B$2:$B$2000,A147))</f>
        <v/>
      </c>
      <c r="J147" s="7" t="str">
        <f t="shared" si="2"/>
        <v/>
      </c>
      <c r="K147" s="8"/>
      <c r="L147" s="11"/>
      <c r="M147" s="13"/>
    </row>
    <row r="148" spans="1:13" x14ac:dyDescent="0.3">
      <c r="A148" s="7" t="s">
        <v>2731</v>
      </c>
      <c r="B148" s="8" t="s">
        <v>47</v>
      </c>
      <c r="C148" s="8"/>
      <c r="D148" s="8"/>
      <c r="E148" s="8"/>
      <c r="F148" s="8"/>
      <c r="G148" s="8"/>
      <c r="H148" s="8"/>
      <c r="I148" s="7" t="str">
        <f>IF(C148="","",SUMIFS(Roturas!$D$2:$D$2000,Roturas!$B$2:$B$2000,A148))</f>
        <v/>
      </c>
      <c r="J148" s="7" t="str">
        <f t="shared" si="2"/>
        <v/>
      </c>
      <c r="K148" s="8"/>
      <c r="L148" s="11"/>
      <c r="M148" s="13"/>
    </row>
    <row r="149" spans="1:13" x14ac:dyDescent="0.3">
      <c r="A149" s="7" t="s">
        <v>2732</v>
      </c>
      <c r="B149" s="8" t="s">
        <v>47</v>
      </c>
      <c r="C149" s="8"/>
      <c r="D149" s="8"/>
      <c r="E149" s="8"/>
      <c r="F149" s="8"/>
      <c r="G149" s="8"/>
      <c r="H149" s="8"/>
      <c r="I149" s="7" t="str">
        <f>IF(C149="","",SUMIFS(Roturas!$D$2:$D$2000,Roturas!$B$2:$B$2000,A149))</f>
        <v/>
      </c>
      <c r="J149" s="7" t="str">
        <f t="shared" si="2"/>
        <v/>
      </c>
      <c r="K149" s="8"/>
      <c r="L149" s="11"/>
      <c r="M149" s="13"/>
    </row>
    <row r="150" spans="1:13" x14ac:dyDescent="0.3">
      <c r="A150" s="7" t="s">
        <v>2733</v>
      </c>
      <c r="B150" s="8" t="s">
        <v>47</v>
      </c>
      <c r="C150" s="8"/>
      <c r="D150" s="8"/>
      <c r="E150" s="8"/>
      <c r="F150" s="8"/>
      <c r="G150" s="8"/>
      <c r="H150" s="8"/>
      <c r="I150" s="7" t="str">
        <f>IF(C150="","",SUMIFS(Roturas!$D$2:$D$2000,Roturas!$B$2:$B$2000,A150))</f>
        <v/>
      </c>
      <c r="J150" s="7" t="str">
        <f t="shared" si="2"/>
        <v/>
      </c>
      <c r="K150" s="8"/>
      <c r="L150" s="11"/>
      <c r="M150" s="13"/>
    </row>
    <row r="151" spans="1:13" x14ac:dyDescent="0.3">
      <c r="A151" s="7" t="s">
        <v>2734</v>
      </c>
      <c r="B151" s="8" t="s">
        <v>47</v>
      </c>
      <c r="C151" s="8"/>
      <c r="D151" s="8"/>
      <c r="E151" s="8"/>
      <c r="F151" s="8"/>
      <c r="G151" s="8"/>
      <c r="H151" s="8"/>
      <c r="I151" s="7" t="str">
        <f>IF(C151="","",SUMIFS(Roturas!$D$2:$D$2000,Roturas!$B$2:$B$2000,A151))</f>
        <v/>
      </c>
      <c r="J151" s="7" t="str">
        <f t="shared" si="2"/>
        <v/>
      </c>
      <c r="K151" s="8"/>
      <c r="L151" s="11"/>
      <c r="M151" s="13"/>
    </row>
    <row r="152" spans="1:13" x14ac:dyDescent="0.3">
      <c r="A152" s="7" t="s">
        <v>2735</v>
      </c>
      <c r="B152" s="8" t="s">
        <v>47</v>
      </c>
      <c r="C152" s="8"/>
      <c r="D152" s="8"/>
      <c r="E152" s="8"/>
      <c r="F152" s="8"/>
      <c r="G152" s="8"/>
      <c r="H152" s="8"/>
      <c r="I152" s="7" t="str">
        <f>IF(C152="","",SUMIFS(Roturas!$D$2:$D$2000,Roturas!$B$2:$B$2000,A152))</f>
        <v/>
      </c>
      <c r="J152" s="7" t="str">
        <f t="shared" si="2"/>
        <v/>
      </c>
      <c r="K152" s="8"/>
      <c r="L152" s="11"/>
      <c r="M152" s="13"/>
    </row>
    <row r="153" spans="1:13" x14ac:dyDescent="0.3">
      <c r="A153" s="7" t="s">
        <v>2736</v>
      </c>
      <c r="B153" s="8" t="s">
        <v>47</v>
      </c>
      <c r="C153" s="8"/>
      <c r="D153" s="8"/>
      <c r="E153" s="8"/>
      <c r="F153" s="8"/>
      <c r="G153" s="8"/>
      <c r="H153" s="8"/>
      <c r="I153" s="7" t="str">
        <f>IF(C153="","",SUMIFS(Roturas!$D$2:$D$2000,Roturas!$B$2:$B$2000,A153))</f>
        <v/>
      </c>
      <c r="J153" s="7" t="str">
        <f t="shared" si="2"/>
        <v/>
      </c>
      <c r="K153" s="8"/>
      <c r="L153" s="11"/>
      <c r="M153" s="13"/>
    </row>
    <row r="154" spans="1:13" x14ac:dyDescent="0.3">
      <c r="A154" s="7" t="s">
        <v>2737</v>
      </c>
      <c r="B154" s="8" t="s">
        <v>47</v>
      </c>
      <c r="C154" s="8"/>
      <c r="D154" s="8"/>
      <c r="E154" s="8"/>
      <c r="F154" s="8"/>
      <c r="G154" s="8"/>
      <c r="H154" s="8"/>
      <c r="I154" s="7" t="str">
        <f>IF(C154="","",SUMIFS(Roturas!$D$2:$D$2000,Roturas!$B$2:$B$2000,A154))</f>
        <v/>
      </c>
      <c r="J154" s="7" t="str">
        <f t="shared" si="2"/>
        <v/>
      </c>
      <c r="K154" s="8"/>
      <c r="L154" s="11"/>
      <c r="M154" s="13"/>
    </row>
    <row r="155" spans="1:13" x14ac:dyDescent="0.3">
      <c r="A155" s="7" t="s">
        <v>2738</v>
      </c>
      <c r="B155" s="8" t="s">
        <v>47</v>
      </c>
      <c r="C155" s="8"/>
      <c r="D155" s="8"/>
      <c r="E155" s="8"/>
      <c r="F155" s="8"/>
      <c r="G155" s="8"/>
      <c r="H155" s="8"/>
      <c r="I155" s="7" t="str">
        <f>IF(C155="","",SUMIFS(Roturas!$D$2:$D$2000,Roturas!$B$2:$B$2000,A155))</f>
        <v/>
      </c>
      <c r="J155" s="7" t="str">
        <f t="shared" si="2"/>
        <v/>
      </c>
      <c r="K155" s="8"/>
      <c r="L155" s="11"/>
      <c r="M155" s="13"/>
    </row>
    <row r="156" spans="1:13" x14ac:dyDescent="0.3">
      <c r="A156" s="7" t="s">
        <v>2739</v>
      </c>
      <c r="B156" s="8" t="s">
        <v>47</v>
      </c>
      <c r="C156" s="8"/>
      <c r="D156" s="8"/>
      <c r="E156" s="8"/>
      <c r="F156" s="8"/>
      <c r="G156" s="8"/>
      <c r="H156" s="8"/>
      <c r="I156" s="7" t="str">
        <f>IF(C156="","",SUMIFS(Roturas!$D$2:$D$2000,Roturas!$B$2:$B$2000,A156))</f>
        <v/>
      </c>
      <c r="J156" s="7" t="str">
        <f t="shared" si="2"/>
        <v/>
      </c>
      <c r="K156" s="8"/>
      <c r="L156" s="11"/>
      <c r="M156" s="13"/>
    </row>
    <row r="157" spans="1:13" x14ac:dyDescent="0.3">
      <c r="A157" s="7" t="s">
        <v>2740</v>
      </c>
      <c r="B157" s="8" t="s">
        <v>47</v>
      </c>
      <c r="C157" s="8"/>
      <c r="D157" s="8"/>
      <c r="E157" s="8"/>
      <c r="F157" s="8"/>
      <c r="G157" s="8"/>
      <c r="H157" s="8"/>
      <c r="I157" s="7" t="str">
        <f>IF(C157="","",SUMIFS(Roturas!$D$2:$D$2000,Roturas!$B$2:$B$2000,A157))</f>
        <v/>
      </c>
      <c r="J157" s="7" t="str">
        <f t="shared" si="2"/>
        <v/>
      </c>
      <c r="K157" s="8"/>
      <c r="L157" s="11"/>
      <c r="M157" s="13"/>
    </row>
    <row r="158" spans="1:13" x14ac:dyDescent="0.3">
      <c r="A158" s="7" t="s">
        <v>2741</v>
      </c>
      <c r="B158" s="8" t="s">
        <v>47</v>
      </c>
      <c r="C158" s="8"/>
      <c r="D158" s="8"/>
      <c r="E158" s="8"/>
      <c r="F158" s="8"/>
      <c r="G158" s="8"/>
      <c r="H158" s="8"/>
      <c r="I158" s="7" t="str">
        <f>IF(C158="","",SUMIFS(Roturas!$D$2:$D$2000,Roturas!$B$2:$B$2000,A158))</f>
        <v/>
      </c>
      <c r="J158" s="7" t="str">
        <f t="shared" si="2"/>
        <v/>
      </c>
      <c r="K158" s="8"/>
      <c r="L158" s="11"/>
      <c r="M158" s="13"/>
    </row>
    <row r="159" spans="1:13" x14ac:dyDescent="0.3">
      <c r="A159" s="7" t="s">
        <v>2742</v>
      </c>
      <c r="B159" s="8" t="s">
        <v>47</v>
      </c>
      <c r="C159" s="8"/>
      <c r="D159" s="8"/>
      <c r="E159" s="8"/>
      <c r="F159" s="8"/>
      <c r="G159" s="8"/>
      <c r="H159" s="8"/>
      <c r="I159" s="7" t="str">
        <f>IF(C159="","",SUMIFS(Roturas!$D$2:$D$2000,Roturas!$B$2:$B$2000,A159))</f>
        <v/>
      </c>
      <c r="J159" s="7" t="str">
        <f t="shared" si="2"/>
        <v/>
      </c>
      <c r="K159" s="8"/>
      <c r="L159" s="11"/>
      <c r="M159" s="13"/>
    </row>
    <row r="160" spans="1:13" x14ac:dyDescent="0.3">
      <c r="A160" s="7" t="s">
        <v>2743</v>
      </c>
      <c r="B160" s="8" t="s">
        <v>47</v>
      </c>
      <c r="C160" s="8"/>
      <c r="D160" s="8"/>
      <c r="E160" s="8"/>
      <c r="F160" s="8"/>
      <c r="G160" s="8"/>
      <c r="H160" s="8"/>
      <c r="I160" s="7" t="str">
        <f>IF(C160="","",SUMIFS(Roturas!$D$2:$D$2000,Roturas!$B$2:$B$2000,A160))</f>
        <v/>
      </c>
      <c r="J160" s="7" t="str">
        <f t="shared" si="2"/>
        <v/>
      </c>
      <c r="K160" s="8"/>
      <c r="L160" s="11"/>
      <c r="M160" s="13"/>
    </row>
    <row r="161" spans="1:13" x14ac:dyDescent="0.3">
      <c r="A161" s="7" t="s">
        <v>2744</v>
      </c>
      <c r="B161" s="8" t="s">
        <v>47</v>
      </c>
      <c r="C161" s="8"/>
      <c r="D161" s="8"/>
      <c r="E161" s="8"/>
      <c r="F161" s="8"/>
      <c r="G161" s="8"/>
      <c r="H161" s="8"/>
      <c r="I161" s="7" t="str">
        <f>IF(C161="","",SUMIFS(Roturas!$D$2:$D$2000,Roturas!$B$2:$B$2000,A161))</f>
        <v/>
      </c>
      <c r="J161" s="7" t="str">
        <f t="shared" si="2"/>
        <v/>
      </c>
      <c r="K161" s="8"/>
      <c r="L161" s="11"/>
      <c r="M161" s="13"/>
    </row>
    <row r="162" spans="1:13" x14ac:dyDescent="0.3">
      <c r="A162" s="7" t="s">
        <v>2745</v>
      </c>
      <c r="B162" s="8" t="s">
        <v>47</v>
      </c>
      <c r="C162" s="8"/>
      <c r="D162" s="8"/>
      <c r="E162" s="8"/>
      <c r="F162" s="8"/>
      <c r="G162" s="8"/>
      <c r="H162" s="8"/>
      <c r="I162" s="7" t="str">
        <f>IF(C162="","",SUMIFS(Roturas!$D$2:$D$2000,Roturas!$B$2:$B$2000,A162))</f>
        <v/>
      </c>
      <c r="J162" s="7" t="str">
        <f t="shared" si="2"/>
        <v/>
      </c>
      <c r="K162" s="8"/>
      <c r="L162" s="11"/>
      <c r="M162" s="13"/>
    </row>
    <row r="163" spans="1:13" x14ac:dyDescent="0.3">
      <c r="A163" s="7" t="s">
        <v>2746</v>
      </c>
      <c r="B163" s="8" t="s">
        <v>47</v>
      </c>
      <c r="C163" s="8"/>
      <c r="D163" s="8"/>
      <c r="E163" s="8"/>
      <c r="F163" s="8"/>
      <c r="G163" s="8"/>
      <c r="H163" s="8"/>
      <c r="I163" s="7" t="str">
        <f>IF(C163="","",SUMIFS(Roturas!$D$2:$D$2000,Roturas!$B$2:$B$2000,A163))</f>
        <v/>
      </c>
      <c r="J163" s="7" t="str">
        <f t="shared" si="2"/>
        <v/>
      </c>
      <c r="K163" s="8"/>
      <c r="L163" s="11"/>
      <c r="M163" s="13"/>
    </row>
    <row r="164" spans="1:13" x14ac:dyDescent="0.3">
      <c r="A164" s="7" t="s">
        <v>2747</v>
      </c>
      <c r="B164" s="8" t="s">
        <v>47</v>
      </c>
      <c r="C164" s="8"/>
      <c r="D164" s="8"/>
      <c r="E164" s="8"/>
      <c r="F164" s="8"/>
      <c r="G164" s="8"/>
      <c r="H164" s="8"/>
      <c r="I164" s="7" t="str">
        <f>IF(C164="","",SUMIFS(Roturas!$D$2:$D$2000,Roturas!$B$2:$B$2000,A164))</f>
        <v/>
      </c>
      <c r="J164" s="7" t="str">
        <f t="shared" si="2"/>
        <v/>
      </c>
      <c r="K164" s="8"/>
      <c r="L164" s="11"/>
      <c r="M164" s="13"/>
    </row>
    <row r="165" spans="1:13" x14ac:dyDescent="0.3">
      <c r="A165" s="7" t="s">
        <v>2748</v>
      </c>
      <c r="B165" s="8" t="s">
        <v>47</v>
      </c>
      <c r="C165" s="8"/>
      <c r="D165" s="8"/>
      <c r="E165" s="8"/>
      <c r="F165" s="8"/>
      <c r="G165" s="8"/>
      <c r="H165" s="8"/>
      <c r="I165" s="7" t="str">
        <f>IF(C165="","",SUMIFS(Roturas!$D$2:$D$2000,Roturas!$B$2:$B$2000,A165))</f>
        <v/>
      </c>
      <c r="J165" s="7" t="str">
        <f t="shared" si="2"/>
        <v/>
      </c>
      <c r="K165" s="8"/>
      <c r="L165" s="11"/>
      <c r="M165" s="13"/>
    </row>
    <row r="166" spans="1:13" x14ac:dyDescent="0.3">
      <c r="A166" s="7" t="s">
        <v>2749</v>
      </c>
      <c r="B166" s="8" t="s">
        <v>47</v>
      </c>
      <c r="C166" s="8"/>
      <c r="D166" s="8"/>
      <c r="E166" s="8"/>
      <c r="F166" s="8"/>
      <c r="G166" s="8"/>
      <c r="H166" s="8"/>
      <c r="I166" s="7" t="str">
        <f>IF(C166="","",SUMIFS(Roturas!$D$2:$D$2000,Roturas!$B$2:$B$2000,A166))</f>
        <v/>
      </c>
      <c r="J166" s="7" t="str">
        <f t="shared" si="2"/>
        <v/>
      </c>
      <c r="K166" s="8"/>
      <c r="L166" s="11"/>
      <c r="M166" s="13"/>
    </row>
    <row r="167" spans="1:13" x14ac:dyDescent="0.3">
      <c r="A167" s="7" t="s">
        <v>2750</v>
      </c>
      <c r="B167" s="8" t="s">
        <v>47</v>
      </c>
      <c r="C167" s="8"/>
      <c r="D167" s="8"/>
      <c r="E167" s="8"/>
      <c r="F167" s="8"/>
      <c r="G167" s="8"/>
      <c r="H167" s="8"/>
      <c r="I167" s="7" t="str">
        <f>IF(C167="","",SUMIFS(Roturas!$D$2:$D$2000,Roturas!$B$2:$B$2000,A167))</f>
        <v/>
      </c>
      <c r="J167" s="7" t="str">
        <f t="shared" si="2"/>
        <v/>
      </c>
      <c r="K167" s="8"/>
      <c r="L167" s="11"/>
      <c r="M167" s="13"/>
    </row>
    <row r="168" spans="1:13" x14ac:dyDescent="0.3">
      <c r="A168" s="7" t="s">
        <v>2751</v>
      </c>
      <c r="B168" s="8" t="s">
        <v>47</v>
      </c>
      <c r="C168" s="8"/>
      <c r="D168" s="8"/>
      <c r="E168" s="8"/>
      <c r="F168" s="8"/>
      <c r="G168" s="8"/>
      <c r="H168" s="8"/>
      <c r="I168" s="7" t="str">
        <f>IF(C168="","",SUMIFS(Roturas!$D$2:$D$2000,Roturas!$B$2:$B$2000,A168))</f>
        <v/>
      </c>
      <c r="J168" s="7" t="str">
        <f t="shared" si="2"/>
        <v/>
      </c>
      <c r="K168" s="8"/>
      <c r="L168" s="11"/>
      <c r="M168" s="13"/>
    </row>
    <row r="169" spans="1:13" x14ac:dyDescent="0.3">
      <c r="A169" s="7" t="s">
        <v>2752</v>
      </c>
      <c r="B169" s="8" t="s">
        <v>47</v>
      </c>
      <c r="C169" s="8"/>
      <c r="D169" s="8"/>
      <c r="E169" s="8"/>
      <c r="F169" s="8"/>
      <c r="G169" s="8"/>
      <c r="H169" s="8"/>
      <c r="I169" s="7" t="str">
        <f>IF(C169="","",SUMIFS(Roturas!$D$2:$D$2000,Roturas!$B$2:$B$2000,A169))</f>
        <v/>
      </c>
      <c r="J169" s="7" t="str">
        <f t="shared" si="2"/>
        <v/>
      </c>
      <c r="K169" s="8"/>
      <c r="L169" s="11"/>
      <c r="M169" s="13"/>
    </row>
    <row r="170" spans="1:13" x14ac:dyDescent="0.3">
      <c r="A170" s="7" t="s">
        <v>2753</v>
      </c>
      <c r="B170" s="8" t="s">
        <v>47</v>
      </c>
      <c r="C170" s="8"/>
      <c r="D170" s="8"/>
      <c r="E170" s="8"/>
      <c r="F170" s="8"/>
      <c r="G170" s="8"/>
      <c r="H170" s="8"/>
      <c r="I170" s="7" t="str">
        <f>IF(C170="","",SUMIFS(Roturas!$D$2:$D$2000,Roturas!$B$2:$B$2000,A170))</f>
        <v/>
      </c>
      <c r="J170" s="7" t="str">
        <f t="shared" si="2"/>
        <v/>
      </c>
      <c r="K170" s="8"/>
      <c r="L170" s="11"/>
      <c r="M170" s="13"/>
    </row>
    <row r="171" spans="1:13" x14ac:dyDescent="0.3">
      <c r="A171" s="7" t="s">
        <v>2754</v>
      </c>
      <c r="B171" s="8" t="s">
        <v>47</v>
      </c>
      <c r="C171" s="8"/>
      <c r="D171" s="8"/>
      <c r="E171" s="8"/>
      <c r="F171" s="8"/>
      <c r="G171" s="8"/>
      <c r="H171" s="8"/>
      <c r="I171" s="7" t="str">
        <f>IF(C171="","",SUMIFS(Roturas!$D$2:$D$2000,Roturas!$B$2:$B$2000,A171))</f>
        <v/>
      </c>
      <c r="J171" s="7" t="str">
        <f t="shared" si="2"/>
        <v/>
      </c>
      <c r="K171" s="8"/>
      <c r="L171" s="11"/>
      <c r="M171" s="13"/>
    </row>
    <row r="172" spans="1:13" x14ac:dyDescent="0.3">
      <c r="A172" s="7" t="s">
        <v>2755</v>
      </c>
      <c r="B172" s="8" t="s">
        <v>47</v>
      </c>
      <c r="C172" s="8"/>
      <c r="D172" s="8"/>
      <c r="E172" s="8"/>
      <c r="F172" s="8"/>
      <c r="G172" s="8"/>
      <c r="H172" s="8"/>
      <c r="I172" s="7" t="str">
        <f>IF(C172="","",SUMIFS(Roturas!$D$2:$D$2000,Roturas!$B$2:$B$2000,A172))</f>
        <v/>
      </c>
      <c r="J172" s="7" t="str">
        <f t="shared" si="2"/>
        <v/>
      </c>
      <c r="K172" s="8"/>
      <c r="L172" s="11"/>
      <c r="M172" s="13"/>
    </row>
    <row r="173" spans="1:13" x14ac:dyDescent="0.3">
      <c r="A173" s="7" t="s">
        <v>2756</v>
      </c>
      <c r="B173" s="8" t="s">
        <v>47</v>
      </c>
      <c r="C173" s="8"/>
      <c r="D173" s="8"/>
      <c r="E173" s="8"/>
      <c r="F173" s="8"/>
      <c r="G173" s="8"/>
      <c r="H173" s="8"/>
      <c r="I173" s="7" t="str">
        <f>IF(C173="","",SUMIFS(Roturas!$D$2:$D$2000,Roturas!$B$2:$B$2000,A173))</f>
        <v/>
      </c>
      <c r="J173" s="7" t="str">
        <f t="shared" si="2"/>
        <v/>
      </c>
      <c r="K173" s="8"/>
      <c r="L173" s="11"/>
      <c r="M173" s="13"/>
    </row>
    <row r="174" spans="1:13" x14ac:dyDescent="0.3">
      <c r="A174" s="7" t="s">
        <v>2757</v>
      </c>
      <c r="B174" s="8" t="s">
        <v>47</v>
      </c>
      <c r="C174" s="8"/>
      <c r="D174" s="8"/>
      <c r="E174" s="8"/>
      <c r="F174" s="8"/>
      <c r="G174" s="8"/>
      <c r="H174" s="8"/>
      <c r="I174" s="7" t="str">
        <f>IF(C174="","",SUMIFS(Roturas!$D$2:$D$2000,Roturas!$B$2:$B$2000,A174))</f>
        <v/>
      </c>
      <c r="J174" s="7" t="str">
        <f t="shared" si="2"/>
        <v/>
      </c>
      <c r="K174" s="8"/>
      <c r="L174" s="11"/>
      <c r="M174" s="13"/>
    </row>
    <row r="175" spans="1:13" x14ac:dyDescent="0.3">
      <c r="A175" s="7" t="s">
        <v>2758</v>
      </c>
      <c r="B175" s="8" t="s">
        <v>47</v>
      </c>
      <c r="C175" s="8"/>
      <c r="D175" s="8"/>
      <c r="E175" s="8"/>
      <c r="F175" s="8"/>
      <c r="G175" s="8"/>
      <c r="H175" s="8"/>
      <c r="I175" s="7" t="str">
        <f>IF(C175="","",SUMIFS(Roturas!$D$2:$D$2000,Roturas!$B$2:$B$2000,A175))</f>
        <v/>
      </c>
      <c r="J175" s="7" t="str">
        <f t="shared" si="2"/>
        <v/>
      </c>
      <c r="K175" s="8"/>
      <c r="L175" s="11"/>
      <c r="M175" s="13"/>
    </row>
    <row r="176" spans="1:13" x14ac:dyDescent="0.3">
      <c r="A176" s="7" t="s">
        <v>2759</v>
      </c>
      <c r="B176" s="8" t="s">
        <v>47</v>
      </c>
      <c r="C176" s="8"/>
      <c r="D176" s="8"/>
      <c r="E176" s="8"/>
      <c r="F176" s="8"/>
      <c r="G176" s="8"/>
      <c r="H176" s="8"/>
      <c r="I176" s="7" t="str">
        <f>IF(C176="","",SUMIFS(Roturas!$D$2:$D$2000,Roturas!$B$2:$B$2000,A176))</f>
        <v/>
      </c>
      <c r="J176" s="7" t="str">
        <f t="shared" si="2"/>
        <v/>
      </c>
      <c r="K176" s="8"/>
      <c r="L176" s="11"/>
      <c r="M176" s="13"/>
    </row>
    <row r="177" spans="1:13" x14ac:dyDescent="0.3">
      <c r="A177" s="7" t="s">
        <v>2760</v>
      </c>
      <c r="B177" s="8" t="s">
        <v>47</v>
      </c>
      <c r="C177" s="8"/>
      <c r="D177" s="8"/>
      <c r="E177" s="8"/>
      <c r="F177" s="8"/>
      <c r="G177" s="8"/>
      <c r="H177" s="8"/>
      <c r="I177" s="7" t="str">
        <f>IF(C177="","",SUMIFS(Roturas!$D$2:$D$2000,Roturas!$B$2:$B$2000,A177))</f>
        <v/>
      </c>
      <c r="J177" s="7" t="str">
        <f t="shared" si="2"/>
        <v/>
      </c>
      <c r="K177" s="8"/>
      <c r="L177" s="11"/>
      <c r="M177" s="13"/>
    </row>
    <row r="178" spans="1:13" x14ac:dyDescent="0.3">
      <c r="A178" s="7" t="s">
        <v>2761</v>
      </c>
      <c r="B178" s="8" t="s">
        <v>47</v>
      </c>
      <c r="C178" s="8"/>
      <c r="D178" s="8"/>
      <c r="E178" s="8"/>
      <c r="F178" s="8"/>
      <c r="G178" s="8"/>
      <c r="H178" s="8"/>
      <c r="I178" s="7" t="str">
        <f>IF(C178="","",SUMIFS(Roturas!$D$2:$D$2000,Roturas!$B$2:$B$2000,A178))</f>
        <v/>
      </c>
      <c r="J178" s="7" t="str">
        <f t="shared" si="2"/>
        <v/>
      </c>
      <c r="K178" s="8"/>
      <c r="L178" s="11"/>
      <c r="M178" s="13"/>
    </row>
    <row r="179" spans="1:13" x14ac:dyDescent="0.3">
      <c r="A179" s="7" t="s">
        <v>2762</v>
      </c>
      <c r="B179" s="8" t="s">
        <v>47</v>
      </c>
      <c r="C179" s="8"/>
      <c r="D179" s="8"/>
      <c r="E179" s="8"/>
      <c r="F179" s="8"/>
      <c r="G179" s="8"/>
      <c r="H179" s="8"/>
      <c r="I179" s="7" t="str">
        <f>IF(C179="","",SUMIFS(Roturas!$D$2:$D$2000,Roturas!$B$2:$B$2000,A179))</f>
        <v/>
      </c>
      <c r="J179" s="7" t="str">
        <f t="shared" si="2"/>
        <v/>
      </c>
      <c r="K179" s="8"/>
      <c r="L179" s="11"/>
      <c r="M179" s="13"/>
    </row>
    <row r="180" spans="1:13" x14ac:dyDescent="0.3">
      <c r="A180" s="7" t="s">
        <v>2763</v>
      </c>
      <c r="B180" s="8" t="s">
        <v>47</v>
      </c>
      <c r="C180" s="8"/>
      <c r="D180" s="8"/>
      <c r="E180" s="8"/>
      <c r="F180" s="8"/>
      <c r="G180" s="8"/>
      <c r="H180" s="8"/>
      <c r="I180" s="7" t="str">
        <f>IF(C180="","",SUMIFS(Roturas!$D$2:$D$2000,Roturas!$B$2:$B$2000,A180))</f>
        <v/>
      </c>
      <c r="J180" s="7" t="str">
        <f t="shared" si="2"/>
        <v/>
      </c>
      <c r="K180" s="8"/>
      <c r="L180" s="11"/>
      <c r="M180" s="13"/>
    </row>
    <row r="181" spans="1:13" x14ac:dyDescent="0.3">
      <c r="A181" s="7" t="s">
        <v>2764</v>
      </c>
      <c r="B181" s="8" t="s">
        <v>47</v>
      </c>
      <c r="C181" s="8"/>
      <c r="D181" s="8"/>
      <c r="E181" s="8"/>
      <c r="F181" s="8"/>
      <c r="G181" s="8"/>
      <c r="H181" s="8"/>
      <c r="I181" s="7" t="str">
        <f>IF(C181="","",SUMIFS(Roturas!$D$2:$D$2000,Roturas!$B$2:$B$2000,A181))</f>
        <v/>
      </c>
      <c r="J181" s="7" t="str">
        <f t="shared" si="2"/>
        <v/>
      </c>
      <c r="K181" s="8"/>
      <c r="L181" s="11"/>
      <c r="M181" s="13"/>
    </row>
    <row r="182" spans="1:13" x14ac:dyDescent="0.3">
      <c r="A182" s="7" t="s">
        <v>2765</v>
      </c>
      <c r="B182" s="8" t="s">
        <v>47</v>
      </c>
      <c r="C182" s="8"/>
      <c r="D182" s="8"/>
      <c r="E182" s="8"/>
      <c r="F182" s="8"/>
      <c r="G182" s="8"/>
      <c r="H182" s="8"/>
      <c r="I182" s="7" t="str">
        <f>IF(C182="","",SUMIFS(Roturas!$D$2:$D$2000,Roturas!$B$2:$B$2000,A182))</f>
        <v/>
      </c>
      <c r="J182" s="7" t="str">
        <f t="shared" si="2"/>
        <v/>
      </c>
      <c r="K182" s="8"/>
      <c r="L182" s="11"/>
      <c r="M182" s="13"/>
    </row>
    <row r="183" spans="1:13" x14ac:dyDescent="0.3">
      <c r="A183" s="7" t="s">
        <v>2766</v>
      </c>
      <c r="B183" s="8" t="s">
        <v>47</v>
      </c>
      <c r="C183" s="8"/>
      <c r="D183" s="8"/>
      <c r="E183" s="8"/>
      <c r="F183" s="8"/>
      <c r="G183" s="8"/>
      <c r="H183" s="8"/>
      <c r="I183" s="7" t="str">
        <f>IF(C183="","",SUMIFS(Roturas!$D$2:$D$2000,Roturas!$B$2:$B$2000,A183))</f>
        <v/>
      </c>
      <c r="J183" s="7" t="str">
        <f t="shared" si="2"/>
        <v/>
      </c>
      <c r="K183" s="8"/>
      <c r="L183" s="11"/>
      <c r="M183" s="13"/>
    </row>
    <row r="184" spans="1:13" x14ac:dyDescent="0.3">
      <c r="A184" s="7" t="s">
        <v>2767</v>
      </c>
      <c r="B184" s="8" t="s">
        <v>47</v>
      </c>
      <c r="C184" s="8"/>
      <c r="D184" s="8"/>
      <c r="E184" s="8"/>
      <c r="F184" s="8"/>
      <c r="G184" s="8"/>
      <c r="H184" s="8"/>
      <c r="I184" s="7" t="str">
        <f>IF(C184="","",SUMIFS(Roturas!$D$2:$D$2000,Roturas!$B$2:$B$2000,A184))</f>
        <v/>
      </c>
      <c r="J184" s="7" t="str">
        <f t="shared" si="2"/>
        <v/>
      </c>
      <c r="K184" s="8"/>
      <c r="L184" s="11"/>
      <c r="M184" s="13"/>
    </row>
    <row r="185" spans="1:13" x14ac:dyDescent="0.3">
      <c r="A185" s="7" t="s">
        <v>2768</v>
      </c>
      <c r="B185" s="8" t="s">
        <v>47</v>
      </c>
      <c r="C185" s="8"/>
      <c r="D185" s="8"/>
      <c r="E185" s="8"/>
      <c r="F185" s="8"/>
      <c r="G185" s="8"/>
      <c r="H185" s="8"/>
      <c r="I185" s="7" t="str">
        <f>IF(C185="","",SUMIFS(Roturas!$D$2:$D$2000,Roturas!$B$2:$B$2000,A185))</f>
        <v/>
      </c>
      <c r="J185" s="7" t="str">
        <f t="shared" si="2"/>
        <v/>
      </c>
      <c r="K185" s="8"/>
      <c r="L185" s="11"/>
      <c r="M185" s="13"/>
    </row>
    <row r="186" spans="1:13" x14ac:dyDescent="0.3">
      <c r="A186" s="7" t="s">
        <v>2769</v>
      </c>
      <c r="B186" s="8" t="s">
        <v>47</v>
      </c>
      <c r="C186" s="8"/>
      <c r="D186" s="8"/>
      <c r="E186" s="8"/>
      <c r="F186" s="8"/>
      <c r="G186" s="8"/>
      <c r="H186" s="8"/>
      <c r="I186" s="7" t="str">
        <f>IF(C186="","",SUMIFS(Roturas!$D$2:$D$2000,Roturas!$B$2:$B$2000,A186))</f>
        <v/>
      </c>
      <c r="J186" s="7" t="str">
        <f t="shared" si="2"/>
        <v/>
      </c>
      <c r="K186" s="8"/>
      <c r="L186" s="11"/>
      <c r="M186" s="13"/>
    </row>
    <row r="187" spans="1:13" x14ac:dyDescent="0.3">
      <c r="A187" s="7" t="s">
        <v>2770</v>
      </c>
      <c r="B187" s="8" t="s">
        <v>47</v>
      </c>
      <c r="C187" s="8"/>
      <c r="D187" s="8"/>
      <c r="E187" s="8"/>
      <c r="F187" s="8"/>
      <c r="G187" s="8"/>
      <c r="H187" s="8"/>
      <c r="I187" s="7" t="str">
        <f>IF(C187="","",SUMIFS(Roturas!$D$2:$D$2000,Roturas!$B$2:$B$2000,A187))</f>
        <v/>
      </c>
      <c r="J187" s="7" t="str">
        <f t="shared" si="2"/>
        <v/>
      </c>
      <c r="K187" s="8"/>
      <c r="L187" s="11"/>
      <c r="M187" s="13"/>
    </row>
    <row r="188" spans="1:13" x14ac:dyDescent="0.3">
      <c r="A188" s="7" t="s">
        <v>2771</v>
      </c>
      <c r="B188" s="8" t="s">
        <v>47</v>
      </c>
      <c r="C188" s="8"/>
      <c r="D188" s="8"/>
      <c r="E188" s="8"/>
      <c r="F188" s="8"/>
      <c r="G188" s="8"/>
      <c r="H188" s="8"/>
      <c r="I188" s="7" t="str">
        <f>IF(C188="","",SUMIFS(Roturas!$D$2:$D$2000,Roturas!$B$2:$B$2000,A188))</f>
        <v/>
      </c>
      <c r="J188" s="7" t="str">
        <f t="shared" si="2"/>
        <v/>
      </c>
      <c r="K188" s="8"/>
      <c r="L188" s="11"/>
      <c r="M188" s="13"/>
    </row>
    <row r="189" spans="1:13" x14ac:dyDescent="0.3">
      <c r="A189" s="7" t="s">
        <v>2772</v>
      </c>
      <c r="B189" s="8" t="s">
        <v>47</v>
      </c>
      <c r="C189" s="8"/>
      <c r="D189" s="8"/>
      <c r="E189" s="8"/>
      <c r="F189" s="8"/>
      <c r="G189" s="8"/>
      <c r="H189" s="8"/>
      <c r="I189" s="7" t="str">
        <f>IF(C189="","",SUMIFS(Roturas!$D$2:$D$2000,Roturas!$B$2:$B$2000,A189))</f>
        <v/>
      </c>
      <c r="J189" s="7" t="str">
        <f t="shared" si="2"/>
        <v/>
      </c>
      <c r="K189" s="8"/>
      <c r="L189" s="11"/>
      <c r="M189" s="13"/>
    </row>
    <row r="190" spans="1:13" x14ac:dyDescent="0.3">
      <c r="A190" s="7" t="s">
        <v>2773</v>
      </c>
      <c r="B190" s="8" t="s">
        <v>47</v>
      </c>
      <c r="C190" s="8"/>
      <c r="D190" s="8"/>
      <c r="E190" s="8"/>
      <c r="F190" s="8"/>
      <c r="G190" s="8"/>
      <c r="H190" s="8"/>
      <c r="I190" s="7" t="str">
        <f>IF(C190="","",SUMIFS(Roturas!$D$2:$D$2000,Roturas!$B$2:$B$2000,A190))</f>
        <v/>
      </c>
      <c r="J190" s="7" t="str">
        <f t="shared" si="2"/>
        <v/>
      </c>
      <c r="K190" s="8"/>
      <c r="L190" s="11"/>
      <c r="M190" s="13"/>
    </row>
    <row r="191" spans="1:13" x14ac:dyDescent="0.3">
      <c r="A191" s="7" t="s">
        <v>2774</v>
      </c>
      <c r="B191" s="8" t="s">
        <v>47</v>
      </c>
      <c r="C191" s="8"/>
      <c r="D191" s="8"/>
      <c r="E191" s="8"/>
      <c r="F191" s="8"/>
      <c r="G191" s="8"/>
      <c r="H191" s="8"/>
      <c r="I191" s="7" t="str">
        <f>IF(C191="","",SUMIFS(Roturas!$D$2:$D$2000,Roturas!$B$2:$B$2000,A191))</f>
        <v/>
      </c>
      <c r="J191" s="7" t="str">
        <f t="shared" si="2"/>
        <v/>
      </c>
      <c r="K191" s="8"/>
      <c r="L191" s="11"/>
      <c r="M191" s="13"/>
    </row>
    <row r="192" spans="1:13" x14ac:dyDescent="0.3">
      <c r="A192" s="7" t="s">
        <v>2775</v>
      </c>
      <c r="B192" s="8" t="s">
        <v>47</v>
      </c>
      <c r="C192" s="8"/>
      <c r="D192" s="8"/>
      <c r="E192" s="8"/>
      <c r="F192" s="8"/>
      <c r="G192" s="8"/>
      <c r="H192" s="8"/>
      <c r="I192" s="7" t="str">
        <f>IF(C192="","",SUMIFS(Roturas!$D$2:$D$2000,Roturas!$B$2:$B$2000,A192))</f>
        <v/>
      </c>
      <c r="J192" s="7" t="str">
        <f t="shared" si="2"/>
        <v/>
      </c>
      <c r="K192" s="8"/>
      <c r="L192" s="11"/>
      <c r="M192" s="13"/>
    </row>
    <row r="193" spans="1:13" x14ac:dyDescent="0.3">
      <c r="A193" s="7" t="s">
        <v>2776</v>
      </c>
      <c r="B193" s="8" t="s">
        <v>47</v>
      </c>
      <c r="C193" s="8"/>
      <c r="D193" s="8"/>
      <c r="E193" s="8"/>
      <c r="F193" s="8"/>
      <c r="G193" s="8"/>
      <c r="H193" s="8"/>
      <c r="I193" s="7" t="str">
        <f>IF(C193="","",SUMIFS(Roturas!$D$2:$D$2000,Roturas!$B$2:$B$2000,A193))</f>
        <v/>
      </c>
      <c r="J193" s="7" t="str">
        <f t="shared" si="2"/>
        <v/>
      </c>
      <c r="K193" s="8"/>
      <c r="L193" s="11"/>
      <c r="M193" s="13"/>
    </row>
    <row r="194" spans="1:13" x14ac:dyDescent="0.3">
      <c r="A194" s="7" t="s">
        <v>2777</v>
      </c>
      <c r="B194" s="8" t="s">
        <v>47</v>
      </c>
      <c r="C194" s="8"/>
      <c r="D194" s="8"/>
      <c r="E194" s="8"/>
      <c r="F194" s="8"/>
      <c r="G194" s="8"/>
      <c r="H194" s="8"/>
      <c r="I194" s="7" t="str">
        <f>IF(C194="","",SUMIFS(Roturas!$D$2:$D$2000,Roturas!$B$2:$B$2000,A194))</f>
        <v/>
      </c>
      <c r="J194" s="7" t="str">
        <f t="shared" ref="J194:J257" si="3">IF(C194="","",N(F194)+N(G194)-I194)</f>
        <v/>
      </c>
      <c r="K194" s="8"/>
      <c r="L194" s="11"/>
      <c r="M194" s="13"/>
    </row>
    <row r="195" spans="1:13" x14ac:dyDescent="0.3">
      <c r="A195" s="7" t="s">
        <v>2778</v>
      </c>
      <c r="B195" s="8" t="s">
        <v>47</v>
      </c>
      <c r="C195" s="8"/>
      <c r="D195" s="8"/>
      <c r="E195" s="8"/>
      <c r="F195" s="8"/>
      <c r="G195" s="8"/>
      <c r="H195" s="8"/>
      <c r="I195" s="7" t="str">
        <f>IF(C195="","",SUMIFS(Roturas!$D$2:$D$2000,Roturas!$B$2:$B$2000,A195))</f>
        <v/>
      </c>
      <c r="J195" s="7" t="str">
        <f t="shared" si="3"/>
        <v/>
      </c>
      <c r="K195" s="8"/>
      <c r="L195" s="11"/>
      <c r="M195" s="13"/>
    </row>
    <row r="196" spans="1:13" x14ac:dyDescent="0.3">
      <c r="A196" s="7" t="s">
        <v>2779</v>
      </c>
      <c r="B196" s="8" t="s">
        <v>47</v>
      </c>
      <c r="C196" s="8"/>
      <c r="D196" s="8"/>
      <c r="E196" s="8"/>
      <c r="F196" s="8"/>
      <c r="G196" s="8"/>
      <c r="H196" s="8"/>
      <c r="I196" s="7" t="str">
        <f>IF(C196="","",SUMIFS(Roturas!$D$2:$D$2000,Roturas!$B$2:$B$2000,A196))</f>
        <v/>
      </c>
      <c r="J196" s="7" t="str">
        <f t="shared" si="3"/>
        <v/>
      </c>
      <c r="K196" s="8"/>
      <c r="L196" s="11"/>
      <c r="M196" s="13"/>
    </row>
    <row r="197" spans="1:13" x14ac:dyDescent="0.3">
      <c r="A197" s="7" t="s">
        <v>2780</v>
      </c>
      <c r="B197" s="8" t="s">
        <v>47</v>
      </c>
      <c r="C197" s="8"/>
      <c r="D197" s="8"/>
      <c r="E197" s="8"/>
      <c r="F197" s="8"/>
      <c r="G197" s="8"/>
      <c r="H197" s="8"/>
      <c r="I197" s="7" t="str">
        <f>IF(C197="","",SUMIFS(Roturas!$D$2:$D$2000,Roturas!$B$2:$B$2000,A197))</f>
        <v/>
      </c>
      <c r="J197" s="7" t="str">
        <f t="shared" si="3"/>
        <v/>
      </c>
      <c r="K197" s="8"/>
      <c r="L197" s="11"/>
      <c r="M197" s="13"/>
    </row>
    <row r="198" spans="1:13" x14ac:dyDescent="0.3">
      <c r="A198" s="7" t="s">
        <v>2781</v>
      </c>
      <c r="B198" s="8" t="s">
        <v>47</v>
      </c>
      <c r="C198" s="8"/>
      <c r="D198" s="8"/>
      <c r="E198" s="8"/>
      <c r="F198" s="8"/>
      <c r="G198" s="8"/>
      <c r="H198" s="8"/>
      <c r="I198" s="7" t="str">
        <f>IF(C198="","",SUMIFS(Roturas!$D$2:$D$2000,Roturas!$B$2:$B$2000,A198))</f>
        <v/>
      </c>
      <c r="J198" s="7" t="str">
        <f t="shared" si="3"/>
        <v/>
      </c>
      <c r="K198" s="8"/>
      <c r="L198" s="11"/>
      <c r="M198" s="13"/>
    </row>
    <row r="199" spans="1:13" x14ac:dyDescent="0.3">
      <c r="A199" s="7" t="s">
        <v>2782</v>
      </c>
      <c r="B199" s="8" t="s">
        <v>47</v>
      </c>
      <c r="C199" s="8"/>
      <c r="D199" s="8"/>
      <c r="E199" s="8"/>
      <c r="F199" s="8"/>
      <c r="G199" s="8"/>
      <c r="H199" s="8"/>
      <c r="I199" s="7" t="str">
        <f>IF(C199="","",SUMIFS(Roturas!$D$2:$D$2000,Roturas!$B$2:$B$2000,A199))</f>
        <v/>
      </c>
      <c r="J199" s="7" t="str">
        <f t="shared" si="3"/>
        <v/>
      </c>
      <c r="K199" s="8"/>
      <c r="L199" s="11"/>
      <c r="M199" s="13"/>
    </row>
    <row r="200" spans="1:13" x14ac:dyDescent="0.3">
      <c r="A200" s="7" t="s">
        <v>2783</v>
      </c>
      <c r="B200" s="8" t="s">
        <v>47</v>
      </c>
      <c r="C200" s="8"/>
      <c r="D200" s="8"/>
      <c r="E200" s="8"/>
      <c r="F200" s="8"/>
      <c r="G200" s="8"/>
      <c r="H200" s="8"/>
      <c r="I200" s="7" t="str">
        <f>IF(C200="","",SUMIFS(Roturas!$D$2:$D$2000,Roturas!$B$2:$B$2000,A200))</f>
        <v/>
      </c>
      <c r="J200" s="7" t="str">
        <f t="shared" si="3"/>
        <v/>
      </c>
      <c r="K200" s="8"/>
      <c r="L200" s="11"/>
      <c r="M200" s="13"/>
    </row>
    <row r="201" spans="1:13" x14ac:dyDescent="0.3">
      <c r="A201" s="7" t="s">
        <v>2784</v>
      </c>
      <c r="B201" s="8" t="s">
        <v>47</v>
      </c>
      <c r="C201" s="8"/>
      <c r="D201" s="8"/>
      <c r="E201" s="8"/>
      <c r="F201" s="8"/>
      <c r="G201" s="8"/>
      <c r="H201" s="8"/>
      <c r="I201" s="7" t="str">
        <f>IF(C201="","",SUMIFS(Roturas!$D$2:$D$2000,Roturas!$B$2:$B$2000,A201))</f>
        <v/>
      </c>
      <c r="J201" s="7" t="str">
        <f t="shared" si="3"/>
        <v/>
      </c>
      <c r="K201" s="8"/>
      <c r="L201" s="11"/>
      <c r="M201" s="13"/>
    </row>
    <row r="202" spans="1:13" x14ac:dyDescent="0.3">
      <c r="A202" s="7" t="s">
        <v>2785</v>
      </c>
      <c r="B202" s="8" t="s">
        <v>47</v>
      </c>
      <c r="C202" s="8"/>
      <c r="D202" s="8"/>
      <c r="E202" s="8"/>
      <c r="F202" s="8"/>
      <c r="G202" s="8"/>
      <c r="H202" s="8"/>
      <c r="I202" s="7" t="str">
        <f>IF(C202="","",SUMIFS(Roturas!$D$2:$D$2000,Roturas!$B$2:$B$2000,A202))</f>
        <v/>
      </c>
      <c r="J202" s="7" t="str">
        <f t="shared" si="3"/>
        <v/>
      </c>
      <c r="K202" s="8"/>
      <c r="L202" s="11"/>
      <c r="M202" s="13"/>
    </row>
    <row r="203" spans="1:13" x14ac:dyDescent="0.3">
      <c r="A203" s="7" t="s">
        <v>2786</v>
      </c>
      <c r="B203" s="8" t="s">
        <v>47</v>
      </c>
      <c r="C203" s="8"/>
      <c r="D203" s="8"/>
      <c r="E203" s="8"/>
      <c r="F203" s="8"/>
      <c r="G203" s="8"/>
      <c r="H203" s="8"/>
      <c r="I203" s="7" t="str">
        <f>IF(C203="","",SUMIFS(Roturas!$D$2:$D$2000,Roturas!$B$2:$B$2000,A203))</f>
        <v/>
      </c>
      <c r="J203" s="7" t="str">
        <f t="shared" si="3"/>
        <v/>
      </c>
      <c r="K203" s="8"/>
      <c r="L203" s="11"/>
      <c r="M203" s="13"/>
    </row>
    <row r="204" spans="1:13" x14ac:dyDescent="0.3">
      <c r="A204" s="7" t="s">
        <v>2787</v>
      </c>
      <c r="B204" s="8" t="s">
        <v>47</v>
      </c>
      <c r="C204" s="8"/>
      <c r="D204" s="8"/>
      <c r="E204" s="8"/>
      <c r="F204" s="8"/>
      <c r="G204" s="8"/>
      <c r="H204" s="8"/>
      <c r="I204" s="7" t="str">
        <f>IF(C204="","",SUMIFS(Roturas!$D$2:$D$2000,Roturas!$B$2:$B$2000,A204))</f>
        <v/>
      </c>
      <c r="J204" s="7" t="str">
        <f t="shared" si="3"/>
        <v/>
      </c>
      <c r="K204" s="8"/>
      <c r="L204" s="11"/>
      <c r="M204" s="13"/>
    </row>
    <row r="205" spans="1:13" x14ac:dyDescent="0.3">
      <c r="A205" s="7" t="s">
        <v>2788</v>
      </c>
      <c r="B205" s="8" t="s">
        <v>47</v>
      </c>
      <c r="C205" s="8"/>
      <c r="D205" s="8"/>
      <c r="E205" s="8"/>
      <c r="F205" s="8"/>
      <c r="G205" s="8"/>
      <c r="H205" s="8"/>
      <c r="I205" s="7" t="str">
        <f>IF(C205="","",SUMIFS(Roturas!$D$2:$D$2000,Roturas!$B$2:$B$2000,A205))</f>
        <v/>
      </c>
      <c r="J205" s="7" t="str">
        <f t="shared" si="3"/>
        <v/>
      </c>
      <c r="K205" s="8"/>
      <c r="L205" s="11"/>
      <c r="M205" s="13"/>
    </row>
    <row r="206" spans="1:13" x14ac:dyDescent="0.3">
      <c r="A206" s="7" t="s">
        <v>2789</v>
      </c>
      <c r="B206" s="8" t="s">
        <v>47</v>
      </c>
      <c r="C206" s="8"/>
      <c r="D206" s="8"/>
      <c r="E206" s="8"/>
      <c r="F206" s="8"/>
      <c r="G206" s="8"/>
      <c r="H206" s="8"/>
      <c r="I206" s="7" t="str">
        <f>IF(C206="","",SUMIFS(Roturas!$D$2:$D$2000,Roturas!$B$2:$B$2000,A206))</f>
        <v/>
      </c>
      <c r="J206" s="7" t="str">
        <f t="shared" si="3"/>
        <v/>
      </c>
      <c r="K206" s="8"/>
      <c r="L206" s="11"/>
      <c r="M206" s="13"/>
    </row>
    <row r="207" spans="1:13" x14ac:dyDescent="0.3">
      <c r="A207" s="7" t="s">
        <v>2790</v>
      </c>
      <c r="B207" s="8" t="s">
        <v>47</v>
      </c>
      <c r="C207" s="8"/>
      <c r="D207" s="8"/>
      <c r="E207" s="8"/>
      <c r="F207" s="8"/>
      <c r="G207" s="8"/>
      <c r="H207" s="8"/>
      <c r="I207" s="7" t="str">
        <f>IF(C207="","",SUMIFS(Roturas!$D$2:$D$2000,Roturas!$B$2:$B$2000,A207))</f>
        <v/>
      </c>
      <c r="J207" s="7" t="str">
        <f t="shared" si="3"/>
        <v/>
      </c>
      <c r="K207" s="8"/>
      <c r="L207" s="11"/>
      <c r="M207" s="13"/>
    </row>
    <row r="208" spans="1:13" x14ac:dyDescent="0.3">
      <c r="A208" s="7" t="s">
        <v>2791</v>
      </c>
      <c r="B208" s="8" t="s">
        <v>47</v>
      </c>
      <c r="C208" s="8"/>
      <c r="D208" s="8"/>
      <c r="E208" s="8"/>
      <c r="F208" s="8"/>
      <c r="G208" s="8"/>
      <c r="H208" s="8"/>
      <c r="I208" s="7" t="str">
        <f>IF(C208="","",SUMIFS(Roturas!$D$2:$D$2000,Roturas!$B$2:$B$2000,A208))</f>
        <v/>
      </c>
      <c r="J208" s="7" t="str">
        <f t="shared" si="3"/>
        <v/>
      </c>
      <c r="K208" s="8"/>
      <c r="L208" s="11"/>
      <c r="M208" s="13"/>
    </row>
    <row r="209" spans="1:13" x14ac:dyDescent="0.3">
      <c r="A209" s="7" t="s">
        <v>2792</v>
      </c>
      <c r="B209" s="8" t="s">
        <v>47</v>
      </c>
      <c r="C209" s="8"/>
      <c r="D209" s="8"/>
      <c r="E209" s="8"/>
      <c r="F209" s="8"/>
      <c r="G209" s="8"/>
      <c r="H209" s="8"/>
      <c r="I209" s="7" t="str">
        <f>IF(C209="","",SUMIFS(Roturas!$D$2:$D$2000,Roturas!$B$2:$B$2000,A209))</f>
        <v/>
      </c>
      <c r="J209" s="7" t="str">
        <f t="shared" si="3"/>
        <v/>
      </c>
      <c r="K209" s="8"/>
      <c r="L209" s="11"/>
      <c r="M209" s="13"/>
    </row>
    <row r="210" spans="1:13" x14ac:dyDescent="0.3">
      <c r="A210" s="7" t="s">
        <v>2793</v>
      </c>
      <c r="B210" s="8" t="s">
        <v>47</v>
      </c>
      <c r="C210" s="8"/>
      <c r="D210" s="8"/>
      <c r="E210" s="8"/>
      <c r="F210" s="8"/>
      <c r="G210" s="8"/>
      <c r="H210" s="8"/>
      <c r="I210" s="7" t="str">
        <f>IF(C210="","",SUMIFS(Roturas!$D$2:$D$2000,Roturas!$B$2:$B$2000,A210))</f>
        <v/>
      </c>
      <c r="J210" s="7" t="str">
        <f t="shared" si="3"/>
        <v/>
      </c>
      <c r="K210" s="8"/>
      <c r="L210" s="11"/>
      <c r="M210" s="13"/>
    </row>
    <row r="211" spans="1:13" x14ac:dyDescent="0.3">
      <c r="A211" s="7" t="s">
        <v>2794</v>
      </c>
      <c r="B211" s="8" t="s">
        <v>47</v>
      </c>
      <c r="C211" s="8"/>
      <c r="D211" s="8"/>
      <c r="E211" s="8"/>
      <c r="F211" s="8"/>
      <c r="G211" s="8"/>
      <c r="H211" s="8"/>
      <c r="I211" s="7" t="str">
        <f>IF(C211="","",SUMIFS(Roturas!$D$2:$D$2000,Roturas!$B$2:$B$2000,A211))</f>
        <v/>
      </c>
      <c r="J211" s="7" t="str">
        <f t="shared" si="3"/>
        <v/>
      </c>
      <c r="K211" s="8"/>
      <c r="L211" s="11"/>
      <c r="M211" s="13"/>
    </row>
    <row r="212" spans="1:13" x14ac:dyDescent="0.3">
      <c r="A212" s="7" t="s">
        <v>2795</v>
      </c>
      <c r="B212" s="8" t="s">
        <v>47</v>
      </c>
      <c r="C212" s="8"/>
      <c r="D212" s="8"/>
      <c r="E212" s="8"/>
      <c r="F212" s="8"/>
      <c r="G212" s="8"/>
      <c r="H212" s="8"/>
      <c r="I212" s="7" t="str">
        <f>IF(C212="","",SUMIFS(Roturas!$D$2:$D$2000,Roturas!$B$2:$B$2000,A212))</f>
        <v/>
      </c>
      <c r="J212" s="7" t="str">
        <f t="shared" si="3"/>
        <v/>
      </c>
      <c r="K212" s="8"/>
      <c r="L212" s="11"/>
      <c r="M212" s="13"/>
    </row>
    <row r="213" spans="1:13" x14ac:dyDescent="0.3">
      <c r="A213" s="7" t="s">
        <v>2796</v>
      </c>
      <c r="B213" s="8" t="s">
        <v>47</v>
      </c>
      <c r="C213" s="8"/>
      <c r="D213" s="8"/>
      <c r="E213" s="8"/>
      <c r="F213" s="8"/>
      <c r="G213" s="8"/>
      <c r="H213" s="8"/>
      <c r="I213" s="7" t="str">
        <f>IF(C213="","",SUMIFS(Roturas!$D$2:$D$2000,Roturas!$B$2:$B$2000,A213))</f>
        <v/>
      </c>
      <c r="J213" s="7" t="str">
        <f t="shared" si="3"/>
        <v/>
      </c>
      <c r="K213" s="8"/>
      <c r="L213" s="11"/>
      <c r="M213" s="13"/>
    </row>
    <row r="214" spans="1:13" x14ac:dyDescent="0.3">
      <c r="A214" s="7" t="s">
        <v>2797</v>
      </c>
      <c r="B214" s="8" t="s">
        <v>47</v>
      </c>
      <c r="C214" s="8"/>
      <c r="D214" s="8"/>
      <c r="E214" s="8"/>
      <c r="F214" s="8"/>
      <c r="G214" s="8"/>
      <c r="H214" s="8"/>
      <c r="I214" s="7" t="str">
        <f>IF(C214="","",SUMIFS(Roturas!$D$2:$D$2000,Roturas!$B$2:$B$2000,A214))</f>
        <v/>
      </c>
      <c r="J214" s="7" t="str">
        <f t="shared" si="3"/>
        <v/>
      </c>
      <c r="K214" s="8"/>
      <c r="L214" s="11"/>
      <c r="M214" s="13"/>
    </row>
    <row r="215" spans="1:13" x14ac:dyDescent="0.3">
      <c r="A215" s="7" t="s">
        <v>2798</v>
      </c>
      <c r="B215" s="8" t="s">
        <v>47</v>
      </c>
      <c r="C215" s="8"/>
      <c r="D215" s="8"/>
      <c r="E215" s="8"/>
      <c r="F215" s="8"/>
      <c r="G215" s="8"/>
      <c r="H215" s="8"/>
      <c r="I215" s="7" t="str">
        <f>IF(C215="","",SUMIFS(Roturas!$D$2:$D$2000,Roturas!$B$2:$B$2000,A215))</f>
        <v/>
      </c>
      <c r="J215" s="7" t="str">
        <f t="shared" si="3"/>
        <v/>
      </c>
      <c r="K215" s="8"/>
      <c r="L215" s="11"/>
      <c r="M215" s="13"/>
    </row>
    <row r="216" spans="1:13" x14ac:dyDescent="0.3">
      <c r="A216" s="7" t="s">
        <v>2799</v>
      </c>
      <c r="B216" s="8" t="s">
        <v>47</v>
      </c>
      <c r="C216" s="8"/>
      <c r="D216" s="8"/>
      <c r="E216" s="8"/>
      <c r="F216" s="8"/>
      <c r="G216" s="8"/>
      <c r="H216" s="8"/>
      <c r="I216" s="7" t="str">
        <f>IF(C216="","",SUMIFS(Roturas!$D$2:$D$2000,Roturas!$B$2:$B$2000,A216))</f>
        <v/>
      </c>
      <c r="J216" s="7" t="str">
        <f t="shared" si="3"/>
        <v/>
      </c>
      <c r="K216" s="8"/>
      <c r="L216" s="11"/>
      <c r="M216" s="13"/>
    </row>
    <row r="217" spans="1:13" x14ac:dyDescent="0.3">
      <c r="A217" s="7" t="s">
        <v>2800</v>
      </c>
      <c r="B217" s="8" t="s">
        <v>47</v>
      </c>
      <c r="C217" s="8"/>
      <c r="D217" s="8"/>
      <c r="E217" s="8"/>
      <c r="F217" s="8"/>
      <c r="G217" s="8"/>
      <c r="H217" s="8"/>
      <c r="I217" s="7" t="str">
        <f>IF(C217="","",SUMIFS(Roturas!$D$2:$D$2000,Roturas!$B$2:$B$2000,A217))</f>
        <v/>
      </c>
      <c r="J217" s="7" t="str">
        <f t="shared" si="3"/>
        <v/>
      </c>
      <c r="K217" s="8"/>
      <c r="L217" s="11"/>
      <c r="M217" s="13"/>
    </row>
    <row r="218" spans="1:13" x14ac:dyDescent="0.3">
      <c r="A218" s="7" t="s">
        <v>2801</v>
      </c>
      <c r="B218" s="8" t="s">
        <v>47</v>
      </c>
      <c r="C218" s="8"/>
      <c r="D218" s="8"/>
      <c r="E218" s="8"/>
      <c r="F218" s="8"/>
      <c r="G218" s="8"/>
      <c r="H218" s="8"/>
      <c r="I218" s="7" t="str">
        <f>IF(C218="","",SUMIFS(Roturas!$D$2:$D$2000,Roturas!$B$2:$B$2000,A218))</f>
        <v/>
      </c>
      <c r="J218" s="7" t="str">
        <f t="shared" si="3"/>
        <v/>
      </c>
      <c r="K218" s="8"/>
      <c r="L218" s="11"/>
      <c r="M218" s="13"/>
    </row>
    <row r="219" spans="1:13" x14ac:dyDescent="0.3">
      <c r="A219" s="7" t="s">
        <v>2802</v>
      </c>
      <c r="B219" s="8" t="s">
        <v>47</v>
      </c>
      <c r="C219" s="8"/>
      <c r="D219" s="8"/>
      <c r="E219" s="8"/>
      <c r="F219" s="8"/>
      <c r="G219" s="8"/>
      <c r="H219" s="8"/>
      <c r="I219" s="7" t="str">
        <f>IF(C219="","",SUMIFS(Roturas!$D$2:$D$2000,Roturas!$B$2:$B$2000,A219))</f>
        <v/>
      </c>
      <c r="J219" s="7" t="str">
        <f t="shared" si="3"/>
        <v/>
      </c>
      <c r="K219" s="8"/>
      <c r="L219" s="11"/>
      <c r="M219" s="13"/>
    </row>
    <row r="220" spans="1:13" x14ac:dyDescent="0.3">
      <c r="A220" s="7" t="s">
        <v>2803</v>
      </c>
      <c r="B220" s="8" t="s">
        <v>47</v>
      </c>
      <c r="C220" s="8"/>
      <c r="D220" s="8"/>
      <c r="E220" s="8"/>
      <c r="F220" s="8"/>
      <c r="G220" s="8"/>
      <c r="H220" s="8"/>
      <c r="I220" s="7" t="str">
        <f>IF(C220="","",SUMIFS(Roturas!$D$2:$D$2000,Roturas!$B$2:$B$2000,A220))</f>
        <v/>
      </c>
      <c r="J220" s="7" t="str">
        <f t="shared" si="3"/>
        <v/>
      </c>
      <c r="K220" s="8"/>
      <c r="L220" s="11"/>
      <c r="M220" s="13"/>
    </row>
    <row r="221" spans="1:13" x14ac:dyDescent="0.3">
      <c r="A221" s="7" t="s">
        <v>2804</v>
      </c>
      <c r="B221" s="8" t="s">
        <v>47</v>
      </c>
      <c r="C221" s="8"/>
      <c r="D221" s="8"/>
      <c r="E221" s="8"/>
      <c r="F221" s="8"/>
      <c r="G221" s="8"/>
      <c r="H221" s="8"/>
      <c r="I221" s="7" t="str">
        <f>IF(C221="","",SUMIFS(Roturas!$D$2:$D$2000,Roturas!$B$2:$B$2000,A221))</f>
        <v/>
      </c>
      <c r="J221" s="7" t="str">
        <f t="shared" si="3"/>
        <v/>
      </c>
      <c r="K221" s="8"/>
      <c r="L221" s="11"/>
      <c r="M221" s="13"/>
    </row>
    <row r="222" spans="1:13" x14ac:dyDescent="0.3">
      <c r="A222" s="7" t="s">
        <v>2805</v>
      </c>
      <c r="B222" s="8" t="s">
        <v>47</v>
      </c>
      <c r="C222" s="8"/>
      <c r="D222" s="8"/>
      <c r="E222" s="8"/>
      <c r="F222" s="8"/>
      <c r="G222" s="8"/>
      <c r="H222" s="8"/>
      <c r="I222" s="7" t="str">
        <f>IF(C222="","",SUMIFS(Roturas!$D$2:$D$2000,Roturas!$B$2:$B$2000,A222))</f>
        <v/>
      </c>
      <c r="J222" s="7" t="str">
        <f t="shared" si="3"/>
        <v/>
      </c>
      <c r="K222" s="8"/>
      <c r="L222" s="11"/>
      <c r="M222" s="13"/>
    </row>
    <row r="223" spans="1:13" x14ac:dyDescent="0.3">
      <c r="A223" s="7" t="s">
        <v>2806</v>
      </c>
      <c r="B223" s="8" t="s">
        <v>47</v>
      </c>
      <c r="C223" s="8"/>
      <c r="D223" s="8"/>
      <c r="E223" s="8"/>
      <c r="F223" s="8"/>
      <c r="G223" s="8"/>
      <c r="H223" s="8"/>
      <c r="I223" s="7" t="str">
        <f>IF(C223="","",SUMIFS(Roturas!$D$2:$D$2000,Roturas!$B$2:$B$2000,A223))</f>
        <v/>
      </c>
      <c r="J223" s="7" t="str">
        <f t="shared" si="3"/>
        <v/>
      </c>
      <c r="K223" s="8"/>
      <c r="L223" s="11"/>
      <c r="M223" s="13"/>
    </row>
    <row r="224" spans="1:13" x14ac:dyDescent="0.3">
      <c r="A224" s="7" t="s">
        <v>2807</v>
      </c>
      <c r="B224" s="8" t="s">
        <v>47</v>
      </c>
      <c r="C224" s="8"/>
      <c r="D224" s="8"/>
      <c r="E224" s="8"/>
      <c r="F224" s="8"/>
      <c r="G224" s="8"/>
      <c r="H224" s="8"/>
      <c r="I224" s="7" t="str">
        <f>IF(C224="","",SUMIFS(Roturas!$D$2:$D$2000,Roturas!$B$2:$B$2000,A224))</f>
        <v/>
      </c>
      <c r="J224" s="7" t="str">
        <f t="shared" si="3"/>
        <v/>
      </c>
      <c r="K224" s="8"/>
      <c r="L224" s="11"/>
      <c r="M224" s="13"/>
    </row>
    <row r="225" spans="1:13" x14ac:dyDescent="0.3">
      <c r="A225" s="7" t="s">
        <v>2808</v>
      </c>
      <c r="B225" s="8" t="s">
        <v>47</v>
      </c>
      <c r="C225" s="8"/>
      <c r="D225" s="8"/>
      <c r="E225" s="8"/>
      <c r="F225" s="8"/>
      <c r="G225" s="8"/>
      <c r="H225" s="8"/>
      <c r="I225" s="7" t="str">
        <f>IF(C225="","",SUMIFS(Roturas!$D$2:$D$2000,Roturas!$B$2:$B$2000,A225))</f>
        <v/>
      </c>
      <c r="J225" s="7" t="str">
        <f t="shared" si="3"/>
        <v/>
      </c>
      <c r="K225" s="8"/>
      <c r="L225" s="11"/>
      <c r="M225" s="13"/>
    </row>
    <row r="226" spans="1:13" x14ac:dyDescent="0.3">
      <c r="A226" s="7" t="s">
        <v>2809</v>
      </c>
      <c r="B226" s="8" t="s">
        <v>47</v>
      </c>
      <c r="C226" s="8"/>
      <c r="D226" s="8"/>
      <c r="E226" s="8"/>
      <c r="F226" s="8"/>
      <c r="G226" s="8"/>
      <c r="H226" s="8"/>
      <c r="I226" s="7" t="str">
        <f>IF(C226="","",SUMIFS(Roturas!$D$2:$D$2000,Roturas!$B$2:$B$2000,A226))</f>
        <v/>
      </c>
      <c r="J226" s="7" t="str">
        <f t="shared" si="3"/>
        <v/>
      </c>
      <c r="K226" s="8"/>
      <c r="L226" s="11"/>
      <c r="M226" s="13"/>
    </row>
    <row r="227" spans="1:13" x14ac:dyDescent="0.3">
      <c r="A227" s="7" t="s">
        <v>2810</v>
      </c>
      <c r="B227" s="8" t="s">
        <v>47</v>
      </c>
      <c r="C227" s="8"/>
      <c r="D227" s="8"/>
      <c r="E227" s="8"/>
      <c r="F227" s="8"/>
      <c r="G227" s="8"/>
      <c r="H227" s="8"/>
      <c r="I227" s="7" t="str">
        <f>IF(C227="","",SUMIFS(Roturas!$D$2:$D$2000,Roturas!$B$2:$B$2000,A227))</f>
        <v/>
      </c>
      <c r="J227" s="7" t="str">
        <f t="shared" si="3"/>
        <v/>
      </c>
      <c r="K227" s="8"/>
      <c r="L227" s="11"/>
      <c r="M227" s="13"/>
    </row>
    <row r="228" spans="1:13" x14ac:dyDescent="0.3">
      <c r="A228" s="7" t="s">
        <v>2811</v>
      </c>
      <c r="B228" s="8" t="s">
        <v>47</v>
      </c>
      <c r="C228" s="8"/>
      <c r="D228" s="8"/>
      <c r="E228" s="8"/>
      <c r="F228" s="8"/>
      <c r="G228" s="8"/>
      <c r="H228" s="8"/>
      <c r="I228" s="7" t="str">
        <f>IF(C228="","",SUMIFS(Roturas!$D$2:$D$2000,Roturas!$B$2:$B$2000,A228))</f>
        <v/>
      </c>
      <c r="J228" s="7" t="str">
        <f t="shared" si="3"/>
        <v/>
      </c>
      <c r="K228" s="8"/>
      <c r="L228" s="11"/>
      <c r="M228" s="13"/>
    </row>
    <row r="229" spans="1:13" x14ac:dyDescent="0.3">
      <c r="A229" s="7" t="s">
        <v>2812</v>
      </c>
      <c r="B229" s="8" t="s">
        <v>47</v>
      </c>
      <c r="C229" s="8"/>
      <c r="D229" s="8"/>
      <c r="E229" s="8"/>
      <c r="F229" s="8"/>
      <c r="G229" s="8"/>
      <c r="H229" s="8"/>
      <c r="I229" s="7" t="str">
        <f>IF(C229="","",SUMIFS(Roturas!$D$2:$D$2000,Roturas!$B$2:$B$2000,A229))</f>
        <v/>
      </c>
      <c r="J229" s="7" t="str">
        <f t="shared" si="3"/>
        <v/>
      </c>
      <c r="K229" s="8"/>
      <c r="L229" s="11"/>
      <c r="M229" s="13"/>
    </row>
    <row r="230" spans="1:13" x14ac:dyDescent="0.3">
      <c r="A230" s="7" t="s">
        <v>2813</v>
      </c>
      <c r="B230" s="8" t="s">
        <v>47</v>
      </c>
      <c r="C230" s="8"/>
      <c r="D230" s="8"/>
      <c r="E230" s="8"/>
      <c r="F230" s="8"/>
      <c r="G230" s="8"/>
      <c r="H230" s="8"/>
      <c r="I230" s="7" t="str">
        <f>IF(C230="","",SUMIFS(Roturas!$D$2:$D$2000,Roturas!$B$2:$B$2000,A230))</f>
        <v/>
      </c>
      <c r="J230" s="7" t="str">
        <f t="shared" si="3"/>
        <v/>
      </c>
      <c r="K230" s="8"/>
      <c r="L230" s="11"/>
      <c r="M230" s="13"/>
    </row>
    <row r="231" spans="1:13" x14ac:dyDescent="0.3">
      <c r="A231" s="7" t="s">
        <v>2814</v>
      </c>
      <c r="B231" s="8" t="s">
        <v>47</v>
      </c>
      <c r="C231" s="8"/>
      <c r="D231" s="8"/>
      <c r="E231" s="8"/>
      <c r="F231" s="8"/>
      <c r="G231" s="8"/>
      <c r="H231" s="8"/>
      <c r="I231" s="7" t="str">
        <f>IF(C231="","",SUMIFS(Roturas!$D$2:$D$2000,Roturas!$B$2:$B$2000,A231))</f>
        <v/>
      </c>
      <c r="J231" s="7" t="str">
        <f t="shared" si="3"/>
        <v/>
      </c>
      <c r="K231" s="8"/>
      <c r="L231" s="11"/>
      <c r="M231" s="13"/>
    </row>
    <row r="232" spans="1:13" x14ac:dyDescent="0.3">
      <c r="A232" s="7" t="s">
        <v>2815</v>
      </c>
      <c r="B232" s="8" t="s">
        <v>47</v>
      </c>
      <c r="C232" s="8"/>
      <c r="D232" s="8"/>
      <c r="E232" s="8"/>
      <c r="F232" s="8"/>
      <c r="G232" s="8"/>
      <c r="H232" s="8"/>
      <c r="I232" s="7" t="str">
        <f>IF(C232="","",SUMIFS(Roturas!$D$2:$D$2000,Roturas!$B$2:$B$2000,A232))</f>
        <v/>
      </c>
      <c r="J232" s="7" t="str">
        <f t="shared" si="3"/>
        <v/>
      </c>
      <c r="K232" s="8"/>
      <c r="L232" s="11"/>
      <c r="M232" s="13"/>
    </row>
    <row r="233" spans="1:13" x14ac:dyDescent="0.3">
      <c r="A233" s="7" t="s">
        <v>2816</v>
      </c>
      <c r="B233" s="8" t="s">
        <v>47</v>
      </c>
      <c r="C233" s="8"/>
      <c r="D233" s="8"/>
      <c r="E233" s="8"/>
      <c r="F233" s="8"/>
      <c r="G233" s="8"/>
      <c r="H233" s="8"/>
      <c r="I233" s="7" t="str">
        <f>IF(C233="","",SUMIFS(Roturas!$D$2:$D$2000,Roturas!$B$2:$B$2000,A233))</f>
        <v/>
      </c>
      <c r="J233" s="7" t="str">
        <f t="shared" si="3"/>
        <v/>
      </c>
      <c r="K233" s="8"/>
      <c r="L233" s="11"/>
      <c r="M233" s="13"/>
    </row>
    <row r="234" spans="1:13" x14ac:dyDescent="0.3">
      <c r="A234" s="7" t="s">
        <v>2817</v>
      </c>
      <c r="B234" s="8" t="s">
        <v>47</v>
      </c>
      <c r="C234" s="8"/>
      <c r="D234" s="8"/>
      <c r="E234" s="8"/>
      <c r="F234" s="8"/>
      <c r="G234" s="8"/>
      <c r="H234" s="8"/>
      <c r="I234" s="7" t="str">
        <f>IF(C234="","",SUMIFS(Roturas!$D$2:$D$2000,Roturas!$B$2:$B$2000,A234))</f>
        <v/>
      </c>
      <c r="J234" s="7" t="str">
        <f t="shared" si="3"/>
        <v/>
      </c>
      <c r="K234" s="8"/>
      <c r="L234" s="11"/>
      <c r="M234" s="13"/>
    </row>
    <row r="235" spans="1:13" x14ac:dyDescent="0.3">
      <c r="A235" s="7" t="s">
        <v>2818</v>
      </c>
      <c r="B235" s="8" t="s">
        <v>47</v>
      </c>
      <c r="C235" s="8"/>
      <c r="D235" s="8"/>
      <c r="E235" s="8"/>
      <c r="F235" s="8"/>
      <c r="G235" s="8"/>
      <c r="H235" s="8"/>
      <c r="I235" s="7" t="str">
        <f>IF(C235="","",SUMIFS(Roturas!$D$2:$D$2000,Roturas!$B$2:$B$2000,A235))</f>
        <v/>
      </c>
      <c r="J235" s="7" t="str">
        <f t="shared" si="3"/>
        <v/>
      </c>
      <c r="K235" s="8"/>
      <c r="L235" s="11"/>
      <c r="M235" s="13"/>
    </row>
    <row r="236" spans="1:13" x14ac:dyDescent="0.3">
      <c r="A236" s="7" t="s">
        <v>2819</v>
      </c>
      <c r="B236" s="8" t="s">
        <v>47</v>
      </c>
      <c r="C236" s="8"/>
      <c r="D236" s="8"/>
      <c r="E236" s="8"/>
      <c r="F236" s="8"/>
      <c r="G236" s="8"/>
      <c r="H236" s="8"/>
      <c r="I236" s="7" t="str">
        <f>IF(C236="","",SUMIFS(Roturas!$D$2:$D$2000,Roturas!$B$2:$B$2000,A236))</f>
        <v/>
      </c>
      <c r="J236" s="7" t="str">
        <f t="shared" si="3"/>
        <v/>
      </c>
      <c r="K236" s="8"/>
      <c r="L236" s="11"/>
      <c r="M236" s="13"/>
    </row>
    <row r="237" spans="1:13" x14ac:dyDescent="0.3">
      <c r="A237" s="7" t="s">
        <v>2820</v>
      </c>
      <c r="B237" s="8" t="s">
        <v>47</v>
      </c>
      <c r="C237" s="8"/>
      <c r="D237" s="8"/>
      <c r="E237" s="8"/>
      <c r="F237" s="8"/>
      <c r="G237" s="8"/>
      <c r="H237" s="8"/>
      <c r="I237" s="7" t="str">
        <f>IF(C237="","",SUMIFS(Roturas!$D$2:$D$2000,Roturas!$B$2:$B$2000,A237))</f>
        <v/>
      </c>
      <c r="J237" s="7" t="str">
        <f t="shared" si="3"/>
        <v/>
      </c>
      <c r="K237" s="8"/>
      <c r="L237" s="11"/>
      <c r="M237" s="13"/>
    </row>
    <row r="238" spans="1:13" x14ac:dyDescent="0.3">
      <c r="A238" s="7" t="s">
        <v>2821</v>
      </c>
      <c r="B238" s="8" t="s">
        <v>47</v>
      </c>
      <c r="C238" s="8"/>
      <c r="D238" s="8"/>
      <c r="E238" s="8"/>
      <c r="F238" s="8"/>
      <c r="G238" s="8"/>
      <c r="H238" s="8"/>
      <c r="I238" s="7" t="str">
        <f>IF(C238="","",SUMIFS(Roturas!$D$2:$D$2000,Roturas!$B$2:$B$2000,A238))</f>
        <v/>
      </c>
      <c r="J238" s="7" t="str">
        <f t="shared" si="3"/>
        <v/>
      </c>
      <c r="K238" s="8"/>
      <c r="L238" s="11"/>
      <c r="M238" s="13"/>
    </row>
    <row r="239" spans="1:13" x14ac:dyDescent="0.3">
      <c r="A239" s="7" t="s">
        <v>2822</v>
      </c>
      <c r="B239" s="8" t="s">
        <v>47</v>
      </c>
      <c r="C239" s="8"/>
      <c r="D239" s="8"/>
      <c r="E239" s="8"/>
      <c r="F239" s="8"/>
      <c r="G239" s="8"/>
      <c r="H239" s="8"/>
      <c r="I239" s="7" t="str">
        <f>IF(C239="","",SUMIFS(Roturas!$D$2:$D$2000,Roturas!$B$2:$B$2000,A239))</f>
        <v/>
      </c>
      <c r="J239" s="7" t="str">
        <f t="shared" si="3"/>
        <v/>
      </c>
      <c r="K239" s="8"/>
      <c r="L239" s="11"/>
      <c r="M239" s="13"/>
    </row>
    <row r="240" spans="1:13" x14ac:dyDescent="0.3">
      <c r="A240" s="7" t="s">
        <v>2823</v>
      </c>
      <c r="B240" s="8" t="s">
        <v>47</v>
      </c>
      <c r="C240" s="8"/>
      <c r="D240" s="8"/>
      <c r="E240" s="8"/>
      <c r="F240" s="8"/>
      <c r="G240" s="8"/>
      <c r="H240" s="8"/>
      <c r="I240" s="7" t="str">
        <f>IF(C240="","",SUMIFS(Roturas!$D$2:$D$2000,Roturas!$B$2:$B$2000,A240))</f>
        <v/>
      </c>
      <c r="J240" s="7" t="str">
        <f t="shared" si="3"/>
        <v/>
      </c>
      <c r="K240" s="8"/>
      <c r="L240" s="11"/>
      <c r="M240" s="13"/>
    </row>
    <row r="241" spans="1:13" x14ac:dyDescent="0.3">
      <c r="A241" s="7" t="s">
        <v>2824</v>
      </c>
      <c r="B241" s="8" t="s">
        <v>47</v>
      </c>
      <c r="C241" s="8"/>
      <c r="D241" s="8"/>
      <c r="E241" s="8"/>
      <c r="F241" s="8"/>
      <c r="G241" s="8"/>
      <c r="H241" s="8"/>
      <c r="I241" s="7" t="str">
        <f>IF(C241="","",SUMIFS(Roturas!$D$2:$D$2000,Roturas!$B$2:$B$2000,A241))</f>
        <v/>
      </c>
      <c r="J241" s="7" t="str">
        <f t="shared" si="3"/>
        <v/>
      </c>
      <c r="K241" s="8"/>
      <c r="L241" s="11"/>
      <c r="M241" s="13"/>
    </row>
    <row r="242" spans="1:13" x14ac:dyDescent="0.3">
      <c r="A242" s="7" t="s">
        <v>2825</v>
      </c>
      <c r="B242" s="8" t="s">
        <v>47</v>
      </c>
      <c r="C242" s="8"/>
      <c r="D242" s="8"/>
      <c r="E242" s="8"/>
      <c r="F242" s="8"/>
      <c r="G242" s="8"/>
      <c r="H242" s="8"/>
      <c r="I242" s="7" t="str">
        <f>IF(C242="","",SUMIFS(Roturas!$D$2:$D$2000,Roturas!$B$2:$B$2000,A242))</f>
        <v/>
      </c>
      <c r="J242" s="7" t="str">
        <f t="shared" si="3"/>
        <v/>
      </c>
      <c r="K242" s="8"/>
      <c r="L242" s="11"/>
      <c r="M242" s="13"/>
    </row>
    <row r="243" spans="1:13" x14ac:dyDescent="0.3">
      <c r="A243" s="7" t="s">
        <v>2826</v>
      </c>
      <c r="B243" s="8" t="s">
        <v>47</v>
      </c>
      <c r="C243" s="8"/>
      <c r="D243" s="8"/>
      <c r="E243" s="8"/>
      <c r="F243" s="8"/>
      <c r="G243" s="8"/>
      <c r="H243" s="8"/>
      <c r="I243" s="7" t="str">
        <f>IF(C243="","",SUMIFS(Roturas!$D$2:$D$2000,Roturas!$B$2:$B$2000,A243))</f>
        <v/>
      </c>
      <c r="J243" s="7" t="str">
        <f t="shared" si="3"/>
        <v/>
      </c>
      <c r="K243" s="8"/>
      <c r="L243" s="11"/>
      <c r="M243" s="13"/>
    </row>
    <row r="244" spans="1:13" x14ac:dyDescent="0.3">
      <c r="A244" s="7" t="s">
        <v>2827</v>
      </c>
      <c r="B244" s="8" t="s">
        <v>47</v>
      </c>
      <c r="C244" s="8"/>
      <c r="D244" s="8"/>
      <c r="E244" s="8"/>
      <c r="F244" s="8"/>
      <c r="G244" s="8"/>
      <c r="H244" s="8"/>
      <c r="I244" s="7" t="str">
        <f>IF(C244="","",SUMIFS(Roturas!$D$2:$D$2000,Roturas!$B$2:$B$2000,A244))</f>
        <v/>
      </c>
      <c r="J244" s="7" t="str">
        <f t="shared" si="3"/>
        <v/>
      </c>
      <c r="K244" s="8"/>
      <c r="L244" s="11"/>
      <c r="M244" s="13"/>
    </row>
    <row r="245" spans="1:13" x14ac:dyDescent="0.3">
      <c r="A245" s="7" t="s">
        <v>2828</v>
      </c>
      <c r="B245" s="8" t="s">
        <v>47</v>
      </c>
      <c r="C245" s="8"/>
      <c r="D245" s="8"/>
      <c r="E245" s="8"/>
      <c r="F245" s="8"/>
      <c r="G245" s="8"/>
      <c r="H245" s="8"/>
      <c r="I245" s="7" t="str">
        <f>IF(C245="","",SUMIFS(Roturas!$D$2:$D$2000,Roturas!$B$2:$B$2000,A245))</f>
        <v/>
      </c>
      <c r="J245" s="7" t="str">
        <f t="shared" si="3"/>
        <v/>
      </c>
      <c r="K245" s="8"/>
      <c r="L245" s="11"/>
      <c r="M245" s="13"/>
    </row>
    <row r="246" spans="1:13" x14ac:dyDescent="0.3">
      <c r="A246" s="7" t="s">
        <v>2829</v>
      </c>
      <c r="B246" s="8" t="s">
        <v>47</v>
      </c>
      <c r="C246" s="8"/>
      <c r="D246" s="8"/>
      <c r="E246" s="8"/>
      <c r="F246" s="8"/>
      <c r="G246" s="8"/>
      <c r="H246" s="8"/>
      <c r="I246" s="7" t="str">
        <f>IF(C246="","",SUMIFS(Roturas!$D$2:$D$2000,Roturas!$B$2:$B$2000,A246))</f>
        <v/>
      </c>
      <c r="J246" s="7" t="str">
        <f t="shared" si="3"/>
        <v/>
      </c>
      <c r="K246" s="8"/>
      <c r="L246" s="11"/>
      <c r="M246" s="13"/>
    </row>
    <row r="247" spans="1:13" x14ac:dyDescent="0.3">
      <c r="A247" s="7" t="s">
        <v>2830</v>
      </c>
      <c r="B247" s="8" t="s">
        <v>47</v>
      </c>
      <c r="C247" s="8"/>
      <c r="D247" s="8"/>
      <c r="E247" s="8"/>
      <c r="F247" s="8"/>
      <c r="G247" s="8"/>
      <c r="H247" s="8"/>
      <c r="I247" s="7" t="str">
        <f>IF(C247="","",SUMIFS(Roturas!$D$2:$D$2000,Roturas!$B$2:$B$2000,A247))</f>
        <v/>
      </c>
      <c r="J247" s="7" t="str">
        <f t="shared" si="3"/>
        <v/>
      </c>
      <c r="K247" s="8"/>
      <c r="L247" s="11"/>
      <c r="M247" s="13"/>
    </row>
    <row r="248" spans="1:13" x14ac:dyDescent="0.3">
      <c r="A248" s="7" t="s">
        <v>2831</v>
      </c>
      <c r="B248" s="8" t="s">
        <v>47</v>
      </c>
      <c r="C248" s="8"/>
      <c r="D248" s="8"/>
      <c r="E248" s="8"/>
      <c r="F248" s="8"/>
      <c r="G248" s="8"/>
      <c r="H248" s="8"/>
      <c r="I248" s="7" t="str">
        <f>IF(C248="","",SUMIFS(Roturas!$D$2:$D$2000,Roturas!$B$2:$B$2000,A248))</f>
        <v/>
      </c>
      <c r="J248" s="7" t="str">
        <f t="shared" si="3"/>
        <v/>
      </c>
      <c r="K248" s="8"/>
      <c r="L248" s="11"/>
      <c r="M248" s="13"/>
    </row>
    <row r="249" spans="1:13" x14ac:dyDescent="0.3">
      <c r="A249" s="7" t="s">
        <v>2832</v>
      </c>
      <c r="B249" s="8" t="s">
        <v>47</v>
      </c>
      <c r="C249" s="8"/>
      <c r="D249" s="8"/>
      <c r="E249" s="8"/>
      <c r="F249" s="8"/>
      <c r="G249" s="8"/>
      <c r="H249" s="8"/>
      <c r="I249" s="7" t="str">
        <f>IF(C249="","",SUMIFS(Roturas!$D$2:$D$2000,Roturas!$B$2:$B$2000,A249))</f>
        <v/>
      </c>
      <c r="J249" s="7" t="str">
        <f t="shared" si="3"/>
        <v/>
      </c>
      <c r="K249" s="8"/>
      <c r="L249" s="11"/>
      <c r="M249" s="13"/>
    </row>
    <row r="250" spans="1:13" x14ac:dyDescent="0.3">
      <c r="A250" s="7" t="s">
        <v>2833</v>
      </c>
      <c r="B250" s="8" t="s">
        <v>47</v>
      </c>
      <c r="C250" s="8"/>
      <c r="D250" s="8"/>
      <c r="E250" s="8"/>
      <c r="F250" s="8"/>
      <c r="G250" s="8"/>
      <c r="H250" s="8"/>
      <c r="I250" s="7" t="str">
        <f>IF(C250="","",SUMIFS(Roturas!$D$2:$D$2000,Roturas!$B$2:$B$2000,A250))</f>
        <v/>
      </c>
      <c r="J250" s="7" t="str">
        <f t="shared" si="3"/>
        <v/>
      </c>
      <c r="K250" s="8"/>
      <c r="L250" s="11"/>
      <c r="M250" s="13"/>
    </row>
    <row r="251" spans="1:13" x14ac:dyDescent="0.3">
      <c r="A251" s="7" t="s">
        <v>2834</v>
      </c>
      <c r="B251" s="8" t="s">
        <v>47</v>
      </c>
      <c r="C251" s="8"/>
      <c r="D251" s="8"/>
      <c r="E251" s="8"/>
      <c r="F251" s="8"/>
      <c r="G251" s="8"/>
      <c r="H251" s="8"/>
      <c r="I251" s="7" t="str">
        <f>IF(C251="","",SUMIFS(Roturas!$D$2:$D$2000,Roturas!$B$2:$B$2000,A251))</f>
        <v/>
      </c>
      <c r="J251" s="7" t="str">
        <f t="shared" si="3"/>
        <v/>
      </c>
      <c r="K251" s="8"/>
      <c r="L251" s="11"/>
      <c r="M251" s="13"/>
    </row>
    <row r="252" spans="1:13" x14ac:dyDescent="0.3">
      <c r="A252" s="7" t="s">
        <v>2835</v>
      </c>
      <c r="B252" s="8" t="s">
        <v>47</v>
      </c>
      <c r="C252" s="8"/>
      <c r="D252" s="8"/>
      <c r="E252" s="8"/>
      <c r="F252" s="8"/>
      <c r="G252" s="8"/>
      <c r="H252" s="8"/>
      <c r="I252" s="7" t="str">
        <f>IF(C252="","",SUMIFS(Roturas!$D$2:$D$2000,Roturas!$B$2:$B$2000,A252))</f>
        <v/>
      </c>
      <c r="J252" s="7" t="str">
        <f t="shared" si="3"/>
        <v/>
      </c>
      <c r="K252" s="8"/>
      <c r="L252" s="11"/>
      <c r="M252" s="13"/>
    </row>
    <row r="253" spans="1:13" x14ac:dyDescent="0.3">
      <c r="A253" s="7" t="s">
        <v>2836</v>
      </c>
      <c r="B253" s="8" t="s">
        <v>47</v>
      </c>
      <c r="C253" s="8"/>
      <c r="D253" s="8"/>
      <c r="E253" s="8"/>
      <c r="F253" s="8"/>
      <c r="G253" s="8"/>
      <c r="H253" s="8"/>
      <c r="I253" s="7" t="str">
        <f>IF(C253="","",SUMIFS(Roturas!$D$2:$D$2000,Roturas!$B$2:$B$2000,A253))</f>
        <v/>
      </c>
      <c r="J253" s="7" t="str">
        <f t="shared" si="3"/>
        <v/>
      </c>
      <c r="K253" s="8"/>
      <c r="L253" s="11"/>
      <c r="M253" s="13"/>
    </row>
    <row r="254" spans="1:13" x14ac:dyDescent="0.3">
      <c r="A254" s="7" t="s">
        <v>2837</v>
      </c>
      <c r="B254" s="8" t="s">
        <v>47</v>
      </c>
      <c r="C254" s="8"/>
      <c r="D254" s="8"/>
      <c r="E254" s="8"/>
      <c r="F254" s="8"/>
      <c r="G254" s="8"/>
      <c r="H254" s="8"/>
      <c r="I254" s="7" t="str">
        <f>IF(C254="","",SUMIFS(Roturas!$D$2:$D$2000,Roturas!$B$2:$B$2000,A254))</f>
        <v/>
      </c>
      <c r="J254" s="7" t="str">
        <f t="shared" si="3"/>
        <v/>
      </c>
      <c r="K254" s="8"/>
      <c r="L254" s="11"/>
      <c r="M254" s="13"/>
    </row>
    <row r="255" spans="1:13" x14ac:dyDescent="0.3">
      <c r="A255" s="7" t="s">
        <v>2838</v>
      </c>
      <c r="B255" s="8" t="s">
        <v>47</v>
      </c>
      <c r="C255" s="8"/>
      <c r="D255" s="8"/>
      <c r="E255" s="8"/>
      <c r="F255" s="8"/>
      <c r="G255" s="8"/>
      <c r="H255" s="8"/>
      <c r="I255" s="7" t="str">
        <f>IF(C255="","",SUMIFS(Roturas!$D$2:$D$2000,Roturas!$B$2:$B$2000,A255))</f>
        <v/>
      </c>
      <c r="J255" s="7" t="str">
        <f t="shared" si="3"/>
        <v/>
      </c>
      <c r="K255" s="8"/>
      <c r="L255" s="11"/>
      <c r="M255" s="13"/>
    </row>
    <row r="256" spans="1:13" x14ac:dyDescent="0.3">
      <c r="A256" s="7" t="s">
        <v>2839</v>
      </c>
      <c r="B256" s="8" t="s">
        <v>47</v>
      </c>
      <c r="C256" s="8"/>
      <c r="D256" s="8"/>
      <c r="E256" s="8"/>
      <c r="F256" s="8"/>
      <c r="G256" s="8"/>
      <c r="H256" s="8"/>
      <c r="I256" s="7" t="str">
        <f>IF(C256="","",SUMIFS(Roturas!$D$2:$D$2000,Roturas!$B$2:$B$2000,A256))</f>
        <v/>
      </c>
      <c r="J256" s="7" t="str">
        <f t="shared" si="3"/>
        <v/>
      </c>
      <c r="K256" s="8"/>
      <c r="L256" s="11"/>
      <c r="M256" s="13"/>
    </row>
    <row r="257" spans="1:13" x14ac:dyDescent="0.3">
      <c r="A257" s="7" t="s">
        <v>2840</v>
      </c>
      <c r="B257" s="8" t="s">
        <v>47</v>
      </c>
      <c r="C257" s="8"/>
      <c r="D257" s="8"/>
      <c r="E257" s="8"/>
      <c r="F257" s="8"/>
      <c r="G257" s="8"/>
      <c r="H257" s="8"/>
      <c r="I257" s="7" t="str">
        <f>IF(C257="","",SUMIFS(Roturas!$D$2:$D$2000,Roturas!$B$2:$B$2000,A257))</f>
        <v/>
      </c>
      <c r="J257" s="7" t="str">
        <f t="shared" si="3"/>
        <v/>
      </c>
      <c r="K257" s="8"/>
      <c r="L257" s="11"/>
      <c r="M257" s="13"/>
    </row>
    <row r="258" spans="1:13" x14ac:dyDescent="0.3">
      <c r="A258" s="7" t="s">
        <v>2841</v>
      </c>
      <c r="B258" s="8" t="s">
        <v>47</v>
      </c>
      <c r="C258" s="8"/>
      <c r="D258" s="8"/>
      <c r="E258" s="8"/>
      <c r="F258" s="8"/>
      <c r="G258" s="8"/>
      <c r="H258" s="8"/>
      <c r="I258" s="7" t="str">
        <f>IF(C258="","",SUMIFS(Roturas!$D$2:$D$2000,Roturas!$B$2:$B$2000,A258))</f>
        <v/>
      </c>
      <c r="J258" s="7" t="str">
        <f t="shared" ref="J258:J321" si="4">IF(C258="","",N(F258)+N(G258)-I258)</f>
        <v/>
      </c>
      <c r="K258" s="8"/>
      <c r="L258" s="11"/>
      <c r="M258" s="13"/>
    </row>
    <row r="259" spans="1:13" x14ac:dyDescent="0.3">
      <c r="A259" s="7" t="s">
        <v>2842</v>
      </c>
      <c r="B259" s="8" t="s">
        <v>47</v>
      </c>
      <c r="C259" s="8"/>
      <c r="D259" s="8"/>
      <c r="E259" s="8"/>
      <c r="F259" s="8"/>
      <c r="G259" s="8"/>
      <c r="H259" s="8"/>
      <c r="I259" s="7" t="str">
        <f>IF(C259="","",SUMIFS(Roturas!$D$2:$D$2000,Roturas!$B$2:$B$2000,A259))</f>
        <v/>
      </c>
      <c r="J259" s="7" t="str">
        <f t="shared" si="4"/>
        <v/>
      </c>
      <c r="K259" s="8"/>
      <c r="L259" s="11"/>
      <c r="M259" s="13"/>
    </row>
    <row r="260" spans="1:13" x14ac:dyDescent="0.3">
      <c r="A260" s="7" t="s">
        <v>2843</v>
      </c>
      <c r="B260" s="8" t="s">
        <v>47</v>
      </c>
      <c r="C260" s="8"/>
      <c r="D260" s="8"/>
      <c r="E260" s="8"/>
      <c r="F260" s="8"/>
      <c r="G260" s="8"/>
      <c r="H260" s="8"/>
      <c r="I260" s="7" t="str">
        <f>IF(C260="","",SUMIFS(Roturas!$D$2:$D$2000,Roturas!$B$2:$B$2000,A260))</f>
        <v/>
      </c>
      <c r="J260" s="7" t="str">
        <f t="shared" si="4"/>
        <v/>
      </c>
      <c r="K260" s="8"/>
      <c r="L260" s="11"/>
      <c r="M260" s="13"/>
    </row>
    <row r="261" spans="1:13" x14ac:dyDescent="0.3">
      <c r="A261" s="7" t="s">
        <v>2844</v>
      </c>
      <c r="B261" s="8" t="s">
        <v>47</v>
      </c>
      <c r="C261" s="8"/>
      <c r="D261" s="8"/>
      <c r="E261" s="8"/>
      <c r="F261" s="8"/>
      <c r="G261" s="8"/>
      <c r="H261" s="8"/>
      <c r="I261" s="7" t="str">
        <f>IF(C261="","",SUMIFS(Roturas!$D$2:$D$2000,Roturas!$B$2:$B$2000,A261))</f>
        <v/>
      </c>
      <c r="J261" s="7" t="str">
        <f t="shared" si="4"/>
        <v/>
      </c>
      <c r="K261" s="8"/>
      <c r="L261" s="11"/>
      <c r="M261" s="13"/>
    </row>
    <row r="262" spans="1:13" x14ac:dyDescent="0.3">
      <c r="A262" s="7" t="s">
        <v>2845</v>
      </c>
      <c r="B262" s="8" t="s">
        <v>47</v>
      </c>
      <c r="C262" s="8"/>
      <c r="D262" s="8"/>
      <c r="E262" s="8"/>
      <c r="F262" s="8"/>
      <c r="G262" s="8"/>
      <c r="H262" s="8"/>
      <c r="I262" s="7" t="str">
        <f>IF(C262="","",SUMIFS(Roturas!$D$2:$D$2000,Roturas!$B$2:$B$2000,A262))</f>
        <v/>
      </c>
      <c r="J262" s="7" t="str">
        <f t="shared" si="4"/>
        <v/>
      </c>
      <c r="K262" s="8"/>
      <c r="L262" s="11"/>
      <c r="M262" s="13"/>
    </row>
    <row r="263" spans="1:13" x14ac:dyDescent="0.3">
      <c r="A263" s="7" t="s">
        <v>2846</v>
      </c>
      <c r="B263" s="8" t="s">
        <v>47</v>
      </c>
      <c r="C263" s="8"/>
      <c r="D263" s="8"/>
      <c r="E263" s="8"/>
      <c r="F263" s="8"/>
      <c r="G263" s="8"/>
      <c r="H263" s="8"/>
      <c r="I263" s="7" t="str">
        <f>IF(C263="","",SUMIFS(Roturas!$D$2:$D$2000,Roturas!$B$2:$B$2000,A263))</f>
        <v/>
      </c>
      <c r="J263" s="7" t="str">
        <f t="shared" si="4"/>
        <v/>
      </c>
      <c r="K263" s="8"/>
      <c r="L263" s="11"/>
      <c r="M263" s="13"/>
    </row>
    <row r="264" spans="1:13" x14ac:dyDescent="0.3">
      <c r="A264" s="7" t="s">
        <v>2847</v>
      </c>
      <c r="B264" s="8" t="s">
        <v>47</v>
      </c>
      <c r="C264" s="8"/>
      <c r="D264" s="8"/>
      <c r="E264" s="8"/>
      <c r="F264" s="8"/>
      <c r="G264" s="8"/>
      <c r="H264" s="8"/>
      <c r="I264" s="7" t="str">
        <f>IF(C264="","",SUMIFS(Roturas!$D$2:$D$2000,Roturas!$B$2:$B$2000,A264))</f>
        <v/>
      </c>
      <c r="J264" s="7" t="str">
        <f t="shared" si="4"/>
        <v/>
      </c>
      <c r="K264" s="8"/>
      <c r="L264" s="11"/>
      <c r="M264" s="13"/>
    </row>
    <row r="265" spans="1:13" x14ac:dyDescent="0.3">
      <c r="A265" s="7" t="s">
        <v>2848</v>
      </c>
      <c r="B265" s="8" t="s">
        <v>47</v>
      </c>
      <c r="C265" s="8"/>
      <c r="D265" s="8"/>
      <c r="E265" s="8"/>
      <c r="F265" s="8"/>
      <c r="G265" s="8"/>
      <c r="H265" s="8"/>
      <c r="I265" s="7" t="str">
        <f>IF(C265="","",SUMIFS(Roturas!$D$2:$D$2000,Roturas!$B$2:$B$2000,A265))</f>
        <v/>
      </c>
      <c r="J265" s="7" t="str">
        <f t="shared" si="4"/>
        <v/>
      </c>
      <c r="K265" s="8"/>
      <c r="L265" s="11"/>
      <c r="M265" s="13"/>
    </row>
    <row r="266" spans="1:13" x14ac:dyDescent="0.3">
      <c r="A266" s="7" t="s">
        <v>2849</v>
      </c>
      <c r="B266" s="8" t="s">
        <v>47</v>
      </c>
      <c r="C266" s="8"/>
      <c r="D266" s="8"/>
      <c r="E266" s="8"/>
      <c r="F266" s="8"/>
      <c r="G266" s="8"/>
      <c r="H266" s="8"/>
      <c r="I266" s="7" t="str">
        <f>IF(C266="","",SUMIFS(Roturas!$D$2:$D$2000,Roturas!$B$2:$B$2000,A266))</f>
        <v/>
      </c>
      <c r="J266" s="7" t="str">
        <f t="shared" si="4"/>
        <v/>
      </c>
      <c r="K266" s="8"/>
      <c r="L266" s="11"/>
      <c r="M266" s="13"/>
    </row>
    <row r="267" spans="1:13" x14ac:dyDescent="0.3">
      <c r="A267" s="7" t="s">
        <v>2850</v>
      </c>
      <c r="B267" s="8" t="s">
        <v>47</v>
      </c>
      <c r="C267" s="8"/>
      <c r="D267" s="8"/>
      <c r="E267" s="8"/>
      <c r="F267" s="8"/>
      <c r="G267" s="8"/>
      <c r="H267" s="8"/>
      <c r="I267" s="7" t="str">
        <f>IF(C267="","",SUMIFS(Roturas!$D$2:$D$2000,Roturas!$B$2:$B$2000,A267))</f>
        <v/>
      </c>
      <c r="J267" s="7" t="str">
        <f t="shared" si="4"/>
        <v/>
      </c>
      <c r="K267" s="8"/>
      <c r="L267" s="11"/>
      <c r="M267" s="13"/>
    </row>
    <row r="268" spans="1:13" x14ac:dyDescent="0.3">
      <c r="A268" s="7" t="s">
        <v>2851</v>
      </c>
      <c r="B268" s="8" t="s">
        <v>47</v>
      </c>
      <c r="C268" s="8"/>
      <c r="D268" s="8"/>
      <c r="E268" s="8"/>
      <c r="F268" s="8"/>
      <c r="G268" s="8"/>
      <c r="H268" s="8"/>
      <c r="I268" s="7" t="str">
        <f>IF(C268="","",SUMIFS(Roturas!$D$2:$D$2000,Roturas!$B$2:$B$2000,A268))</f>
        <v/>
      </c>
      <c r="J268" s="7" t="str">
        <f t="shared" si="4"/>
        <v/>
      </c>
      <c r="K268" s="8"/>
      <c r="L268" s="11"/>
      <c r="M268" s="13"/>
    </row>
    <row r="269" spans="1:13" x14ac:dyDescent="0.3">
      <c r="A269" s="7" t="s">
        <v>2852</v>
      </c>
      <c r="B269" s="8" t="s">
        <v>47</v>
      </c>
      <c r="C269" s="8"/>
      <c r="D269" s="8"/>
      <c r="E269" s="8"/>
      <c r="F269" s="8"/>
      <c r="G269" s="8"/>
      <c r="H269" s="8"/>
      <c r="I269" s="7" t="str">
        <f>IF(C269="","",SUMIFS(Roturas!$D$2:$D$2000,Roturas!$B$2:$B$2000,A269))</f>
        <v/>
      </c>
      <c r="J269" s="7" t="str">
        <f t="shared" si="4"/>
        <v/>
      </c>
      <c r="K269" s="8"/>
      <c r="L269" s="11"/>
      <c r="M269" s="13"/>
    </row>
    <row r="270" spans="1:13" x14ac:dyDescent="0.3">
      <c r="A270" s="7" t="s">
        <v>2853</v>
      </c>
      <c r="B270" s="8" t="s">
        <v>47</v>
      </c>
      <c r="C270" s="8"/>
      <c r="D270" s="8"/>
      <c r="E270" s="8"/>
      <c r="F270" s="8"/>
      <c r="G270" s="8"/>
      <c r="H270" s="8"/>
      <c r="I270" s="7" t="str">
        <f>IF(C270="","",SUMIFS(Roturas!$D$2:$D$2000,Roturas!$B$2:$B$2000,A270))</f>
        <v/>
      </c>
      <c r="J270" s="7" t="str">
        <f t="shared" si="4"/>
        <v/>
      </c>
      <c r="K270" s="8"/>
      <c r="L270" s="11"/>
      <c r="M270" s="13"/>
    </row>
    <row r="271" spans="1:13" x14ac:dyDescent="0.3">
      <c r="A271" s="7" t="s">
        <v>2854</v>
      </c>
      <c r="B271" s="8" t="s">
        <v>47</v>
      </c>
      <c r="C271" s="8"/>
      <c r="D271" s="8"/>
      <c r="E271" s="8"/>
      <c r="F271" s="8"/>
      <c r="G271" s="8"/>
      <c r="H271" s="8"/>
      <c r="I271" s="7" t="str">
        <f>IF(C271="","",SUMIFS(Roturas!$D$2:$D$2000,Roturas!$B$2:$B$2000,A271))</f>
        <v/>
      </c>
      <c r="J271" s="7" t="str">
        <f t="shared" si="4"/>
        <v/>
      </c>
      <c r="K271" s="8"/>
      <c r="L271" s="11"/>
      <c r="M271" s="13"/>
    </row>
    <row r="272" spans="1:13" x14ac:dyDescent="0.3">
      <c r="A272" s="7" t="s">
        <v>2855</v>
      </c>
      <c r="B272" s="8" t="s">
        <v>47</v>
      </c>
      <c r="C272" s="8"/>
      <c r="D272" s="8"/>
      <c r="E272" s="8"/>
      <c r="F272" s="8"/>
      <c r="G272" s="8"/>
      <c r="H272" s="8"/>
      <c r="I272" s="7" t="str">
        <f>IF(C272="","",SUMIFS(Roturas!$D$2:$D$2000,Roturas!$B$2:$B$2000,A272))</f>
        <v/>
      </c>
      <c r="J272" s="7" t="str">
        <f t="shared" si="4"/>
        <v/>
      </c>
      <c r="K272" s="8"/>
      <c r="L272" s="11"/>
      <c r="M272" s="13"/>
    </row>
    <row r="273" spans="1:13" x14ac:dyDescent="0.3">
      <c r="A273" s="7" t="s">
        <v>2856</v>
      </c>
      <c r="B273" s="8" t="s">
        <v>47</v>
      </c>
      <c r="C273" s="8"/>
      <c r="D273" s="8"/>
      <c r="E273" s="8"/>
      <c r="F273" s="8"/>
      <c r="G273" s="8"/>
      <c r="H273" s="8"/>
      <c r="I273" s="7" t="str">
        <f>IF(C273="","",SUMIFS(Roturas!$D$2:$D$2000,Roturas!$B$2:$B$2000,A273))</f>
        <v/>
      </c>
      <c r="J273" s="7" t="str">
        <f t="shared" si="4"/>
        <v/>
      </c>
      <c r="K273" s="8"/>
      <c r="L273" s="11"/>
      <c r="M273" s="13"/>
    </row>
    <row r="274" spans="1:13" x14ac:dyDescent="0.3">
      <c r="A274" s="7" t="s">
        <v>2857</v>
      </c>
      <c r="B274" s="8" t="s">
        <v>47</v>
      </c>
      <c r="C274" s="8"/>
      <c r="D274" s="8"/>
      <c r="E274" s="8"/>
      <c r="F274" s="8"/>
      <c r="G274" s="8"/>
      <c r="H274" s="8"/>
      <c r="I274" s="7" t="str">
        <f>IF(C274="","",SUMIFS(Roturas!$D$2:$D$2000,Roturas!$B$2:$B$2000,A274))</f>
        <v/>
      </c>
      <c r="J274" s="7" t="str">
        <f t="shared" si="4"/>
        <v/>
      </c>
      <c r="K274" s="8"/>
      <c r="L274" s="11"/>
      <c r="M274" s="13"/>
    </row>
    <row r="275" spans="1:13" x14ac:dyDescent="0.3">
      <c r="A275" s="7" t="s">
        <v>2858</v>
      </c>
      <c r="B275" s="8" t="s">
        <v>47</v>
      </c>
      <c r="C275" s="8"/>
      <c r="D275" s="8"/>
      <c r="E275" s="8"/>
      <c r="F275" s="8"/>
      <c r="G275" s="8"/>
      <c r="H275" s="8"/>
      <c r="I275" s="7" t="str">
        <f>IF(C275="","",SUMIFS(Roturas!$D$2:$D$2000,Roturas!$B$2:$B$2000,A275))</f>
        <v/>
      </c>
      <c r="J275" s="7" t="str">
        <f t="shared" si="4"/>
        <v/>
      </c>
      <c r="K275" s="8"/>
      <c r="L275" s="11"/>
      <c r="M275" s="13"/>
    </row>
    <row r="276" spans="1:13" x14ac:dyDescent="0.3">
      <c r="A276" s="7" t="s">
        <v>2859</v>
      </c>
      <c r="B276" s="8" t="s">
        <v>47</v>
      </c>
      <c r="C276" s="8"/>
      <c r="D276" s="8"/>
      <c r="E276" s="8"/>
      <c r="F276" s="8"/>
      <c r="G276" s="8"/>
      <c r="H276" s="8"/>
      <c r="I276" s="7" t="str">
        <f>IF(C276="","",SUMIFS(Roturas!$D$2:$D$2000,Roturas!$B$2:$B$2000,A276))</f>
        <v/>
      </c>
      <c r="J276" s="7" t="str">
        <f t="shared" si="4"/>
        <v/>
      </c>
      <c r="K276" s="8"/>
      <c r="L276" s="11"/>
      <c r="M276" s="13"/>
    </row>
    <row r="277" spans="1:13" x14ac:dyDescent="0.3">
      <c r="A277" s="7" t="s">
        <v>2860</v>
      </c>
      <c r="B277" s="8" t="s">
        <v>47</v>
      </c>
      <c r="C277" s="8"/>
      <c r="D277" s="8"/>
      <c r="E277" s="8"/>
      <c r="F277" s="8"/>
      <c r="G277" s="8"/>
      <c r="H277" s="8"/>
      <c r="I277" s="7" t="str">
        <f>IF(C277="","",SUMIFS(Roturas!$D$2:$D$2000,Roturas!$B$2:$B$2000,A277))</f>
        <v/>
      </c>
      <c r="J277" s="7" t="str">
        <f t="shared" si="4"/>
        <v/>
      </c>
      <c r="K277" s="8"/>
      <c r="L277" s="11"/>
      <c r="M277" s="13"/>
    </row>
    <row r="278" spans="1:13" x14ac:dyDescent="0.3">
      <c r="A278" s="7" t="s">
        <v>2861</v>
      </c>
      <c r="B278" s="8" t="s">
        <v>47</v>
      </c>
      <c r="C278" s="8"/>
      <c r="D278" s="8"/>
      <c r="E278" s="8"/>
      <c r="F278" s="8"/>
      <c r="G278" s="8"/>
      <c r="H278" s="8"/>
      <c r="I278" s="7" t="str">
        <f>IF(C278="","",SUMIFS(Roturas!$D$2:$D$2000,Roturas!$B$2:$B$2000,A278))</f>
        <v/>
      </c>
      <c r="J278" s="7" t="str">
        <f t="shared" si="4"/>
        <v/>
      </c>
      <c r="K278" s="8"/>
      <c r="L278" s="11"/>
      <c r="M278" s="13"/>
    </row>
    <row r="279" spans="1:13" x14ac:dyDescent="0.3">
      <c r="A279" s="7" t="s">
        <v>2862</v>
      </c>
      <c r="B279" s="8" t="s">
        <v>47</v>
      </c>
      <c r="C279" s="8"/>
      <c r="D279" s="8"/>
      <c r="E279" s="8"/>
      <c r="F279" s="8"/>
      <c r="G279" s="8"/>
      <c r="H279" s="8"/>
      <c r="I279" s="7" t="str">
        <f>IF(C279="","",SUMIFS(Roturas!$D$2:$D$2000,Roturas!$B$2:$B$2000,A279))</f>
        <v/>
      </c>
      <c r="J279" s="7" t="str">
        <f t="shared" si="4"/>
        <v/>
      </c>
      <c r="K279" s="8"/>
      <c r="L279" s="11"/>
      <c r="M279" s="13"/>
    </row>
    <row r="280" spans="1:13" x14ac:dyDescent="0.3">
      <c r="A280" s="7" t="s">
        <v>2863</v>
      </c>
      <c r="B280" s="8" t="s">
        <v>47</v>
      </c>
      <c r="C280" s="8"/>
      <c r="D280" s="8"/>
      <c r="E280" s="8"/>
      <c r="F280" s="8"/>
      <c r="G280" s="8"/>
      <c r="H280" s="8"/>
      <c r="I280" s="7" t="str">
        <f>IF(C280="","",SUMIFS(Roturas!$D$2:$D$2000,Roturas!$B$2:$B$2000,A280))</f>
        <v/>
      </c>
      <c r="J280" s="7" t="str">
        <f t="shared" si="4"/>
        <v/>
      </c>
      <c r="K280" s="8"/>
      <c r="L280" s="11"/>
      <c r="M280" s="13"/>
    </row>
    <row r="281" spans="1:13" x14ac:dyDescent="0.3">
      <c r="A281" s="7" t="s">
        <v>2864</v>
      </c>
      <c r="B281" s="8" t="s">
        <v>47</v>
      </c>
      <c r="C281" s="8"/>
      <c r="D281" s="8"/>
      <c r="E281" s="8"/>
      <c r="F281" s="8"/>
      <c r="G281" s="8"/>
      <c r="H281" s="8"/>
      <c r="I281" s="7" t="str">
        <f>IF(C281="","",SUMIFS(Roturas!$D$2:$D$2000,Roturas!$B$2:$B$2000,A281))</f>
        <v/>
      </c>
      <c r="J281" s="7" t="str">
        <f t="shared" si="4"/>
        <v/>
      </c>
      <c r="K281" s="8"/>
      <c r="L281" s="11"/>
      <c r="M281" s="13"/>
    </row>
    <row r="282" spans="1:13" x14ac:dyDescent="0.3">
      <c r="A282" s="7" t="s">
        <v>2865</v>
      </c>
      <c r="B282" s="8" t="s">
        <v>47</v>
      </c>
      <c r="C282" s="8"/>
      <c r="D282" s="8"/>
      <c r="E282" s="8"/>
      <c r="F282" s="8"/>
      <c r="G282" s="8"/>
      <c r="H282" s="8"/>
      <c r="I282" s="7" t="str">
        <f>IF(C282="","",SUMIFS(Roturas!$D$2:$D$2000,Roturas!$B$2:$B$2000,A282))</f>
        <v/>
      </c>
      <c r="J282" s="7" t="str">
        <f t="shared" si="4"/>
        <v/>
      </c>
      <c r="K282" s="8"/>
      <c r="L282" s="11"/>
      <c r="M282" s="13"/>
    </row>
    <row r="283" spans="1:13" x14ac:dyDescent="0.3">
      <c r="A283" s="7" t="s">
        <v>2866</v>
      </c>
      <c r="B283" s="8" t="s">
        <v>47</v>
      </c>
      <c r="C283" s="8"/>
      <c r="D283" s="8"/>
      <c r="E283" s="8"/>
      <c r="F283" s="8"/>
      <c r="G283" s="8"/>
      <c r="H283" s="8"/>
      <c r="I283" s="7" t="str">
        <f>IF(C283="","",SUMIFS(Roturas!$D$2:$D$2000,Roturas!$B$2:$B$2000,A283))</f>
        <v/>
      </c>
      <c r="J283" s="7" t="str">
        <f t="shared" si="4"/>
        <v/>
      </c>
      <c r="K283" s="8"/>
      <c r="L283" s="11"/>
      <c r="M283" s="13"/>
    </row>
    <row r="284" spans="1:13" x14ac:dyDescent="0.3">
      <c r="A284" s="7" t="s">
        <v>2867</v>
      </c>
      <c r="B284" s="8" t="s">
        <v>47</v>
      </c>
      <c r="C284" s="8"/>
      <c r="D284" s="8"/>
      <c r="E284" s="8"/>
      <c r="F284" s="8"/>
      <c r="G284" s="8"/>
      <c r="H284" s="8"/>
      <c r="I284" s="7" t="str">
        <f>IF(C284="","",SUMIFS(Roturas!$D$2:$D$2000,Roturas!$B$2:$B$2000,A284))</f>
        <v/>
      </c>
      <c r="J284" s="7" t="str">
        <f t="shared" si="4"/>
        <v/>
      </c>
      <c r="K284" s="8"/>
      <c r="L284" s="11"/>
      <c r="M284" s="13"/>
    </row>
    <row r="285" spans="1:13" x14ac:dyDescent="0.3">
      <c r="A285" s="7" t="s">
        <v>2868</v>
      </c>
      <c r="B285" s="8" t="s">
        <v>47</v>
      </c>
      <c r="C285" s="8"/>
      <c r="D285" s="8"/>
      <c r="E285" s="8"/>
      <c r="F285" s="8"/>
      <c r="G285" s="8"/>
      <c r="H285" s="8"/>
      <c r="I285" s="7" t="str">
        <f>IF(C285="","",SUMIFS(Roturas!$D$2:$D$2000,Roturas!$B$2:$B$2000,A285))</f>
        <v/>
      </c>
      <c r="J285" s="7" t="str">
        <f t="shared" si="4"/>
        <v/>
      </c>
      <c r="K285" s="8"/>
      <c r="L285" s="11"/>
      <c r="M285" s="13"/>
    </row>
    <row r="286" spans="1:13" x14ac:dyDescent="0.3">
      <c r="A286" s="7" t="s">
        <v>2869</v>
      </c>
      <c r="B286" s="8" t="s">
        <v>47</v>
      </c>
      <c r="C286" s="8"/>
      <c r="D286" s="8"/>
      <c r="E286" s="8"/>
      <c r="F286" s="8"/>
      <c r="G286" s="8"/>
      <c r="H286" s="8"/>
      <c r="I286" s="7" t="str">
        <f>IF(C286="","",SUMIFS(Roturas!$D$2:$D$2000,Roturas!$B$2:$B$2000,A286))</f>
        <v/>
      </c>
      <c r="J286" s="7" t="str">
        <f t="shared" si="4"/>
        <v/>
      </c>
      <c r="K286" s="8"/>
      <c r="L286" s="11"/>
      <c r="M286" s="13"/>
    </row>
    <row r="287" spans="1:13" x14ac:dyDescent="0.3">
      <c r="A287" s="7" t="s">
        <v>2870</v>
      </c>
      <c r="B287" s="8" t="s">
        <v>47</v>
      </c>
      <c r="C287" s="8"/>
      <c r="D287" s="8"/>
      <c r="E287" s="8"/>
      <c r="F287" s="8"/>
      <c r="G287" s="8"/>
      <c r="H287" s="8"/>
      <c r="I287" s="7" t="str">
        <f>IF(C287="","",SUMIFS(Roturas!$D$2:$D$2000,Roturas!$B$2:$B$2000,A287))</f>
        <v/>
      </c>
      <c r="J287" s="7" t="str">
        <f t="shared" si="4"/>
        <v/>
      </c>
      <c r="K287" s="8"/>
      <c r="L287" s="11"/>
      <c r="M287" s="13"/>
    </row>
    <row r="288" spans="1:13" x14ac:dyDescent="0.3">
      <c r="A288" s="7" t="s">
        <v>2871</v>
      </c>
      <c r="B288" s="8" t="s">
        <v>47</v>
      </c>
      <c r="C288" s="8"/>
      <c r="D288" s="8"/>
      <c r="E288" s="8"/>
      <c r="F288" s="8"/>
      <c r="G288" s="8"/>
      <c r="H288" s="8"/>
      <c r="I288" s="7" t="str">
        <f>IF(C288="","",SUMIFS(Roturas!$D$2:$D$2000,Roturas!$B$2:$B$2000,A288))</f>
        <v/>
      </c>
      <c r="J288" s="7" t="str">
        <f t="shared" si="4"/>
        <v/>
      </c>
      <c r="K288" s="8"/>
      <c r="L288" s="11"/>
      <c r="M288" s="13"/>
    </row>
    <row r="289" spans="1:13" x14ac:dyDescent="0.3">
      <c r="A289" s="7" t="s">
        <v>2872</v>
      </c>
      <c r="B289" s="8" t="s">
        <v>47</v>
      </c>
      <c r="C289" s="8"/>
      <c r="D289" s="8"/>
      <c r="E289" s="8"/>
      <c r="F289" s="8"/>
      <c r="G289" s="8"/>
      <c r="H289" s="8"/>
      <c r="I289" s="7" t="str">
        <f>IF(C289="","",SUMIFS(Roturas!$D$2:$D$2000,Roturas!$B$2:$B$2000,A289))</f>
        <v/>
      </c>
      <c r="J289" s="7" t="str">
        <f t="shared" si="4"/>
        <v/>
      </c>
      <c r="K289" s="8"/>
      <c r="L289" s="11"/>
      <c r="M289" s="13"/>
    </row>
    <row r="290" spans="1:13" x14ac:dyDescent="0.3">
      <c r="A290" s="7" t="s">
        <v>2873</v>
      </c>
      <c r="B290" s="8" t="s">
        <v>47</v>
      </c>
      <c r="C290" s="8"/>
      <c r="D290" s="8"/>
      <c r="E290" s="8"/>
      <c r="F290" s="8"/>
      <c r="G290" s="8"/>
      <c r="H290" s="8"/>
      <c r="I290" s="7" t="str">
        <f>IF(C290="","",SUMIFS(Roturas!$D$2:$D$2000,Roturas!$B$2:$B$2000,A290))</f>
        <v/>
      </c>
      <c r="J290" s="7" t="str">
        <f t="shared" si="4"/>
        <v/>
      </c>
      <c r="K290" s="8"/>
      <c r="L290" s="11"/>
      <c r="M290" s="13"/>
    </row>
    <row r="291" spans="1:13" x14ac:dyDescent="0.3">
      <c r="A291" s="7" t="s">
        <v>2874</v>
      </c>
      <c r="B291" s="8" t="s">
        <v>47</v>
      </c>
      <c r="C291" s="8"/>
      <c r="D291" s="8"/>
      <c r="E291" s="8"/>
      <c r="F291" s="8"/>
      <c r="G291" s="8"/>
      <c r="H291" s="8"/>
      <c r="I291" s="7" t="str">
        <f>IF(C291="","",SUMIFS(Roturas!$D$2:$D$2000,Roturas!$B$2:$B$2000,A291))</f>
        <v/>
      </c>
      <c r="J291" s="7" t="str">
        <f t="shared" si="4"/>
        <v/>
      </c>
      <c r="K291" s="8"/>
      <c r="L291" s="11"/>
      <c r="M291" s="13"/>
    </row>
    <row r="292" spans="1:13" x14ac:dyDescent="0.3">
      <c r="A292" s="7" t="s">
        <v>2875</v>
      </c>
      <c r="B292" s="8" t="s">
        <v>47</v>
      </c>
      <c r="C292" s="8"/>
      <c r="D292" s="8"/>
      <c r="E292" s="8"/>
      <c r="F292" s="8"/>
      <c r="G292" s="8"/>
      <c r="H292" s="8"/>
      <c r="I292" s="7" t="str">
        <f>IF(C292="","",SUMIFS(Roturas!$D$2:$D$2000,Roturas!$B$2:$B$2000,A292))</f>
        <v/>
      </c>
      <c r="J292" s="7" t="str">
        <f t="shared" si="4"/>
        <v/>
      </c>
      <c r="K292" s="8"/>
      <c r="L292" s="11"/>
      <c r="M292" s="13"/>
    </row>
    <row r="293" spans="1:13" x14ac:dyDescent="0.3">
      <c r="A293" s="7" t="s">
        <v>2876</v>
      </c>
      <c r="B293" s="8" t="s">
        <v>47</v>
      </c>
      <c r="C293" s="8"/>
      <c r="D293" s="8"/>
      <c r="E293" s="8"/>
      <c r="F293" s="8"/>
      <c r="G293" s="8"/>
      <c r="H293" s="8"/>
      <c r="I293" s="7" t="str">
        <f>IF(C293="","",SUMIFS(Roturas!$D$2:$D$2000,Roturas!$B$2:$B$2000,A293))</f>
        <v/>
      </c>
      <c r="J293" s="7" t="str">
        <f t="shared" si="4"/>
        <v/>
      </c>
      <c r="K293" s="8"/>
      <c r="L293" s="11"/>
      <c r="M293" s="13"/>
    </row>
    <row r="294" spans="1:13" x14ac:dyDescent="0.3">
      <c r="A294" s="7" t="s">
        <v>2877</v>
      </c>
      <c r="B294" s="8" t="s">
        <v>47</v>
      </c>
      <c r="C294" s="8"/>
      <c r="D294" s="8"/>
      <c r="E294" s="8"/>
      <c r="F294" s="8"/>
      <c r="G294" s="8"/>
      <c r="H294" s="8"/>
      <c r="I294" s="7" t="str">
        <f>IF(C294="","",SUMIFS(Roturas!$D$2:$D$2000,Roturas!$B$2:$B$2000,A294))</f>
        <v/>
      </c>
      <c r="J294" s="7" t="str">
        <f t="shared" si="4"/>
        <v/>
      </c>
      <c r="K294" s="8"/>
      <c r="L294" s="11"/>
      <c r="M294" s="13"/>
    </row>
    <row r="295" spans="1:13" x14ac:dyDescent="0.3">
      <c r="A295" s="7" t="s">
        <v>2878</v>
      </c>
      <c r="B295" s="8" t="s">
        <v>47</v>
      </c>
      <c r="C295" s="8"/>
      <c r="D295" s="8"/>
      <c r="E295" s="8"/>
      <c r="F295" s="8"/>
      <c r="G295" s="8"/>
      <c r="H295" s="8"/>
      <c r="I295" s="7" t="str">
        <f>IF(C295="","",SUMIFS(Roturas!$D$2:$D$2000,Roturas!$B$2:$B$2000,A295))</f>
        <v/>
      </c>
      <c r="J295" s="7" t="str">
        <f t="shared" si="4"/>
        <v/>
      </c>
      <c r="K295" s="8"/>
      <c r="L295" s="11"/>
      <c r="M295" s="13"/>
    </row>
    <row r="296" spans="1:13" x14ac:dyDescent="0.3">
      <c r="A296" s="7" t="s">
        <v>2879</v>
      </c>
      <c r="B296" s="8" t="s">
        <v>47</v>
      </c>
      <c r="C296" s="8"/>
      <c r="D296" s="8"/>
      <c r="E296" s="8"/>
      <c r="F296" s="8"/>
      <c r="G296" s="8"/>
      <c r="H296" s="8"/>
      <c r="I296" s="7" t="str">
        <f>IF(C296="","",SUMIFS(Roturas!$D$2:$D$2000,Roturas!$B$2:$B$2000,A296))</f>
        <v/>
      </c>
      <c r="J296" s="7" t="str">
        <f t="shared" si="4"/>
        <v/>
      </c>
      <c r="K296" s="8"/>
      <c r="L296" s="11"/>
      <c r="M296" s="13"/>
    </row>
    <row r="297" spans="1:13" x14ac:dyDescent="0.3">
      <c r="A297" s="7" t="s">
        <v>2880</v>
      </c>
      <c r="B297" s="8" t="s">
        <v>47</v>
      </c>
      <c r="C297" s="8"/>
      <c r="D297" s="8"/>
      <c r="E297" s="8"/>
      <c r="F297" s="8"/>
      <c r="G297" s="8"/>
      <c r="H297" s="8"/>
      <c r="I297" s="7" t="str">
        <f>IF(C297="","",SUMIFS(Roturas!$D$2:$D$2000,Roturas!$B$2:$B$2000,A297))</f>
        <v/>
      </c>
      <c r="J297" s="7" t="str">
        <f t="shared" si="4"/>
        <v/>
      </c>
      <c r="K297" s="8"/>
      <c r="L297" s="11"/>
      <c r="M297" s="13"/>
    </row>
    <row r="298" spans="1:13" x14ac:dyDescent="0.3">
      <c r="A298" s="7" t="s">
        <v>2881</v>
      </c>
      <c r="B298" s="8" t="s">
        <v>47</v>
      </c>
      <c r="C298" s="8"/>
      <c r="D298" s="8"/>
      <c r="E298" s="8"/>
      <c r="F298" s="8"/>
      <c r="G298" s="8"/>
      <c r="H298" s="8"/>
      <c r="I298" s="7" t="str">
        <f>IF(C298="","",SUMIFS(Roturas!$D$2:$D$2000,Roturas!$B$2:$B$2000,A298))</f>
        <v/>
      </c>
      <c r="J298" s="7" t="str">
        <f t="shared" si="4"/>
        <v/>
      </c>
      <c r="K298" s="8"/>
      <c r="L298" s="11"/>
      <c r="M298" s="13"/>
    </row>
    <row r="299" spans="1:13" x14ac:dyDescent="0.3">
      <c r="A299" s="7" t="s">
        <v>2882</v>
      </c>
      <c r="B299" s="8" t="s">
        <v>47</v>
      </c>
      <c r="C299" s="8"/>
      <c r="D299" s="8"/>
      <c r="E299" s="8"/>
      <c r="F299" s="8"/>
      <c r="G299" s="8"/>
      <c r="H299" s="8"/>
      <c r="I299" s="7" t="str">
        <f>IF(C299="","",SUMIFS(Roturas!$D$2:$D$2000,Roturas!$B$2:$B$2000,A299))</f>
        <v/>
      </c>
      <c r="J299" s="7" t="str">
        <f t="shared" si="4"/>
        <v/>
      </c>
      <c r="K299" s="8"/>
      <c r="L299" s="11"/>
      <c r="M299" s="13"/>
    </row>
    <row r="300" spans="1:13" x14ac:dyDescent="0.3">
      <c r="A300" s="7" t="s">
        <v>2883</v>
      </c>
      <c r="B300" s="8" t="s">
        <v>47</v>
      </c>
      <c r="C300" s="8"/>
      <c r="D300" s="8"/>
      <c r="E300" s="8"/>
      <c r="F300" s="8"/>
      <c r="G300" s="8"/>
      <c r="H300" s="8"/>
      <c r="I300" s="7" t="str">
        <f>IF(C300="","",SUMIFS(Roturas!$D$2:$D$2000,Roturas!$B$2:$B$2000,A300))</f>
        <v/>
      </c>
      <c r="J300" s="7" t="str">
        <f t="shared" si="4"/>
        <v/>
      </c>
      <c r="K300" s="8"/>
      <c r="L300" s="11"/>
      <c r="M300" s="13"/>
    </row>
    <row r="301" spans="1:13" x14ac:dyDescent="0.3">
      <c r="A301" s="7" t="s">
        <v>2884</v>
      </c>
      <c r="B301" s="8" t="s">
        <v>47</v>
      </c>
      <c r="C301" s="8"/>
      <c r="D301" s="8"/>
      <c r="E301" s="8"/>
      <c r="F301" s="8"/>
      <c r="G301" s="8"/>
      <c r="H301" s="8"/>
      <c r="I301" s="7" t="str">
        <f>IF(C301="","",SUMIFS(Roturas!$D$2:$D$2000,Roturas!$B$2:$B$2000,A301))</f>
        <v/>
      </c>
      <c r="J301" s="7" t="str">
        <f t="shared" si="4"/>
        <v/>
      </c>
      <c r="K301" s="8"/>
      <c r="L301" s="11"/>
      <c r="M301" s="13"/>
    </row>
  </sheetData>
  <autoFilter ref="A1:M301" xr:uid="{00000000-0009-0000-0000-000005000000}"/>
  <conditionalFormatting sqref="A2:M301">
    <cfRule type="expression" dxfId="1" priority="2">
      <formula>$B2="Sí"</formula>
    </cfRule>
  </conditionalFormatting>
  <conditionalFormatting sqref="J2:J301">
    <cfRule type="expression" dxfId="0" priority="1">
      <formula>AND(ISNUMBER(J2),J2&lt;0)</formula>
    </cfRule>
  </conditionalFormatting>
  <dataValidations count="2">
    <dataValidation type="list" allowBlank="1" showErrorMessage="1" sqref="B2:B301" xr:uid="{00000000-0002-0000-0500-000001000000}">
      <formula1>"Sí,No"</formula1>
    </dataValidation>
    <dataValidation type="whole" operator="greaterThanOrEqual" allowBlank="1" showErrorMessage="1" error="Número entero de 0 o más" sqref="F2:F301 G2:G301 H2:H301" xr:uid="{00000000-0002-0000-0500-000002000000}">
      <formula1>0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0000000}">
          <x14:formula1>
            <xm:f>Listas!$H$2:$H$6</xm:f>
          </x14:formula1>
          <xm:sqref>E2:E301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14" customWidth="1"/>
    <col min="3" max="3" width="36" customWidth="1"/>
    <col min="4" max="4" width="13" customWidth="1"/>
    <col min="5" max="5" width="34" customWidth="1"/>
    <col min="6" max="6" width="20" customWidth="1"/>
    <col min="7" max="7" width="34" customWidth="1"/>
  </cols>
  <sheetData>
    <row r="1" spans="1:7" ht="42" customHeight="1" x14ac:dyDescent="0.3">
      <c r="A1" s="6" t="s">
        <v>1755</v>
      </c>
      <c r="B1" s="6" t="s">
        <v>2885</v>
      </c>
      <c r="C1" s="5" t="s">
        <v>2886</v>
      </c>
      <c r="D1" s="6" t="s">
        <v>2887</v>
      </c>
      <c r="E1" s="6" t="s">
        <v>1758</v>
      </c>
      <c r="F1" s="6" t="s">
        <v>2888</v>
      </c>
      <c r="G1" s="6" t="s">
        <v>1760</v>
      </c>
    </row>
    <row r="2" spans="1:7" x14ac:dyDescent="0.3">
      <c r="A2" s="11"/>
      <c r="B2" s="8"/>
      <c r="C2" s="7" t="str">
        <f>IF(B2="","",IFERROR(INDEX(Vidriería!$C$2:$C$301,MATCH(B2,Vidriería!$A$2:$A$301,0))&amp;" "&amp;INDEX(Vidriería!$D$2:$D$301,MATCH(B2,Vidriería!$A$2:$A$301,0)),"ID no existe"))</f>
        <v/>
      </c>
      <c r="D2" s="8"/>
      <c r="E2" s="8"/>
      <c r="F2" s="8"/>
      <c r="G2" s="13"/>
    </row>
    <row r="3" spans="1:7" x14ac:dyDescent="0.3">
      <c r="A3" s="11"/>
      <c r="B3" s="8"/>
      <c r="C3" s="7" t="str">
        <f>IF(B3="","",IFERROR(INDEX(Vidriería!$C$2:$C$301,MATCH(B3,Vidriería!$A$2:$A$301,0))&amp;" "&amp;INDEX(Vidriería!$D$2:$D$301,MATCH(B3,Vidriería!$A$2:$A$301,0)),"ID no existe"))</f>
        <v/>
      </c>
      <c r="D3" s="8"/>
      <c r="E3" s="8"/>
      <c r="F3" s="8"/>
      <c r="G3" s="13"/>
    </row>
    <row r="4" spans="1:7" x14ac:dyDescent="0.3">
      <c r="A4" s="11"/>
      <c r="B4" s="8"/>
      <c r="C4" s="7" t="str">
        <f>IF(B4="","",IFERROR(INDEX(Vidriería!$C$2:$C$301,MATCH(B4,Vidriería!$A$2:$A$301,0))&amp;" "&amp;INDEX(Vidriería!$D$2:$D$301,MATCH(B4,Vidriería!$A$2:$A$301,0)),"ID no existe"))</f>
        <v/>
      </c>
      <c r="D4" s="8"/>
      <c r="E4" s="8"/>
      <c r="F4" s="8"/>
      <c r="G4" s="13"/>
    </row>
    <row r="5" spans="1:7" x14ac:dyDescent="0.3">
      <c r="A5" s="11"/>
      <c r="B5" s="8"/>
      <c r="C5" s="7" t="str">
        <f>IF(B5="","",IFERROR(INDEX(Vidriería!$C$2:$C$301,MATCH(B5,Vidriería!$A$2:$A$301,0))&amp;" "&amp;INDEX(Vidriería!$D$2:$D$301,MATCH(B5,Vidriería!$A$2:$A$301,0)),"ID no existe"))</f>
        <v/>
      </c>
      <c r="D5" s="8"/>
      <c r="E5" s="8"/>
      <c r="F5" s="8"/>
      <c r="G5" s="13"/>
    </row>
    <row r="6" spans="1:7" x14ac:dyDescent="0.3">
      <c r="A6" s="11"/>
      <c r="B6" s="8"/>
      <c r="C6" s="7" t="str">
        <f>IF(B6="","",IFERROR(INDEX(Vidriería!$C$2:$C$301,MATCH(B6,Vidriería!$A$2:$A$301,0))&amp;" "&amp;INDEX(Vidriería!$D$2:$D$301,MATCH(B6,Vidriería!$A$2:$A$301,0)),"ID no existe"))</f>
        <v/>
      </c>
      <c r="D6" s="8"/>
      <c r="E6" s="8"/>
      <c r="F6" s="8"/>
      <c r="G6" s="13"/>
    </row>
    <row r="7" spans="1:7" x14ac:dyDescent="0.3">
      <c r="A7" s="11"/>
      <c r="B7" s="8"/>
      <c r="C7" s="7" t="str">
        <f>IF(B7="","",IFERROR(INDEX(Vidriería!$C$2:$C$301,MATCH(B7,Vidriería!$A$2:$A$301,0))&amp;" "&amp;INDEX(Vidriería!$D$2:$D$301,MATCH(B7,Vidriería!$A$2:$A$301,0)),"ID no existe"))</f>
        <v/>
      </c>
      <c r="D7" s="8"/>
      <c r="E7" s="8"/>
      <c r="F7" s="8"/>
      <c r="G7" s="13"/>
    </row>
    <row r="8" spans="1:7" x14ac:dyDescent="0.3">
      <c r="A8" s="11"/>
      <c r="B8" s="8"/>
      <c r="C8" s="7" t="str">
        <f>IF(B8="","",IFERROR(INDEX(Vidriería!$C$2:$C$301,MATCH(B8,Vidriería!$A$2:$A$301,0))&amp;" "&amp;INDEX(Vidriería!$D$2:$D$301,MATCH(B8,Vidriería!$A$2:$A$301,0)),"ID no existe"))</f>
        <v/>
      </c>
      <c r="D8" s="8"/>
      <c r="E8" s="8"/>
      <c r="F8" s="8"/>
      <c r="G8" s="13"/>
    </row>
    <row r="9" spans="1:7" x14ac:dyDescent="0.3">
      <c r="A9" s="11"/>
      <c r="B9" s="8"/>
      <c r="C9" s="7" t="str">
        <f>IF(B9="","",IFERROR(INDEX(Vidriería!$C$2:$C$301,MATCH(B9,Vidriería!$A$2:$A$301,0))&amp;" "&amp;INDEX(Vidriería!$D$2:$D$301,MATCH(B9,Vidriería!$A$2:$A$301,0)),"ID no existe"))</f>
        <v/>
      </c>
      <c r="D9" s="8"/>
      <c r="E9" s="8"/>
      <c r="F9" s="8"/>
      <c r="G9" s="13"/>
    </row>
    <row r="10" spans="1:7" x14ac:dyDescent="0.3">
      <c r="A10" s="11"/>
      <c r="B10" s="8"/>
      <c r="C10" s="7" t="str">
        <f>IF(B10="","",IFERROR(INDEX(Vidriería!$C$2:$C$301,MATCH(B10,Vidriería!$A$2:$A$301,0))&amp;" "&amp;INDEX(Vidriería!$D$2:$D$301,MATCH(B10,Vidriería!$A$2:$A$301,0)),"ID no existe"))</f>
        <v/>
      </c>
      <c r="D10" s="8"/>
      <c r="E10" s="8"/>
      <c r="F10" s="8"/>
      <c r="G10" s="13"/>
    </row>
    <row r="11" spans="1:7" x14ac:dyDescent="0.3">
      <c r="A11" s="11"/>
      <c r="B11" s="8"/>
      <c r="C11" s="7" t="str">
        <f>IF(B11="","",IFERROR(INDEX(Vidriería!$C$2:$C$301,MATCH(B11,Vidriería!$A$2:$A$301,0))&amp;" "&amp;INDEX(Vidriería!$D$2:$D$301,MATCH(B11,Vidriería!$A$2:$A$301,0)),"ID no existe"))</f>
        <v/>
      </c>
      <c r="D11" s="8"/>
      <c r="E11" s="8"/>
      <c r="F11" s="8"/>
      <c r="G11" s="13"/>
    </row>
    <row r="12" spans="1:7" x14ac:dyDescent="0.3">
      <c r="A12" s="11"/>
      <c r="B12" s="8"/>
      <c r="C12" s="7" t="str">
        <f>IF(B12="","",IFERROR(INDEX(Vidriería!$C$2:$C$301,MATCH(B12,Vidriería!$A$2:$A$301,0))&amp;" "&amp;INDEX(Vidriería!$D$2:$D$301,MATCH(B12,Vidriería!$A$2:$A$301,0)),"ID no existe"))</f>
        <v/>
      </c>
      <c r="D12" s="8"/>
      <c r="E12" s="8"/>
      <c r="F12" s="8"/>
      <c r="G12" s="13"/>
    </row>
    <row r="13" spans="1:7" x14ac:dyDescent="0.3">
      <c r="A13" s="11"/>
      <c r="B13" s="8"/>
      <c r="C13" s="7" t="str">
        <f>IF(B13="","",IFERROR(INDEX(Vidriería!$C$2:$C$301,MATCH(B13,Vidriería!$A$2:$A$301,0))&amp;" "&amp;INDEX(Vidriería!$D$2:$D$301,MATCH(B13,Vidriería!$A$2:$A$301,0)),"ID no existe"))</f>
        <v/>
      </c>
      <c r="D13" s="8"/>
      <c r="E13" s="8"/>
      <c r="F13" s="8"/>
      <c r="G13" s="13"/>
    </row>
    <row r="14" spans="1:7" x14ac:dyDescent="0.3">
      <c r="A14" s="11"/>
      <c r="B14" s="8"/>
      <c r="C14" s="7" t="str">
        <f>IF(B14="","",IFERROR(INDEX(Vidriería!$C$2:$C$301,MATCH(B14,Vidriería!$A$2:$A$301,0))&amp;" "&amp;INDEX(Vidriería!$D$2:$D$301,MATCH(B14,Vidriería!$A$2:$A$301,0)),"ID no existe"))</f>
        <v/>
      </c>
      <c r="D14" s="8"/>
      <c r="E14" s="8"/>
      <c r="F14" s="8"/>
      <c r="G14" s="13"/>
    </row>
    <row r="15" spans="1:7" x14ac:dyDescent="0.3">
      <c r="A15" s="11"/>
      <c r="B15" s="8"/>
      <c r="C15" s="7" t="str">
        <f>IF(B15="","",IFERROR(INDEX(Vidriería!$C$2:$C$301,MATCH(B15,Vidriería!$A$2:$A$301,0))&amp;" "&amp;INDEX(Vidriería!$D$2:$D$301,MATCH(B15,Vidriería!$A$2:$A$301,0)),"ID no existe"))</f>
        <v/>
      </c>
      <c r="D15" s="8"/>
      <c r="E15" s="8"/>
      <c r="F15" s="8"/>
      <c r="G15" s="13"/>
    </row>
    <row r="16" spans="1:7" x14ac:dyDescent="0.3">
      <c r="A16" s="11"/>
      <c r="B16" s="8"/>
      <c r="C16" s="7" t="str">
        <f>IF(B16="","",IFERROR(INDEX(Vidriería!$C$2:$C$301,MATCH(B16,Vidriería!$A$2:$A$301,0))&amp;" "&amp;INDEX(Vidriería!$D$2:$D$301,MATCH(B16,Vidriería!$A$2:$A$301,0)),"ID no existe"))</f>
        <v/>
      </c>
      <c r="D16" s="8"/>
      <c r="E16" s="8"/>
      <c r="F16" s="8"/>
      <c r="G16" s="13"/>
    </row>
    <row r="17" spans="1:7" x14ac:dyDescent="0.3">
      <c r="A17" s="11"/>
      <c r="B17" s="8"/>
      <c r="C17" s="7" t="str">
        <f>IF(B17="","",IFERROR(INDEX(Vidriería!$C$2:$C$301,MATCH(B17,Vidriería!$A$2:$A$301,0))&amp;" "&amp;INDEX(Vidriería!$D$2:$D$301,MATCH(B17,Vidriería!$A$2:$A$301,0)),"ID no existe"))</f>
        <v/>
      </c>
      <c r="D17" s="8"/>
      <c r="E17" s="8"/>
      <c r="F17" s="8"/>
      <c r="G17" s="13"/>
    </row>
    <row r="18" spans="1:7" x14ac:dyDescent="0.3">
      <c r="A18" s="11"/>
      <c r="B18" s="8"/>
      <c r="C18" s="7" t="str">
        <f>IF(B18="","",IFERROR(INDEX(Vidriería!$C$2:$C$301,MATCH(B18,Vidriería!$A$2:$A$301,0))&amp;" "&amp;INDEX(Vidriería!$D$2:$D$301,MATCH(B18,Vidriería!$A$2:$A$301,0)),"ID no existe"))</f>
        <v/>
      </c>
      <c r="D18" s="8"/>
      <c r="E18" s="8"/>
      <c r="F18" s="8"/>
      <c r="G18" s="13"/>
    </row>
    <row r="19" spans="1:7" x14ac:dyDescent="0.3">
      <c r="A19" s="11"/>
      <c r="B19" s="8"/>
      <c r="C19" s="7" t="str">
        <f>IF(B19="","",IFERROR(INDEX(Vidriería!$C$2:$C$301,MATCH(B19,Vidriería!$A$2:$A$301,0))&amp;" "&amp;INDEX(Vidriería!$D$2:$D$301,MATCH(B19,Vidriería!$A$2:$A$301,0)),"ID no existe"))</f>
        <v/>
      </c>
      <c r="D19" s="8"/>
      <c r="E19" s="8"/>
      <c r="F19" s="8"/>
      <c r="G19" s="13"/>
    </row>
    <row r="20" spans="1:7" x14ac:dyDescent="0.3">
      <c r="A20" s="11"/>
      <c r="B20" s="8"/>
      <c r="C20" s="7" t="str">
        <f>IF(B20="","",IFERROR(INDEX(Vidriería!$C$2:$C$301,MATCH(B20,Vidriería!$A$2:$A$301,0))&amp;" "&amp;INDEX(Vidriería!$D$2:$D$301,MATCH(B20,Vidriería!$A$2:$A$301,0)),"ID no existe"))</f>
        <v/>
      </c>
      <c r="D20" s="8"/>
      <c r="E20" s="8"/>
      <c r="F20" s="8"/>
      <c r="G20" s="13"/>
    </row>
    <row r="21" spans="1:7" x14ac:dyDescent="0.3">
      <c r="A21" s="11"/>
      <c r="B21" s="8"/>
      <c r="C21" s="7" t="str">
        <f>IF(B21="","",IFERROR(INDEX(Vidriería!$C$2:$C$301,MATCH(B21,Vidriería!$A$2:$A$301,0))&amp;" "&amp;INDEX(Vidriería!$D$2:$D$301,MATCH(B21,Vidriería!$A$2:$A$301,0)),"ID no existe"))</f>
        <v/>
      </c>
      <c r="D21" s="8"/>
      <c r="E21" s="8"/>
      <c r="F21" s="8"/>
      <c r="G21" s="13"/>
    </row>
    <row r="22" spans="1:7" x14ac:dyDescent="0.3">
      <c r="A22" s="11"/>
      <c r="B22" s="8"/>
      <c r="C22" s="7" t="str">
        <f>IF(B22="","",IFERROR(INDEX(Vidriería!$C$2:$C$301,MATCH(B22,Vidriería!$A$2:$A$301,0))&amp;" "&amp;INDEX(Vidriería!$D$2:$D$301,MATCH(B22,Vidriería!$A$2:$A$301,0)),"ID no existe"))</f>
        <v/>
      </c>
      <c r="D22" s="8"/>
      <c r="E22" s="8"/>
      <c r="F22" s="8"/>
      <c r="G22" s="13"/>
    </row>
    <row r="23" spans="1:7" x14ac:dyDescent="0.3">
      <c r="A23" s="11"/>
      <c r="B23" s="8"/>
      <c r="C23" s="7" t="str">
        <f>IF(B23="","",IFERROR(INDEX(Vidriería!$C$2:$C$301,MATCH(B23,Vidriería!$A$2:$A$301,0))&amp;" "&amp;INDEX(Vidriería!$D$2:$D$301,MATCH(B23,Vidriería!$A$2:$A$301,0)),"ID no existe"))</f>
        <v/>
      </c>
      <c r="D23" s="8"/>
      <c r="E23" s="8"/>
      <c r="F23" s="8"/>
      <c r="G23" s="13"/>
    </row>
    <row r="24" spans="1:7" x14ac:dyDescent="0.3">
      <c r="A24" s="11"/>
      <c r="B24" s="8"/>
      <c r="C24" s="7" t="str">
        <f>IF(B24="","",IFERROR(INDEX(Vidriería!$C$2:$C$301,MATCH(B24,Vidriería!$A$2:$A$301,0))&amp;" "&amp;INDEX(Vidriería!$D$2:$D$301,MATCH(B24,Vidriería!$A$2:$A$301,0)),"ID no existe"))</f>
        <v/>
      </c>
      <c r="D24" s="8"/>
      <c r="E24" s="8"/>
      <c r="F24" s="8"/>
      <c r="G24" s="13"/>
    </row>
    <row r="25" spans="1:7" x14ac:dyDescent="0.3">
      <c r="A25" s="11"/>
      <c r="B25" s="8"/>
      <c r="C25" s="7" t="str">
        <f>IF(B25="","",IFERROR(INDEX(Vidriería!$C$2:$C$301,MATCH(B25,Vidriería!$A$2:$A$301,0))&amp;" "&amp;INDEX(Vidriería!$D$2:$D$301,MATCH(B25,Vidriería!$A$2:$A$301,0)),"ID no existe"))</f>
        <v/>
      </c>
      <c r="D25" s="8"/>
      <c r="E25" s="8"/>
      <c r="F25" s="8"/>
      <c r="G25" s="13"/>
    </row>
    <row r="26" spans="1:7" x14ac:dyDescent="0.3">
      <c r="A26" s="11"/>
      <c r="B26" s="8"/>
      <c r="C26" s="7" t="str">
        <f>IF(B26="","",IFERROR(INDEX(Vidriería!$C$2:$C$301,MATCH(B26,Vidriería!$A$2:$A$301,0))&amp;" "&amp;INDEX(Vidriería!$D$2:$D$301,MATCH(B26,Vidriería!$A$2:$A$301,0)),"ID no existe"))</f>
        <v/>
      </c>
      <c r="D26" s="8"/>
      <c r="E26" s="8"/>
      <c r="F26" s="8"/>
      <c r="G26" s="13"/>
    </row>
    <row r="27" spans="1:7" x14ac:dyDescent="0.3">
      <c r="A27" s="11"/>
      <c r="B27" s="8"/>
      <c r="C27" s="7" t="str">
        <f>IF(B27="","",IFERROR(INDEX(Vidriería!$C$2:$C$301,MATCH(B27,Vidriería!$A$2:$A$301,0))&amp;" "&amp;INDEX(Vidriería!$D$2:$D$301,MATCH(B27,Vidriería!$A$2:$A$301,0)),"ID no existe"))</f>
        <v/>
      </c>
      <c r="D27" s="8"/>
      <c r="E27" s="8"/>
      <c r="F27" s="8"/>
      <c r="G27" s="13"/>
    </row>
    <row r="28" spans="1:7" x14ac:dyDescent="0.3">
      <c r="A28" s="11"/>
      <c r="B28" s="8"/>
      <c r="C28" s="7" t="str">
        <f>IF(B28="","",IFERROR(INDEX(Vidriería!$C$2:$C$301,MATCH(B28,Vidriería!$A$2:$A$301,0))&amp;" "&amp;INDEX(Vidriería!$D$2:$D$301,MATCH(B28,Vidriería!$A$2:$A$301,0)),"ID no existe"))</f>
        <v/>
      </c>
      <c r="D28" s="8"/>
      <c r="E28" s="8"/>
      <c r="F28" s="8"/>
      <c r="G28" s="13"/>
    </row>
    <row r="29" spans="1:7" x14ac:dyDescent="0.3">
      <c r="A29" s="11"/>
      <c r="B29" s="8"/>
      <c r="C29" s="7" t="str">
        <f>IF(B29="","",IFERROR(INDEX(Vidriería!$C$2:$C$301,MATCH(B29,Vidriería!$A$2:$A$301,0))&amp;" "&amp;INDEX(Vidriería!$D$2:$D$301,MATCH(B29,Vidriería!$A$2:$A$301,0)),"ID no existe"))</f>
        <v/>
      </c>
      <c r="D29" s="8"/>
      <c r="E29" s="8"/>
      <c r="F29" s="8"/>
      <c r="G29" s="13"/>
    </row>
    <row r="30" spans="1:7" x14ac:dyDescent="0.3">
      <c r="A30" s="11"/>
      <c r="B30" s="8"/>
      <c r="C30" s="7" t="str">
        <f>IF(B30="","",IFERROR(INDEX(Vidriería!$C$2:$C$301,MATCH(B30,Vidriería!$A$2:$A$301,0))&amp;" "&amp;INDEX(Vidriería!$D$2:$D$301,MATCH(B30,Vidriería!$A$2:$A$301,0)),"ID no existe"))</f>
        <v/>
      </c>
      <c r="D30" s="8"/>
      <c r="E30" s="8"/>
      <c r="F30" s="8"/>
      <c r="G30" s="13"/>
    </row>
    <row r="31" spans="1:7" x14ac:dyDescent="0.3">
      <c r="A31" s="11"/>
      <c r="B31" s="8"/>
      <c r="C31" s="7" t="str">
        <f>IF(B31="","",IFERROR(INDEX(Vidriería!$C$2:$C$301,MATCH(B31,Vidriería!$A$2:$A$301,0))&amp;" "&amp;INDEX(Vidriería!$D$2:$D$301,MATCH(B31,Vidriería!$A$2:$A$301,0)),"ID no existe"))</f>
        <v/>
      </c>
      <c r="D31" s="8"/>
      <c r="E31" s="8"/>
      <c r="F31" s="8"/>
      <c r="G31" s="13"/>
    </row>
    <row r="32" spans="1:7" x14ac:dyDescent="0.3">
      <c r="A32" s="11"/>
      <c r="B32" s="8"/>
      <c r="C32" s="7" t="str">
        <f>IF(B32="","",IFERROR(INDEX(Vidriería!$C$2:$C$301,MATCH(B32,Vidriería!$A$2:$A$301,0))&amp;" "&amp;INDEX(Vidriería!$D$2:$D$301,MATCH(B32,Vidriería!$A$2:$A$301,0)),"ID no existe"))</f>
        <v/>
      </c>
      <c r="D32" s="8"/>
      <c r="E32" s="8"/>
      <c r="F32" s="8"/>
      <c r="G32" s="13"/>
    </row>
    <row r="33" spans="1:7" x14ac:dyDescent="0.3">
      <c r="A33" s="11"/>
      <c r="B33" s="8"/>
      <c r="C33" s="7" t="str">
        <f>IF(B33="","",IFERROR(INDEX(Vidriería!$C$2:$C$301,MATCH(B33,Vidriería!$A$2:$A$301,0))&amp;" "&amp;INDEX(Vidriería!$D$2:$D$301,MATCH(B33,Vidriería!$A$2:$A$301,0)),"ID no existe"))</f>
        <v/>
      </c>
      <c r="D33" s="8"/>
      <c r="E33" s="8"/>
      <c r="F33" s="8"/>
      <c r="G33" s="13"/>
    </row>
    <row r="34" spans="1:7" x14ac:dyDescent="0.3">
      <c r="A34" s="11"/>
      <c r="B34" s="8"/>
      <c r="C34" s="7" t="str">
        <f>IF(B34="","",IFERROR(INDEX(Vidriería!$C$2:$C$301,MATCH(B34,Vidriería!$A$2:$A$301,0))&amp;" "&amp;INDEX(Vidriería!$D$2:$D$301,MATCH(B34,Vidriería!$A$2:$A$301,0)),"ID no existe"))</f>
        <v/>
      </c>
      <c r="D34" s="8"/>
      <c r="E34" s="8"/>
      <c r="F34" s="8"/>
      <c r="G34" s="13"/>
    </row>
    <row r="35" spans="1:7" x14ac:dyDescent="0.3">
      <c r="A35" s="11"/>
      <c r="B35" s="8"/>
      <c r="C35" s="7" t="str">
        <f>IF(B35="","",IFERROR(INDEX(Vidriería!$C$2:$C$301,MATCH(B35,Vidriería!$A$2:$A$301,0))&amp;" "&amp;INDEX(Vidriería!$D$2:$D$301,MATCH(B35,Vidriería!$A$2:$A$301,0)),"ID no existe"))</f>
        <v/>
      </c>
      <c r="D35" s="8"/>
      <c r="E35" s="8"/>
      <c r="F35" s="8"/>
      <c r="G35" s="13"/>
    </row>
    <row r="36" spans="1:7" x14ac:dyDescent="0.3">
      <c r="A36" s="11"/>
      <c r="B36" s="8"/>
      <c r="C36" s="7" t="str">
        <f>IF(B36="","",IFERROR(INDEX(Vidriería!$C$2:$C$301,MATCH(B36,Vidriería!$A$2:$A$301,0))&amp;" "&amp;INDEX(Vidriería!$D$2:$D$301,MATCH(B36,Vidriería!$A$2:$A$301,0)),"ID no existe"))</f>
        <v/>
      </c>
      <c r="D36" s="8"/>
      <c r="E36" s="8"/>
      <c r="F36" s="8"/>
      <c r="G36" s="13"/>
    </row>
    <row r="37" spans="1:7" x14ac:dyDescent="0.3">
      <c r="A37" s="11"/>
      <c r="B37" s="8"/>
      <c r="C37" s="7" t="str">
        <f>IF(B37="","",IFERROR(INDEX(Vidriería!$C$2:$C$301,MATCH(B37,Vidriería!$A$2:$A$301,0))&amp;" "&amp;INDEX(Vidriería!$D$2:$D$301,MATCH(B37,Vidriería!$A$2:$A$301,0)),"ID no existe"))</f>
        <v/>
      </c>
      <c r="D37" s="8"/>
      <c r="E37" s="8"/>
      <c r="F37" s="8"/>
      <c r="G37" s="13"/>
    </row>
    <row r="38" spans="1:7" x14ac:dyDescent="0.3">
      <c r="A38" s="11"/>
      <c r="B38" s="8"/>
      <c r="C38" s="7" t="str">
        <f>IF(B38="","",IFERROR(INDEX(Vidriería!$C$2:$C$301,MATCH(B38,Vidriería!$A$2:$A$301,0))&amp;" "&amp;INDEX(Vidriería!$D$2:$D$301,MATCH(B38,Vidriería!$A$2:$A$301,0)),"ID no existe"))</f>
        <v/>
      </c>
      <c r="D38" s="8"/>
      <c r="E38" s="8"/>
      <c r="F38" s="8"/>
      <c r="G38" s="13"/>
    </row>
    <row r="39" spans="1:7" x14ac:dyDescent="0.3">
      <c r="A39" s="11"/>
      <c r="B39" s="8"/>
      <c r="C39" s="7" t="str">
        <f>IF(B39="","",IFERROR(INDEX(Vidriería!$C$2:$C$301,MATCH(B39,Vidriería!$A$2:$A$301,0))&amp;" "&amp;INDEX(Vidriería!$D$2:$D$301,MATCH(B39,Vidriería!$A$2:$A$301,0)),"ID no existe"))</f>
        <v/>
      </c>
      <c r="D39" s="8"/>
      <c r="E39" s="8"/>
      <c r="F39" s="8"/>
      <c r="G39" s="13"/>
    </row>
    <row r="40" spans="1:7" x14ac:dyDescent="0.3">
      <c r="A40" s="11"/>
      <c r="B40" s="8"/>
      <c r="C40" s="7" t="str">
        <f>IF(B40="","",IFERROR(INDEX(Vidriería!$C$2:$C$301,MATCH(B40,Vidriería!$A$2:$A$301,0))&amp;" "&amp;INDEX(Vidriería!$D$2:$D$301,MATCH(B40,Vidriería!$A$2:$A$301,0)),"ID no existe"))</f>
        <v/>
      </c>
      <c r="D40" s="8"/>
      <c r="E40" s="8"/>
      <c r="F40" s="8"/>
      <c r="G40" s="13"/>
    </row>
    <row r="41" spans="1:7" x14ac:dyDescent="0.3">
      <c r="A41" s="11"/>
      <c r="B41" s="8"/>
      <c r="C41" s="7" t="str">
        <f>IF(B41="","",IFERROR(INDEX(Vidriería!$C$2:$C$301,MATCH(B41,Vidriería!$A$2:$A$301,0))&amp;" "&amp;INDEX(Vidriería!$D$2:$D$301,MATCH(B41,Vidriería!$A$2:$A$301,0)),"ID no existe"))</f>
        <v/>
      </c>
      <c r="D41" s="8"/>
      <c r="E41" s="8"/>
      <c r="F41" s="8"/>
      <c r="G41" s="13"/>
    </row>
    <row r="42" spans="1:7" x14ac:dyDescent="0.3">
      <c r="A42" s="11"/>
      <c r="B42" s="8"/>
      <c r="C42" s="7" t="str">
        <f>IF(B42="","",IFERROR(INDEX(Vidriería!$C$2:$C$301,MATCH(B42,Vidriería!$A$2:$A$301,0))&amp;" "&amp;INDEX(Vidriería!$D$2:$D$301,MATCH(B42,Vidriería!$A$2:$A$301,0)),"ID no existe"))</f>
        <v/>
      </c>
      <c r="D42" s="8"/>
      <c r="E42" s="8"/>
      <c r="F42" s="8"/>
      <c r="G42" s="13"/>
    </row>
    <row r="43" spans="1:7" x14ac:dyDescent="0.3">
      <c r="A43" s="11"/>
      <c r="B43" s="8"/>
      <c r="C43" s="7" t="str">
        <f>IF(B43="","",IFERROR(INDEX(Vidriería!$C$2:$C$301,MATCH(B43,Vidriería!$A$2:$A$301,0))&amp;" "&amp;INDEX(Vidriería!$D$2:$D$301,MATCH(B43,Vidriería!$A$2:$A$301,0)),"ID no existe"))</f>
        <v/>
      </c>
      <c r="D43" s="8"/>
      <c r="E43" s="8"/>
      <c r="F43" s="8"/>
      <c r="G43" s="13"/>
    </row>
    <row r="44" spans="1:7" x14ac:dyDescent="0.3">
      <c r="A44" s="11"/>
      <c r="B44" s="8"/>
      <c r="C44" s="7" t="str">
        <f>IF(B44="","",IFERROR(INDEX(Vidriería!$C$2:$C$301,MATCH(B44,Vidriería!$A$2:$A$301,0))&amp;" "&amp;INDEX(Vidriería!$D$2:$D$301,MATCH(B44,Vidriería!$A$2:$A$301,0)),"ID no existe"))</f>
        <v/>
      </c>
      <c r="D44" s="8"/>
      <c r="E44" s="8"/>
      <c r="F44" s="8"/>
      <c r="G44" s="13"/>
    </row>
    <row r="45" spans="1:7" x14ac:dyDescent="0.3">
      <c r="A45" s="11"/>
      <c r="B45" s="8"/>
      <c r="C45" s="7" t="str">
        <f>IF(B45="","",IFERROR(INDEX(Vidriería!$C$2:$C$301,MATCH(B45,Vidriería!$A$2:$A$301,0))&amp;" "&amp;INDEX(Vidriería!$D$2:$D$301,MATCH(B45,Vidriería!$A$2:$A$301,0)),"ID no existe"))</f>
        <v/>
      </c>
      <c r="D45" s="8"/>
      <c r="E45" s="8"/>
      <c r="F45" s="8"/>
      <c r="G45" s="13"/>
    </row>
    <row r="46" spans="1:7" x14ac:dyDescent="0.3">
      <c r="A46" s="11"/>
      <c r="B46" s="8"/>
      <c r="C46" s="7" t="str">
        <f>IF(B46="","",IFERROR(INDEX(Vidriería!$C$2:$C$301,MATCH(B46,Vidriería!$A$2:$A$301,0))&amp;" "&amp;INDEX(Vidriería!$D$2:$D$301,MATCH(B46,Vidriería!$A$2:$A$301,0)),"ID no existe"))</f>
        <v/>
      </c>
      <c r="D46" s="8"/>
      <c r="E46" s="8"/>
      <c r="F46" s="8"/>
      <c r="G46" s="13"/>
    </row>
    <row r="47" spans="1:7" x14ac:dyDescent="0.3">
      <c r="A47" s="11"/>
      <c r="B47" s="8"/>
      <c r="C47" s="7" t="str">
        <f>IF(B47="","",IFERROR(INDEX(Vidriería!$C$2:$C$301,MATCH(B47,Vidriería!$A$2:$A$301,0))&amp;" "&amp;INDEX(Vidriería!$D$2:$D$301,MATCH(B47,Vidriería!$A$2:$A$301,0)),"ID no existe"))</f>
        <v/>
      </c>
      <c r="D47" s="8"/>
      <c r="E47" s="8"/>
      <c r="F47" s="8"/>
      <c r="G47" s="13"/>
    </row>
    <row r="48" spans="1:7" x14ac:dyDescent="0.3">
      <c r="A48" s="11"/>
      <c r="B48" s="8"/>
      <c r="C48" s="7" t="str">
        <f>IF(B48="","",IFERROR(INDEX(Vidriería!$C$2:$C$301,MATCH(B48,Vidriería!$A$2:$A$301,0))&amp;" "&amp;INDEX(Vidriería!$D$2:$D$301,MATCH(B48,Vidriería!$A$2:$A$301,0)),"ID no existe"))</f>
        <v/>
      </c>
      <c r="D48" s="8"/>
      <c r="E48" s="8"/>
      <c r="F48" s="8"/>
      <c r="G48" s="13"/>
    </row>
    <row r="49" spans="1:7" x14ac:dyDescent="0.3">
      <c r="A49" s="11"/>
      <c r="B49" s="8"/>
      <c r="C49" s="7" t="str">
        <f>IF(B49="","",IFERROR(INDEX(Vidriería!$C$2:$C$301,MATCH(B49,Vidriería!$A$2:$A$301,0))&amp;" "&amp;INDEX(Vidriería!$D$2:$D$301,MATCH(B49,Vidriería!$A$2:$A$301,0)),"ID no existe"))</f>
        <v/>
      </c>
      <c r="D49" s="8"/>
      <c r="E49" s="8"/>
      <c r="F49" s="8"/>
      <c r="G49" s="13"/>
    </row>
    <row r="50" spans="1:7" x14ac:dyDescent="0.3">
      <c r="A50" s="11"/>
      <c r="B50" s="8"/>
      <c r="C50" s="7" t="str">
        <f>IF(B50="","",IFERROR(INDEX(Vidriería!$C$2:$C$301,MATCH(B50,Vidriería!$A$2:$A$301,0))&amp;" "&amp;INDEX(Vidriería!$D$2:$D$301,MATCH(B50,Vidriería!$A$2:$A$301,0)),"ID no existe"))</f>
        <v/>
      </c>
      <c r="D50" s="8"/>
      <c r="E50" s="8"/>
      <c r="F50" s="8"/>
      <c r="G50" s="13"/>
    </row>
    <row r="51" spans="1:7" x14ac:dyDescent="0.3">
      <c r="A51" s="11"/>
      <c r="B51" s="8"/>
      <c r="C51" s="7" t="str">
        <f>IF(B51="","",IFERROR(INDEX(Vidriería!$C$2:$C$301,MATCH(B51,Vidriería!$A$2:$A$301,0))&amp;" "&amp;INDEX(Vidriería!$D$2:$D$301,MATCH(B51,Vidriería!$A$2:$A$301,0)),"ID no existe"))</f>
        <v/>
      </c>
      <c r="D51" s="8"/>
      <c r="E51" s="8"/>
      <c r="F51" s="8"/>
      <c r="G51" s="13"/>
    </row>
    <row r="52" spans="1:7" x14ac:dyDescent="0.3">
      <c r="A52" s="11"/>
      <c r="B52" s="8"/>
      <c r="C52" s="7" t="str">
        <f>IF(B52="","",IFERROR(INDEX(Vidriería!$C$2:$C$301,MATCH(B52,Vidriería!$A$2:$A$301,0))&amp;" "&amp;INDEX(Vidriería!$D$2:$D$301,MATCH(B52,Vidriería!$A$2:$A$301,0)),"ID no existe"))</f>
        <v/>
      </c>
      <c r="D52" s="8"/>
      <c r="E52" s="8"/>
      <c r="F52" s="8"/>
      <c r="G52" s="13"/>
    </row>
    <row r="53" spans="1:7" x14ac:dyDescent="0.3">
      <c r="A53" s="11"/>
      <c r="B53" s="8"/>
      <c r="C53" s="7" t="str">
        <f>IF(B53="","",IFERROR(INDEX(Vidriería!$C$2:$C$301,MATCH(B53,Vidriería!$A$2:$A$301,0))&amp;" "&amp;INDEX(Vidriería!$D$2:$D$301,MATCH(B53,Vidriería!$A$2:$A$301,0)),"ID no existe"))</f>
        <v/>
      </c>
      <c r="D53" s="8"/>
      <c r="E53" s="8"/>
      <c r="F53" s="8"/>
      <c r="G53" s="13"/>
    </row>
    <row r="54" spans="1:7" x14ac:dyDescent="0.3">
      <c r="A54" s="11"/>
      <c r="B54" s="8"/>
      <c r="C54" s="7" t="str">
        <f>IF(B54="","",IFERROR(INDEX(Vidriería!$C$2:$C$301,MATCH(B54,Vidriería!$A$2:$A$301,0))&amp;" "&amp;INDEX(Vidriería!$D$2:$D$301,MATCH(B54,Vidriería!$A$2:$A$301,0)),"ID no existe"))</f>
        <v/>
      </c>
      <c r="D54" s="8"/>
      <c r="E54" s="8"/>
      <c r="F54" s="8"/>
      <c r="G54" s="13"/>
    </row>
    <row r="55" spans="1:7" x14ac:dyDescent="0.3">
      <c r="A55" s="11"/>
      <c r="B55" s="8"/>
      <c r="C55" s="7" t="str">
        <f>IF(B55="","",IFERROR(INDEX(Vidriería!$C$2:$C$301,MATCH(B55,Vidriería!$A$2:$A$301,0))&amp;" "&amp;INDEX(Vidriería!$D$2:$D$301,MATCH(B55,Vidriería!$A$2:$A$301,0)),"ID no existe"))</f>
        <v/>
      </c>
      <c r="D55" s="8"/>
      <c r="E55" s="8"/>
      <c r="F55" s="8"/>
      <c r="G55" s="13"/>
    </row>
    <row r="56" spans="1:7" x14ac:dyDescent="0.3">
      <c r="A56" s="11"/>
      <c r="B56" s="8"/>
      <c r="C56" s="7" t="str">
        <f>IF(B56="","",IFERROR(INDEX(Vidriería!$C$2:$C$301,MATCH(B56,Vidriería!$A$2:$A$301,0))&amp;" "&amp;INDEX(Vidriería!$D$2:$D$301,MATCH(B56,Vidriería!$A$2:$A$301,0)),"ID no existe"))</f>
        <v/>
      </c>
      <c r="D56" s="8"/>
      <c r="E56" s="8"/>
      <c r="F56" s="8"/>
      <c r="G56" s="13"/>
    </row>
    <row r="57" spans="1:7" x14ac:dyDescent="0.3">
      <c r="A57" s="11"/>
      <c r="B57" s="8"/>
      <c r="C57" s="7" t="str">
        <f>IF(B57="","",IFERROR(INDEX(Vidriería!$C$2:$C$301,MATCH(B57,Vidriería!$A$2:$A$301,0))&amp;" "&amp;INDEX(Vidriería!$D$2:$D$301,MATCH(B57,Vidriería!$A$2:$A$301,0)),"ID no existe"))</f>
        <v/>
      </c>
      <c r="D57" s="8"/>
      <c r="E57" s="8"/>
      <c r="F57" s="8"/>
      <c r="G57" s="13"/>
    </row>
    <row r="58" spans="1:7" x14ac:dyDescent="0.3">
      <c r="A58" s="11"/>
      <c r="B58" s="8"/>
      <c r="C58" s="7" t="str">
        <f>IF(B58="","",IFERROR(INDEX(Vidriería!$C$2:$C$301,MATCH(B58,Vidriería!$A$2:$A$301,0))&amp;" "&amp;INDEX(Vidriería!$D$2:$D$301,MATCH(B58,Vidriería!$A$2:$A$301,0)),"ID no existe"))</f>
        <v/>
      </c>
      <c r="D58" s="8"/>
      <c r="E58" s="8"/>
      <c r="F58" s="8"/>
      <c r="G58" s="13"/>
    </row>
    <row r="59" spans="1:7" x14ac:dyDescent="0.3">
      <c r="A59" s="11"/>
      <c r="B59" s="8"/>
      <c r="C59" s="7" t="str">
        <f>IF(B59="","",IFERROR(INDEX(Vidriería!$C$2:$C$301,MATCH(B59,Vidriería!$A$2:$A$301,0))&amp;" "&amp;INDEX(Vidriería!$D$2:$D$301,MATCH(B59,Vidriería!$A$2:$A$301,0)),"ID no existe"))</f>
        <v/>
      </c>
      <c r="D59" s="8"/>
      <c r="E59" s="8"/>
      <c r="F59" s="8"/>
      <c r="G59" s="13"/>
    </row>
    <row r="60" spans="1:7" x14ac:dyDescent="0.3">
      <c r="A60" s="11"/>
      <c r="B60" s="8"/>
      <c r="C60" s="7" t="str">
        <f>IF(B60="","",IFERROR(INDEX(Vidriería!$C$2:$C$301,MATCH(B60,Vidriería!$A$2:$A$301,0))&amp;" "&amp;INDEX(Vidriería!$D$2:$D$301,MATCH(B60,Vidriería!$A$2:$A$301,0)),"ID no existe"))</f>
        <v/>
      </c>
      <c r="D60" s="8"/>
      <c r="E60" s="8"/>
      <c r="F60" s="8"/>
      <c r="G60" s="13"/>
    </row>
    <row r="61" spans="1:7" x14ac:dyDescent="0.3">
      <c r="A61" s="11"/>
      <c r="B61" s="8"/>
      <c r="C61" s="7" t="str">
        <f>IF(B61="","",IFERROR(INDEX(Vidriería!$C$2:$C$301,MATCH(B61,Vidriería!$A$2:$A$301,0))&amp;" "&amp;INDEX(Vidriería!$D$2:$D$301,MATCH(B61,Vidriería!$A$2:$A$301,0)),"ID no existe"))</f>
        <v/>
      </c>
      <c r="D61" s="8"/>
      <c r="E61" s="8"/>
      <c r="F61" s="8"/>
      <c r="G61" s="13"/>
    </row>
    <row r="62" spans="1:7" x14ac:dyDescent="0.3">
      <c r="A62" s="11"/>
      <c r="B62" s="8"/>
      <c r="C62" s="7" t="str">
        <f>IF(B62="","",IFERROR(INDEX(Vidriería!$C$2:$C$301,MATCH(B62,Vidriería!$A$2:$A$301,0))&amp;" "&amp;INDEX(Vidriería!$D$2:$D$301,MATCH(B62,Vidriería!$A$2:$A$301,0)),"ID no existe"))</f>
        <v/>
      </c>
      <c r="D62" s="8"/>
      <c r="E62" s="8"/>
      <c r="F62" s="8"/>
      <c r="G62" s="13"/>
    </row>
    <row r="63" spans="1:7" x14ac:dyDescent="0.3">
      <c r="A63" s="11"/>
      <c r="B63" s="8"/>
      <c r="C63" s="7" t="str">
        <f>IF(B63="","",IFERROR(INDEX(Vidriería!$C$2:$C$301,MATCH(B63,Vidriería!$A$2:$A$301,0))&amp;" "&amp;INDEX(Vidriería!$D$2:$D$301,MATCH(B63,Vidriería!$A$2:$A$301,0)),"ID no existe"))</f>
        <v/>
      </c>
      <c r="D63" s="8"/>
      <c r="E63" s="8"/>
      <c r="F63" s="8"/>
      <c r="G63" s="13"/>
    </row>
    <row r="64" spans="1:7" x14ac:dyDescent="0.3">
      <c r="A64" s="11"/>
      <c r="B64" s="8"/>
      <c r="C64" s="7" t="str">
        <f>IF(B64="","",IFERROR(INDEX(Vidriería!$C$2:$C$301,MATCH(B64,Vidriería!$A$2:$A$301,0))&amp;" "&amp;INDEX(Vidriería!$D$2:$D$301,MATCH(B64,Vidriería!$A$2:$A$301,0)),"ID no existe"))</f>
        <v/>
      </c>
      <c r="D64" s="8"/>
      <c r="E64" s="8"/>
      <c r="F64" s="8"/>
      <c r="G64" s="13"/>
    </row>
    <row r="65" spans="1:7" x14ac:dyDescent="0.3">
      <c r="A65" s="11"/>
      <c r="B65" s="8"/>
      <c r="C65" s="7" t="str">
        <f>IF(B65="","",IFERROR(INDEX(Vidriería!$C$2:$C$301,MATCH(B65,Vidriería!$A$2:$A$301,0))&amp;" "&amp;INDEX(Vidriería!$D$2:$D$301,MATCH(B65,Vidriería!$A$2:$A$301,0)),"ID no existe"))</f>
        <v/>
      </c>
      <c r="D65" s="8"/>
      <c r="E65" s="8"/>
      <c r="F65" s="8"/>
      <c r="G65" s="13"/>
    </row>
    <row r="66" spans="1:7" x14ac:dyDescent="0.3">
      <c r="A66" s="11"/>
      <c r="B66" s="8"/>
      <c r="C66" s="7" t="str">
        <f>IF(B66="","",IFERROR(INDEX(Vidriería!$C$2:$C$301,MATCH(B66,Vidriería!$A$2:$A$301,0))&amp;" "&amp;INDEX(Vidriería!$D$2:$D$301,MATCH(B66,Vidriería!$A$2:$A$301,0)),"ID no existe"))</f>
        <v/>
      </c>
      <c r="D66" s="8"/>
      <c r="E66" s="8"/>
      <c r="F66" s="8"/>
      <c r="G66" s="13"/>
    </row>
    <row r="67" spans="1:7" x14ac:dyDescent="0.3">
      <c r="A67" s="11"/>
      <c r="B67" s="8"/>
      <c r="C67" s="7" t="str">
        <f>IF(B67="","",IFERROR(INDEX(Vidriería!$C$2:$C$301,MATCH(B67,Vidriería!$A$2:$A$301,0))&amp;" "&amp;INDEX(Vidriería!$D$2:$D$301,MATCH(B67,Vidriería!$A$2:$A$301,0)),"ID no existe"))</f>
        <v/>
      </c>
      <c r="D67" s="8"/>
      <c r="E67" s="8"/>
      <c r="F67" s="8"/>
      <c r="G67" s="13"/>
    </row>
    <row r="68" spans="1:7" x14ac:dyDescent="0.3">
      <c r="A68" s="11"/>
      <c r="B68" s="8"/>
      <c r="C68" s="7" t="str">
        <f>IF(B68="","",IFERROR(INDEX(Vidriería!$C$2:$C$301,MATCH(B68,Vidriería!$A$2:$A$301,0))&amp;" "&amp;INDEX(Vidriería!$D$2:$D$301,MATCH(B68,Vidriería!$A$2:$A$301,0)),"ID no existe"))</f>
        <v/>
      </c>
      <c r="D68" s="8"/>
      <c r="E68" s="8"/>
      <c r="F68" s="8"/>
      <c r="G68" s="13"/>
    </row>
    <row r="69" spans="1:7" x14ac:dyDescent="0.3">
      <c r="A69" s="11"/>
      <c r="B69" s="8"/>
      <c r="C69" s="7" t="str">
        <f>IF(B69="","",IFERROR(INDEX(Vidriería!$C$2:$C$301,MATCH(B69,Vidriería!$A$2:$A$301,0))&amp;" "&amp;INDEX(Vidriería!$D$2:$D$301,MATCH(B69,Vidriería!$A$2:$A$301,0)),"ID no existe"))</f>
        <v/>
      </c>
      <c r="D69" s="8"/>
      <c r="E69" s="8"/>
      <c r="F69" s="8"/>
      <c r="G69" s="13"/>
    </row>
    <row r="70" spans="1:7" x14ac:dyDescent="0.3">
      <c r="A70" s="11"/>
      <c r="B70" s="8"/>
      <c r="C70" s="7" t="str">
        <f>IF(B70="","",IFERROR(INDEX(Vidriería!$C$2:$C$301,MATCH(B70,Vidriería!$A$2:$A$301,0))&amp;" "&amp;INDEX(Vidriería!$D$2:$D$301,MATCH(B70,Vidriería!$A$2:$A$301,0)),"ID no existe"))</f>
        <v/>
      </c>
      <c r="D70" s="8"/>
      <c r="E70" s="8"/>
      <c r="F70" s="8"/>
      <c r="G70" s="13"/>
    </row>
    <row r="71" spans="1:7" x14ac:dyDescent="0.3">
      <c r="A71" s="11"/>
      <c r="B71" s="8"/>
      <c r="C71" s="7" t="str">
        <f>IF(B71="","",IFERROR(INDEX(Vidriería!$C$2:$C$301,MATCH(B71,Vidriería!$A$2:$A$301,0))&amp;" "&amp;INDEX(Vidriería!$D$2:$D$301,MATCH(B71,Vidriería!$A$2:$A$301,0)),"ID no existe"))</f>
        <v/>
      </c>
      <c r="D71" s="8"/>
      <c r="E71" s="8"/>
      <c r="F71" s="8"/>
      <c r="G71" s="13"/>
    </row>
    <row r="72" spans="1:7" x14ac:dyDescent="0.3">
      <c r="A72" s="11"/>
      <c r="B72" s="8"/>
      <c r="C72" s="7" t="str">
        <f>IF(B72="","",IFERROR(INDEX(Vidriería!$C$2:$C$301,MATCH(B72,Vidriería!$A$2:$A$301,0))&amp;" "&amp;INDEX(Vidriería!$D$2:$D$301,MATCH(B72,Vidriería!$A$2:$A$301,0)),"ID no existe"))</f>
        <v/>
      </c>
      <c r="D72" s="8"/>
      <c r="E72" s="8"/>
      <c r="F72" s="8"/>
      <c r="G72" s="13"/>
    </row>
    <row r="73" spans="1:7" x14ac:dyDescent="0.3">
      <c r="A73" s="11"/>
      <c r="B73" s="8"/>
      <c r="C73" s="7" t="str">
        <f>IF(B73="","",IFERROR(INDEX(Vidriería!$C$2:$C$301,MATCH(B73,Vidriería!$A$2:$A$301,0))&amp;" "&amp;INDEX(Vidriería!$D$2:$D$301,MATCH(B73,Vidriería!$A$2:$A$301,0)),"ID no existe"))</f>
        <v/>
      </c>
      <c r="D73" s="8"/>
      <c r="E73" s="8"/>
      <c r="F73" s="8"/>
      <c r="G73" s="13"/>
    </row>
    <row r="74" spans="1:7" x14ac:dyDescent="0.3">
      <c r="A74" s="11"/>
      <c r="B74" s="8"/>
      <c r="C74" s="7" t="str">
        <f>IF(B74="","",IFERROR(INDEX(Vidriería!$C$2:$C$301,MATCH(B74,Vidriería!$A$2:$A$301,0))&amp;" "&amp;INDEX(Vidriería!$D$2:$D$301,MATCH(B74,Vidriería!$A$2:$A$301,0)),"ID no existe"))</f>
        <v/>
      </c>
      <c r="D74" s="8"/>
      <c r="E74" s="8"/>
      <c r="F74" s="8"/>
      <c r="G74" s="13"/>
    </row>
    <row r="75" spans="1:7" x14ac:dyDescent="0.3">
      <c r="A75" s="11"/>
      <c r="B75" s="8"/>
      <c r="C75" s="7" t="str">
        <f>IF(B75="","",IFERROR(INDEX(Vidriería!$C$2:$C$301,MATCH(B75,Vidriería!$A$2:$A$301,0))&amp;" "&amp;INDEX(Vidriería!$D$2:$D$301,MATCH(B75,Vidriería!$A$2:$A$301,0)),"ID no existe"))</f>
        <v/>
      </c>
      <c r="D75" s="8"/>
      <c r="E75" s="8"/>
      <c r="F75" s="8"/>
      <c r="G75" s="13"/>
    </row>
    <row r="76" spans="1:7" x14ac:dyDescent="0.3">
      <c r="A76" s="11"/>
      <c r="B76" s="8"/>
      <c r="C76" s="7" t="str">
        <f>IF(B76="","",IFERROR(INDEX(Vidriería!$C$2:$C$301,MATCH(B76,Vidriería!$A$2:$A$301,0))&amp;" "&amp;INDEX(Vidriería!$D$2:$D$301,MATCH(B76,Vidriería!$A$2:$A$301,0)),"ID no existe"))</f>
        <v/>
      </c>
      <c r="D76" s="8"/>
      <c r="E76" s="8"/>
      <c r="F76" s="8"/>
      <c r="G76" s="13"/>
    </row>
    <row r="77" spans="1:7" x14ac:dyDescent="0.3">
      <c r="A77" s="11"/>
      <c r="B77" s="8"/>
      <c r="C77" s="7" t="str">
        <f>IF(B77="","",IFERROR(INDEX(Vidriería!$C$2:$C$301,MATCH(B77,Vidriería!$A$2:$A$301,0))&amp;" "&amp;INDEX(Vidriería!$D$2:$D$301,MATCH(B77,Vidriería!$A$2:$A$301,0)),"ID no existe"))</f>
        <v/>
      </c>
      <c r="D77" s="8"/>
      <c r="E77" s="8"/>
      <c r="F77" s="8"/>
      <c r="G77" s="13"/>
    </row>
    <row r="78" spans="1:7" x14ac:dyDescent="0.3">
      <c r="A78" s="11"/>
      <c r="B78" s="8"/>
      <c r="C78" s="7" t="str">
        <f>IF(B78="","",IFERROR(INDEX(Vidriería!$C$2:$C$301,MATCH(B78,Vidriería!$A$2:$A$301,0))&amp;" "&amp;INDEX(Vidriería!$D$2:$D$301,MATCH(B78,Vidriería!$A$2:$A$301,0)),"ID no existe"))</f>
        <v/>
      </c>
      <c r="D78" s="8"/>
      <c r="E78" s="8"/>
      <c r="F78" s="8"/>
      <c r="G78" s="13"/>
    </row>
    <row r="79" spans="1:7" x14ac:dyDescent="0.3">
      <c r="A79" s="11"/>
      <c r="B79" s="8"/>
      <c r="C79" s="7" t="str">
        <f>IF(B79="","",IFERROR(INDEX(Vidriería!$C$2:$C$301,MATCH(B79,Vidriería!$A$2:$A$301,0))&amp;" "&amp;INDEX(Vidriería!$D$2:$D$301,MATCH(B79,Vidriería!$A$2:$A$301,0)),"ID no existe"))</f>
        <v/>
      </c>
      <c r="D79" s="8"/>
      <c r="E79" s="8"/>
      <c r="F79" s="8"/>
      <c r="G79" s="13"/>
    </row>
    <row r="80" spans="1:7" x14ac:dyDescent="0.3">
      <c r="A80" s="11"/>
      <c r="B80" s="8"/>
      <c r="C80" s="7" t="str">
        <f>IF(B80="","",IFERROR(INDEX(Vidriería!$C$2:$C$301,MATCH(B80,Vidriería!$A$2:$A$301,0))&amp;" "&amp;INDEX(Vidriería!$D$2:$D$301,MATCH(B80,Vidriería!$A$2:$A$301,0)),"ID no existe"))</f>
        <v/>
      </c>
      <c r="D80" s="8"/>
      <c r="E80" s="8"/>
      <c r="F80" s="8"/>
      <c r="G80" s="13"/>
    </row>
    <row r="81" spans="1:7" x14ac:dyDescent="0.3">
      <c r="A81" s="11"/>
      <c r="B81" s="8"/>
      <c r="C81" s="7" t="str">
        <f>IF(B81="","",IFERROR(INDEX(Vidriería!$C$2:$C$301,MATCH(B81,Vidriería!$A$2:$A$301,0))&amp;" "&amp;INDEX(Vidriería!$D$2:$D$301,MATCH(B81,Vidriería!$A$2:$A$301,0)),"ID no existe"))</f>
        <v/>
      </c>
      <c r="D81" s="8"/>
      <c r="E81" s="8"/>
      <c r="F81" s="8"/>
      <c r="G81" s="13"/>
    </row>
    <row r="82" spans="1:7" x14ac:dyDescent="0.3">
      <c r="A82" s="11"/>
      <c r="B82" s="8"/>
      <c r="C82" s="7" t="str">
        <f>IF(B82="","",IFERROR(INDEX(Vidriería!$C$2:$C$301,MATCH(B82,Vidriería!$A$2:$A$301,0))&amp;" "&amp;INDEX(Vidriería!$D$2:$D$301,MATCH(B82,Vidriería!$A$2:$A$301,0)),"ID no existe"))</f>
        <v/>
      </c>
      <c r="D82" s="8"/>
      <c r="E82" s="8"/>
      <c r="F82" s="8"/>
      <c r="G82" s="13"/>
    </row>
    <row r="83" spans="1:7" x14ac:dyDescent="0.3">
      <c r="A83" s="11"/>
      <c r="B83" s="8"/>
      <c r="C83" s="7" t="str">
        <f>IF(B83="","",IFERROR(INDEX(Vidriería!$C$2:$C$301,MATCH(B83,Vidriería!$A$2:$A$301,0))&amp;" "&amp;INDEX(Vidriería!$D$2:$D$301,MATCH(B83,Vidriería!$A$2:$A$301,0)),"ID no existe"))</f>
        <v/>
      </c>
      <c r="D83" s="8"/>
      <c r="E83" s="8"/>
      <c r="F83" s="8"/>
      <c r="G83" s="13"/>
    </row>
    <row r="84" spans="1:7" x14ac:dyDescent="0.3">
      <c r="A84" s="11"/>
      <c r="B84" s="8"/>
      <c r="C84" s="7" t="str">
        <f>IF(B84="","",IFERROR(INDEX(Vidriería!$C$2:$C$301,MATCH(B84,Vidriería!$A$2:$A$301,0))&amp;" "&amp;INDEX(Vidriería!$D$2:$D$301,MATCH(B84,Vidriería!$A$2:$A$301,0)),"ID no existe"))</f>
        <v/>
      </c>
      <c r="D84" s="8"/>
      <c r="E84" s="8"/>
      <c r="F84" s="8"/>
      <c r="G84" s="13"/>
    </row>
    <row r="85" spans="1:7" x14ac:dyDescent="0.3">
      <c r="A85" s="11"/>
      <c r="B85" s="8"/>
      <c r="C85" s="7" t="str">
        <f>IF(B85="","",IFERROR(INDEX(Vidriería!$C$2:$C$301,MATCH(B85,Vidriería!$A$2:$A$301,0))&amp;" "&amp;INDEX(Vidriería!$D$2:$D$301,MATCH(B85,Vidriería!$A$2:$A$301,0)),"ID no existe"))</f>
        <v/>
      </c>
      <c r="D85" s="8"/>
      <c r="E85" s="8"/>
      <c r="F85" s="8"/>
      <c r="G85" s="13"/>
    </row>
    <row r="86" spans="1:7" x14ac:dyDescent="0.3">
      <c r="A86" s="11"/>
      <c r="B86" s="8"/>
      <c r="C86" s="7" t="str">
        <f>IF(B86="","",IFERROR(INDEX(Vidriería!$C$2:$C$301,MATCH(B86,Vidriería!$A$2:$A$301,0))&amp;" "&amp;INDEX(Vidriería!$D$2:$D$301,MATCH(B86,Vidriería!$A$2:$A$301,0)),"ID no existe"))</f>
        <v/>
      </c>
      <c r="D86" s="8"/>
      <c r="E86" s="8"/>
      <c r="F86" s="8"/>
      <c r="G86" s="13"/>
    </row>
    <row r="87" spans="1:7" x14ac:dyDescent="0.3">
      <c r="A87" s="11"/>
      <c r="B87" s="8"/>
      <c r="C87" s="7" t="str">
        <f>IF(B87="","",IFERROR(INDEX(Vidriería!$C$2:$C$301,MATCH(B87,Vidriería!$A$2:$A$301,0))&amp;" "&amp;INDEX(Vidriería!$D$2:$D$301,MATCH(B87,Vidriería!$A$2:$A$301,0)),"ID no existe"))</f>
        <v/>
      </c>
      <c r="D87" s="8"/>
      <c r="E87" s="8"/>
      <c r="F87" s="8"/>
      <c r="G87" s="13"/>
    </row>
    <row r="88" spans="1:7" x14ac:dyDescent="0.3">
      <c r="A88" s="11"/>
      <c r="B88" s="8"/>
      <c r="C88" s="7" t="str">
        <f>IF(B88="","",IFERROR(INDEX(Vidriería!$C$2:$C$301,MATCH(B88,Vidriería!$A$2:$A$301,0))&amp;" "&amp;INDEX(Vidriería!$D$2:$D$301,MATCH(B88,Vidriería!$A$2:$A$301,0)),"ID no existe"))</f>
        <v/>
      </c>
      <c r="D88" s="8"/>
      <c r="E88" s="8"/>
      <c r="F88" s="8"/>
      <c r="G88" s="13"/>
    </row>
    <row r="89" spans="1:7" x14ac:dyDescent="0.3">
      <c r="A89" s="11"/>
      <c r="B89" s="8"/>
      <c r="C89" s="7" t="str">
        <f>IF(B89="","",IFERROR(INDEX(Vidriería!$C$2:$C$301,MATCH(B89,Vidriería!$A$2:$A$301,0))&amp;" "&amp;INDEX(Vidriería!$D$2:$D$301,MATCH(B89,Vidriería!$A$2:$A$301,0)),"ID no existe"))</f>
        <v/>
      </c>
      <c r="D89" s="8"/>
      <c r="E89" s="8"/>
      <c r="F89" s="8"/>
      <c r="G89" s="13"/>
    </row>
    <row r="90" spans="1:7" x14ac:dyDescent="0.3">
      <c r="A90" s="11"/>
      <c r="B90" s="8"/>
      <c r="C90" s="7" t="str">
        <f>IF(B90="","",IFERROR(INDEX(Vidriería!$C$2:$C$301,MATCH(B90,Vidriería!$A$2:$A$301,0))&amp;" "&amp;INDEX(Vidriería!$D$2:$D$301,MATCH(B90,Vidriería!$A$2:$A$301,0)),"ID no existe"))</f>
        <v/>
      </c>
      <c r="D90" s="8"/>
      <c r="E90" s="8"/>
      <c r="F90" s="8"/>
      <c r="G90" s="13"/>
    </row>
    <row r="91" spans="1:7" x14ac:dyDescent="0.3">
      <c r="A91" s="11"/>
      <c r="B91" s="8"/>
      <c r="C91" s="7" t="str">
        <f>IF(B91="","",IFERROR(INDEX(Vidriería!$C$2:$C$301,MATCH(B91,Vidriería!$A$2:$A$301,0))&amp;" "&amp;INDEX(Vidriería!$D$2:$D$301,MATCH(B91,Vidriería!$A$2:$A$301,0)),"ID no existe"))</f>
        <v/>
      </c>
      <c r="D91" s="8"/>
      <c r="E91" s="8"/>
      <c r="F91" s="8"/>
      <c r="G91" s="13"/>
    </row>
    <row r="92" spans="1:7" x14ac:dyDescent="0.3">
      <c r="A92" s="11"/>
      <c r="B92" s="8"/>
      <c r="C92" s="7" t="str">
        <f>IF(B92="","",IFERROR(INDEX(Vidriería!$C$2:$C$301,MATCH(B92,Vidriería!$A$2:$A$301,0))&amp;" "&amp;INDEX(Vidriería!$D$2:$D$301,MATCH(B92,Vidriería!$A$2:$A$301,0)),"ID no existe"))</f>
        <v/>
      </c>
      <c r="D92" s="8"/>
      <c r="E92" s="8"/>
      <c r="F92" s="8"/>
      <c r="G92" s="13"/>
    </row>
    <row r="93" spans="1:7" x14ac:dyDescent="0.3">
      <c r="A93" s="11"/>
      <c r="B93" s="8"/>
      <c r="C93" s="7" t="str">
        <f>IF(B93="","",IFERROR(INDEX(Vidriería!$C$2:$C$301,MATCH(B93,Vidriería!$A$2:$A$301,0))&amp;" "&amp;INDEX(Vidriería!$D$2:$D$301,MATCH(B93,Vidriería!$A$2:$A$301,0)),"ID no existe"))</f>
        <v/>
      </c>
      <c r="D93" s="8"/>
      <c r="E93" s="8"/>
      <c r="F93" s="8"/>
      <c r="G93" s="13"/>
    </row>
    <row r="94" spans="1:7" x14ac:dyDescent="0.3">
      <c r="A94" s="11"/>
      <c r="B94" s="8"/>
      <c r="C94" s="7" t="str">
        <f>IF(B94="","",IFERROR(INDEX(Vidriería!$C$2:$C$301,MATCH(B94,Vidriería!$A$2:$A$301,0))&amp;" "&amp;INDEX(Vidriería!$D$2:$D$301,MATCH(B94,Vidriería!$A$2:$A$301,0)),"ID no existe"))</f>
        <v/>
      </c>
      <c r="D94" s="8"/>
      <c r="E94" s="8"/>
      <c r="F94" s="8"/>
      <c r="G94" s="13"/>
    </row>
    <row r="95" spans="1:7" x14ac:dyDescent="0.3">
      <c r="A95" s="11"/>
      <c r="B95" s="8"/>
      <c r="C95" s="7" t="str">
        <f>IF(B95="","",IFERROR(INDEX(Vidriería!$C$2:$C$301,MATCH(B95,Vidriería!$A$2:$A$301,0))&amp;" "&amp;INDEX(Vidriería!$D$2:$D$301,MATCH(B95,Vidriería!$A$2:$A$301,0)),"ID no existe"))</f>
        <v/>
      </c>
      <c r="D95" s="8"/>
      <c r="E95" s="8"/>
      <c r="F95" s="8"/>
      <c r="G95" s="13"/>
    </row>
    <row r="96" spans="1:7" x14ac:dyDescent="0.3">
      <c r="A96" s="11"/>
      <c r="B96" s="8"/>
      <c r="C96" s="7" t="str">
        <f>IF(B96="","",IFERROR(INDEX(Vidriería!$C$2:$C$301,MATCH(B96,Vidriería!$A$2:$A$301,0))&amp;" "&amp;INDEX(Vidriería!$D$2:$D$301,MATCH(B96,Vidriería!$A$2:$A$301,0)),"ID no existe"))</f>
        <v/>
      </c>
      <c r="D96" s="8"/>
      <c r="E96" s="8"/>
      <c r="F96" s="8"/>
      <c r="G96" s="13"/>
    </row>
    <row r="97" spans="1:7" x14ac:dyDescent="0.3">
      <c r="A97" s="11"/>
      <c r="B97" s="8"/>
      <c r="C97" s="7" t="str">
        <f>IF(B97="","",IFERROR(INDEX(Vidriería!$C$2:$C$301,MATCH(B97,Vidriería!$A$2:$A$301,0))&amp;" "&amp;INDEX(Vidriería!$D$2:$D$301,MATCH(B97,Vidriería!$A$2:$A$301,0)),"ID no existe"))</f>
        <v/>
      </c>
      <c r="D97" s="8"/>
      <c r="E97" s="8"/>
      <c r="F97" s="8"/>
      <c r="G97" s="13"/>
    </row>
    <row r="98" spans="1:7" x14ac:dyDescent="0.3">
      <c r="A98" s="11"/>
      <c r="B98" s="8"/>
      <c r="C98" s="7" t="str">
        <f>IF(B98="","",IFERROR(INDEX(Vidriería!$C$2:$C$301,MATCH(B98,Vidriería!$A$2:$A$301,0))&amp;" "&amp;INDEX(Vidriería!$D$2:$D$301,MATCH(B98,Vidriería!$A$2:$A$301,0)),"ID no existe"))</f>
        <v/>
      </c>
      <c r="D98" s="8"/>
      <c r="E98" s="8"/>
      <c r="F98" s="8"/>
      <c r="G98" s="13"/>
    </row>
    <row r="99" spans="1:7" x14ac:dyDescent="0.3">
      <c r="A99" s="11"/>
      <c r="B99" s="8"/>
      <c r="C99" s="7" t="str">
        <f>IF(B99="","",IFERROR(INDEX(Vidriería!$C$2:$C$301,MATCH(B99,Vidriería!$A$2:$A$301,0))&amp;" "&amp;INDEX(Vidriería!$D$2:$D$301,MATCH(B99,Vidriería!$A$2:$A$301,0)),"ID no existe"))</f>
        <v/>
      </c>
      <c r="D99" s="8"/>
      <c r="E99" s="8"/>
      <c r="F99" s="8"/>
      <c r="G99" s="13"/>
    </row>
    <row r="100" spans="1:7" x14ac:dyDescent="0.3">
      <c r="A100" s="11"/>
      <c r="B100" s="8"/>
      <c r="C100" s="7" t="str">
        <f>IF(B100="","",IFERROR(INDEX(Vidriería!$C$2:$C$301,MATCH(B100,Vidriería!$A$2:$A$301,0))&amp;" "&amp;INDEX(Vidriería!$D$2:$D$301,MATCH(B100,Vidriería!$A$2:$A$301,0)),"ID no existe"))</f>
        <v/>
      </c>
      <c r="D100" s="8"/>
      <c r="E100" s="8"/>
      <c r="F100" s="8"/>
      <c r="G100" s="13"/>
    </row>
    <row r="101" spans="1:7" x14ac:dyDescent="0.3">
      <c r="A101" s="11"/>
      <c r="B101" s="8"/>
      <c r="C101" s="7" t="str">
        <f>IF(B101="","",IFERROR(INDEX(Vidriería!$C$2:$C$301,MATCH(B101,Vidriería!$A$2:$A$301,0))&amp;" "&amp;INDEX(Vidriería!$D$2:$D$301,MATCH(B101,Vidriería!$A$2:$A$301,0)),"ID no existe"))</f>
        <v/>
      </c>
      <c r="D101" s="8"/>
      <c r="E101" s="8"/>
      <c r="F101" s="8"/>
      <c r="G101" s="13"/>
    </row>
    <row r="102" spans="1:7" x14ac:dyDescent="0.3">
      <c r="A102" s="11"/>
      <c r="B102" s="8"/>
      <c r="C102" s="7" t="str">
        <f>IF(B102="","",IFERROR(INDEX(Vidriería!$C$2:$C$301,MATCH(B102,Vidriería!$A$2:$A$301,0))&amp;" "&amp;INDEX(Vidriería!$D$2:$D$301,MATCH(B102,Vidriería!$A$2:$A$301,0)),"ID no existe"))</f>
        <v/>
      </c>
      <c r="D102" s="8"/>
      <c r="E102" s="8"/>
      <c r="F102" s="8"/>
      <c r="G102" s="13"/>
    </row>
    <row r="103" spans="1:7" x14ac:dyDescent="0.3">
      <c r="A103" s="11"/>
      <c r="B103" s="8"/>
      <c r="C103" s="7" t="str">
        <f>IF(B103="","",IFERROR(INDEX(Vidriería!$C$2:$C$301,MATCH(B103,Vidriería!$A$2:$A$301,0))&amp;" "&amp;INDEX(Vidriería!$D$2:$D$301,MATCH(B103,Vidriería!$A$2:$A$301,0)),"ID no existe"))</f>
        <v/>
      </c>
      <c r="D103" s="8"/>
      <c r="E103" s="8"/>
      <c r="F103" s="8"/>
      <c r="G103" s="13"/>
    </row>
    <row r="104" spans="1:7" x14ac:dyDescent="0.3">
      <c r="A104" s="11"/>
      <c r="B104" s="8"/>
      <c r="C104" s="7" t="str">
        <f>IF(B104="","",IFERROR(INDEX(Vidriería!$C$2:$C$301,MATCH(B104,Vidriería!$A$2:$A$301,0))&amp;" "&amp;INDEX(Vidriería!$D$2:$D$301,MATCH(B104,Vidriería!$A$2:$A$301,0)),"ID no existe"))</f>
        <v/>
      </c>
      <c r="D104" s="8"/>
      <c r="E104" s="8"/>
      <c r="F104" s="8"/>
      <c r="G104" s="13"/>
    </row>
    <row r="105" spans="1:7" x14ac:dyDescent="0.3">
      <c r="A105" s="11"/>
      <c r="B105" s="8"/>
      <c r="C105" s="7" t="str">
        <f>IF(B105="","",IFERROR(INDEX(Vidriería!$C$2:$C$301,MATCH(B105,Vidriería!$A$2:$A$301,0))&amp;" "&amp;INDEX(Vidriería!$D$2:$D$301,MATCH(B105,Vidriería!$A$2:$A$301,0)),"ID no existe"))</f>
        <v/>
      </c>
      <c r="D105" s="8"/>
      <c r="E105" s="8"/>
      <c r="F105" s="8"/>
      <c r="G105" s="13"/>
    </row>
    <row r="106" spans="1:7" x14ac:dyDescent="0.3">
      <c r="A106" s="11"/>
      <c r="B106" s="8"/>
      <c r="C106" s="7" t="str">
        <f>IF(B106="","",IFERROR(INDEX(Vidriería!$C$2:$C$301,MATCH(B106,Vidriería!$A$2:$A$301,0))&amp;" "&amp;INDEX(Vidriería!$D$2:$D$301,MATCH(B106,Vidriería!$A$2:$A$301,0)),"ID no existe"))</f>
        <v/>
      </c>
      <c r="D106" s="8"/>
      <c r="E106" s="8"/>
      <c r="F106" s="8"/>
      <c r="G106" s="13"/>
    </row>
    <row r="107" spans="1:7" x14ac:dyDescent="0.3">
      <c r="A107" s="11"/>
      <c r="B107" s="8"/>
      <c r="C107" s="7" t="str">
        <f>IF(B107="","",IFERROR(INDEX(Vidriería!$C$2:$C$301,MATCH(B107,Vidriería!$A$2:$A$301,0))&amp;" "&amp;INDEX(Vidriería!$D$2:$D$301,MATCH(B107,Vidriería!$A$2:$A$301,0)),"ID no existe"))</f>
        <v/>
      </c>
      <c r="D107" s="8"/>
      <c r="E107" s="8"/>
      <c r="F107" s="8"/>
      <c r="G107" s="13"/>
    </row>
    <row r="108" spans="1:7" x14ac:dyDescent="0.3">
      <c r="A108" s="11"/>
      <c r="B108" s="8"/>
      <c r="C108" s="7" t="str">
        <f>IF(B108="","",IFERROR(INDEX(Vidriería!$C$2:$C$301,MATCH(B108,Vidriería!$A$2:$A$301,0))&amp;" "&amp;INDEX(Vidriería!$D$2:$D$301,MATCH(B108,Vidriería!$A$2:$A$301,0)),"ID no existe"))</f>
        <v/>
      </c>
      <c r="D108" s="8"/>
      <c r="E108" s="8"/>
      <c r="F108" s="8"/>
      <c r="G108" s="13"/>
    </row>
    <row r="109" spans="1:7" x14ac:dyDescent="0.3">
      <c r="A109" s="11"/>
      <c r="B109" s="8"/>
      <c r="C109" s="7" t="str">
        <f>IF(B109="","",IFERROR(INDEX(Vidriería!$C$2:$C$301,MATCH(B109,Vidriería!$A$2:$A$301,0))&amp;" "&amp;INDEX(Vidriería!$D$2:$D$301,MATCH(B109,Vidriería!$A$2:$A$301,0)),"ID no existe"))</f>
        <v/>
      </c>
      <c r="D109" s="8"/>
      <c r="E109" s="8"/>
      <c r="F109" s="8"/>
      <c r="G109" s="13"/>
    </row>
    <row r="110" spans="1:7" x14ac:dyDescent="0.3">
      <c r="A110" s="11"/>
      <c r="B110" s="8"/>
      <c r="C110" s="7" t="str">
        <f>IF(B110="","",IFERROR(INDEX(Vidriería!$C$2:$C$301,MATCH(B110,Vidriería!$A$2:$A$301,0))&amp;" "&amp;INDEX(Vidriería!$D$2:$D$301,MATCH(B110,Vidriería!$A$2:$A$301,0)),"ID no existe"))</f>
        <v/>
      </c>
      <c r="D110" s="8"/>
      <c r="E110" s="8"/>
      <c r="F110" s="8"/>
      <c r="G110" s="13"/>
    </row>
    <row r="111" spans="1:7" x14ac:dyDescent="0.3">
      <c r="A111" s="11"/>
      <c r="B111" s="8"/>
      <c r="C111" s="7" t="str">
        <f>IF(B111="","",IFERROR(INDEX(Vidriería!$C$2:$C$301,MATCH(B111,Vidriería!$A$2:$A$301,0))&amp;" "&amp;INDEX(Vidriería!$D$2:$D$301,MATCH(B111,Vidriería!$A$2:$A$301,0)),"ID no existe"))</f>
        <v/>
      </c>
      <c r="D111" s="8"/>
      <c r="E111" s="8"/>
      <c r="F111" s="8"/>
      <c r="G111" s="13"/>
    </row>
    <row r="112" spans="1:7" x14ac:dyDescent="0.3">
      <c r="A112" s="11"/>
      <c r="B112" s="8"/>
      <c r="C112" s="7" t="str">
        <f>IF(B112="","",IFERROR(INDEX(Vidriería!$C$2:$C$301,MATCH(B112,Vidriería!$A$2:$A$301,0))&amp;" "&amp;INDEX(Vidriería!$D$2:$D$301,MATCH(B112,Vidriería!$A$2:$A$301,0)),"ID no existe"))</f>
        <v/>
      </c>
      <c r="D112" s="8"/>
      <c r="E112" s="8"/>
      <c r="F112" s="8"/>
      <c r="G112" s="13"/>
    </row>
    <row r="113" spans="1:7" x14ac:dyDescent="0.3">
      <c r="A113" s="11"/>
      <c r="B113" s="8"/>
      <c r="C113" s="7" t="str">
        <f>IF(B113="","",IFERROR(INDEX(Vidriería!$C$2:$C$301,MATCH(B113,Vidriería!$A$2:$A$301,0))&amp;" "&amp;INDEX(Vidriería!$D$2:$D$301,MATCH(B113,Vidriería!$A$2:$A$301,0)),"ID no existe"))</f>
        <v/>
      </c>
      <c r="D113" s="8"/>
      <c r="E113" s="8"/>
      <c r="F113" s="8"/>
      <c r="G113" s="13"/>
    </row>
    <row r="114" spans="1:7" x14ac:dyDescent="0.3">
      <c r="A114" s="11"/>
      <c r="B114" s="8"/>
      <c r="C114" s="7" t="str">
        <f>IF(B114="","",IFERROR(INDEX(Vidriería!$C$2:$C$301,MATCH(B114,Vidriería!$A$2:$A$301,0))&amp;" "&amp;INDEX(Vidriería!$D$2:$D$301,MATCH(B114,Vidriería!$A$2:$A$301,0)),"ID no existe"))</f>
        <v/>
      </c>
      <c r="D114" s="8"/>
      <c r="E114" s="8"/>
      <c r="F114" s="8"/>
      <c r="G114" s="13"/>
    </row>
    <row r="115" spans="1:7" x14ac:dyDescent="0.3">
      <c r="A115" s="11"/>
      <c r="B115" s="8"/>
      <c r="C115" s="7" t="str">
        <f>IF(B115="","",IFERROR(INDEX(Vidriería!$C$2:$C$301,MATCH(B115,Vidriería!$A$2:$A$301,0))&amp;" "&amp;INDEX(Vidriería!$D$2:$D$301,MATCH(B115,Vidriería!$A$2:$A$301,0)),"ID no existe"))</f>
        <v/>
      </c>
      <c r="D115" s="8"/>
      <c r="E115" s="8"/>
      <c r="F115" s="8"/>
      <c r="G115" s="13"/>
    </row>
    <row r="116" spans="1:7" x14ac:dyDescent="0.3">
      <c r="A116" s="11"/>
      <c r="B116" s="8"/>
      <c r="C116" s="7" t="str">
        <f>IF(B116="","",IFERROR(INDEX(Vidriería!$C$2:$C$301,MATCH(B116,Vidriería!$A$2:$A$301,0))&amp;" "&amp;INDEX(Vidriería!$D$2:$D$301,MATCH(B116,Vidriería!$A$2:$A$301,0)),"ID no existe"))</f>
        <v/>
      </c>
      <c r="D116" s="8"/>
      <c r="E116" s="8"/>
      <c r="F116" s="8"/>
      <c r="G116" s="13"/>
    </row>
    <row r="117" spans="1:7" x14ac:dyDescent="0.3">
      <c r="A117" s="11"/>
      <c r="B117" s="8"/>
      <c r="C117" s="7" t="str">
        <f>IF(B117="","",IFERROR(INDEX(Vidriería!$C$2:$C$301,MATCH(B117,Vidriería!$A$2:$A$301,0))&amp;" "&amp;INDEX(Vidriería!$D$2:$D$301,MATCH(B117,Vidriería!$A$2:$A$301,0)),"ID no existe"))</f>
        <v/>
      </c>
      <c r="D117" s="8"/>
      <c r="E117" s="8"/>
      <c r="F117" s="8"/>
      <c r="G117" s="13"/>
    </row>
    <row r="118" spans="1:7" x14ac:dyDescent="0.3">
      <c r="A118" s="11"/>
      <c r="B118" s="8"/>
      <c r="C118" s="7" t="str">
        <f>IF(B118="","",IFERROR(INDEX(Vidriería!$C$2:$C$301,MATCH(B118,Vidriería!$A$2:$A$301,0))&amp;" "&amp;INDEX(Vidriería!$D$2:$D$301,MATCH(B118,Vidriería!$A$2:$A$301,0)),"ID no existe"))</f>
        <v/>
      </c>
      <c r="D118" s="8"/>
      <c r="E118" s="8"/>
      <c r="F118" s="8"/>
      <c r="G118" s="13"/>
    </row>
    <row r="119" spans="1:7" x14ac:dyDescent="0.3">
      <c r="A119" s="11"/>
      <c r="B119" s="8"/>
      <c r="C119" s="7" t="str">
        <f>IF(B119="","",IFERROR(INDEX(Vidriería!$C$2:$C$301,MATCH(B119,Vidriería!$A$2:$A$301,0))&amp;" "&amp;INDEX(Vidriería!$D$2:$D$301,MATCH(B119,Vidriería!$A$2:$A$301,0)),"ID no existe"))</f>
        <v/>
      </c>
      <c r="D119" s="8"/>
      <c r="E119" s="8"/>
      <c r="F119" s="8"/>
      <c r="G119" s="13"/>
    </row>
    <row r="120" spans="1:7" x14ac:dyDescent="0.3">
      <c r="A120" s="11"/>
      <c r="B120" s="8"/>
      <c r="C120" s="7" t="str">
        <f>IF(B120="","",IFERROR(INDEX(Vidriería!$C$2:$C$301,MATCH(B120,Vidriería!$A$2:$A$301,0))&amp;" "&amp;INDEX(Vidriería!$D$2:$D$301,MATCH(B120,Vidriería!$A$2:$A$301,0)),"ID no existe"))</f>
        <v/>
      </c>
      <c r="D120" s="8"/>
      <c r="E120" s="8"/>
      <c r="F120" s="8"/>
      <c r="G120" s="13"/>
    </row>
    <row r="121" spans="1:7" x14ac:dyDescent="0.3">
      <c r="A121" s="11"/>
      <c r="B121" s="8"/>
      <c r="C121" s="7" t="str">
        <f>IF(B121="","",IFERROR(INDEX(Vidriería!$C$2:$C$301,MATCH(B121,Vidriería!$A$2:$A$301,0))&amp;" "&amp;INDEX(Vidriería!$D$2:$D$301,MATCH(B121,Vidriería!$A$2:$A$301,0)),"ID no existe"))</f>
        <v/>
      </c>
      <c r="D121" s="8"/>
      <c r="E121" s="8"/>
      <c r="F121" s="8"/>
      <c r="G121" s="13"/>
    </row>
    <row r="122" spans="1:7" x14ac:dyDescent="0.3">
      <c r="A122" s="11"/>
      <c r="B122" s="8"/>
      <c r="C122" s="7" t="str">
        <f>IF(B122="","",IFERROR(INDEX(Vidriería!$C$2:$C$301,MATCH(B122,Vidriería!$A$2:$A$301,0))&amp;" "&amp;INDEX(Vidriería!$D$2:$D$301,MATCH(B122,Vidriería!$A$2:$A$301,0)),"ID no existe"))</f>
        <v/>
      </c>
      <c r="D122" s="8"/>
      <c r="E122" s="8"/>
      <c r="F122" s="8"/>
      <c r="G122" s="13"/>
    </row>
    <row r="123" spans="1:7" x14ac:dyDescent="0.3">
      <c r="A123" s="11"/>
      <c r="B123" s="8"/>
      <c r="C123" s="7" t="str">
        <f>IF(B123="","",IFERROR(INDEX(Vidriería!$C$2:$C$301,MATCH(B123,Vidriería!$A$2:$A$301,0))&amp;" "&amp;INDEX(Vidriería!$D$2:$D$301,MATCH(B123,Vidriería!$A$2:$A$301,0)),"ID no existe"))</f>
        <v/>
      </c>
      <c r="D123" s="8"/>
      <c r="E123" s="8"/>
      <c r="F123" s="8"/>
      <c r="G123" s="13"/>
    </row>
    <row r="124" spans="1:7" x14ac:dyDescent="0.3">
      <c r="A124" s="11"/>
      <c r="B124" s="8"/>
      <c r="C124" s="7" t="str">
        <f>IF(B124="","",IFERROR(INDEX(Vidriería!$C$2:$C$301,MATCH(B124,Vidriería!$A$2:$A$301,0))&amp;" "&amp;INDEX(Vidriería!$D$2:$D$301,MATCH(B124,Vidriería!$A$2:$A$301,0)),"ID no existe"))</f>
        <v/>
      </c>
      <c r="D124" s="8"/>
      <c r="E124" s="8"/>
      <c r="F124" s="8"/>
      <c r="G124" s="13"/>
    </row>
    <row r="125" spans="1:7" x14ac:dyDescent="0.3">
      <c r="A125" s="11"/>
      <c r="B125" s="8"/>
      <c r="C125" s="7" t="str">
        <f>IF(B125="","",IFERROR(INDEX(Vidriería!$C$2:$C$301,MATCH(B125,Vidriería!$A$2:$A$301,0))&amp;" "&amp;INDEX(Vidriería!$D$2:$D$301,MATCH(B125,Vidriería!$A$2:$A$301,0)),"ID no existe"))</f>
        <v/>
      </c>
      <c r="D125" s="8"/>
      <c r="E125" s="8"/>
      <c r="F125" s="8"/>
      <c r="G125" s="13"/>
    </row>
    <row r="126" spans="1:7" x14ac:dyDescent="0.3">
      <c r="A126" s="11"/>
      <c r="B126" s="8"/>
      <c r="C126" s="7" t="str">
        <f>IF(B126="","",IFERROR(INDEX(Vidriería!$C$2:$C$301,MATCH(B126,Vidriería!$A$2:$A$301,0))&amp;" "&amp;INDEX(Vidriería!$D$2:$D$301,MATCH(B126,Vidriería!$A$2:$A$301,0)),"ID no existe"))</f>
        <v/>
      </c>
      <c r="D126" s="8"/>
      <c r="E126" s="8"/>
      <c r="F126" s="8"/>
      <c r="G126" s="13"/>
    </row>
    <row r="127" spans="1:7" x14ac:dyDescent="0.3">
      <c r="A127" s="11"/>
      <c r="B127" s="8"/>
      <c r="C127" s="7" t="str">
        <f>IF(B127="","",IFERROR(INDEX(Vidriería!$C$2:$C$301,MATCH(B127,Vidriería!$A$2:$A$301,0))&amp;" "&amp;INDEX(Vidriería!$D$2:$D$301,MATCH(B127,Vidriería!$A$2:$A$301,0)),"ID no existe"))</f>
        <v/>
      </c>
      <c r="D127" s="8"/>
      <c r="E127" s="8"/>
      <c r="F127" s="8"/>
      <c r="G127" s="13"/>
    </row>
    <row r="128" spans="1:7" x14ac:dyDescent="0.3">
      <c r="A128" s="11"/>
      <c r="B128" s="8"/>
      <c r="C128" s="7" t="str">
        <f>IF(B128="","",IFERROR(INDEX(Vidriería!$C$2:$C$301,MATCH(B128,Vidriería!$A$2:$A$301,0))&amp;" "&amp;INDEX(Vidriería!$D$2:$D$301,MATCH(B128,Vidriería!$A$2:$A$301,0)),"ID no existe"))</f>
        <v/>
      </c>
      <c r="D128" s="8"/>
      <c r="E128" s="8"/>
      <c r="F128" s="8"/>
      <c r="G128" s="13"/>
    </row>
    <row r="129" spans="1:7" x14ac:dyDescent="0.3">
      <c r="A129" s="11"/>
      <c r="B129" s="8"/>
      <c r="C129" s="7" t="str">
        <f>IF(B129="","",IFERROR(INDEX(Vidriería!$C$2:$C$301,MATCH(B129,Vidriería!$A$2:$A$301,0))&amp;" "&amp;INDEX(Vidriería!$D$2:$D$301,MATCH(B129,Vidriería!$A$2:$A$301,0)),"ID no existe"))</f>
        <v/>
      </c>
      <c r="D129" s="8"/>
      <c r="E129" s="8"/>
      <c r="F129" s="8"/>
      <c r="G129" s="13"/>
    </row>
    <row r="130" spans="1:7" x14ac:dyDescent="0.3">
      <c r="A130" s="11"/>
      <c r="B130" s="8"/>
      <c r="C130" s="7" t="str">
        <f>IF(B130="","",IFERROR(INDEX(Vidriería!$C$2:$C$301,MATCH(B130,Vidriería!$A$2:$A$301,0))&amp;" "&amp;INDEX(Vidriería!$D$2:$D$301,MATCH(B130,Vidriería!$A$2:$A$301,0)),"ID no existe"))</f>
        <v/>
      </c>
      <c r="D130" s="8"/>
      <c r="E130" s="8"/>
      <c r="F130" s="8"/>
      <c r="G130" s="13"/>
    </row>
    <row r="131" spans="1:7" x14ac:dyDescent="0.3">
      <c r="A131" s="11"/>
      <c r="B131" s="8"/>
      <c r="C131" s="7" t="str">
        <f>IF(B131="","",IFERROR(INDEX(Vidriería!$C$2:$C$301,MATCH(B131,Vidriería!$A$2:$A$301,0))&amp;" "&amp;INDEX(Vidriería!$D$2:$D$301,MATCH(B131,Vidriería!$A$2:$A$301,0)),"ID no existe"))</f>
        <v/>
      </c>
      <c r="D131" s="8"/>
      <c r="E131" s="8"/>
      <c r="F131" s="8"/>
      <c r="G131" s="13"/>
    </row>
    <row r="132" spans="1:7" x14ac:dyDescent="0.3">
      <c r="A132" s="11"/>
      <c r="B132" s="8"/>
      <c r="C132" s="7" t="str">
        <f>IF(B132="","",IFERROR(INDEX(Vidriería!$C$2:$C$301,MATCH(B132,Vidriería!$A$2:$A$301,0))&amp;" "&amp;INDEX(Vidriería!$D$2:$D$301,MATCH(B132,Vidriería!$A$2:$A$301,0)),"ID no existe"))</f>
        <v/>
      </c>
      <c r="D132" s="8"/>
      <c r="E132" s="8"/>
      <c r="F132" s="8"/>
      <c r="G132" s="13"/>
    </row>
    <row r="133" spans="1:7" x14ac:dyDescent="0.3">
      <c r="A133" s="11"/>
      <c r="B133" s="8"/>
      <c r="C133" s="7" t="str">
        <f>IF(B133="","",IFERROR(INDEX(Vidriería!$C$2:$C$301,MATCH(B133,Vidriería!$A$2:$A$301,0))&amp;" "&amp;INDEX(Vidriería!$D$2:$D$301,MATCH(B133,Vidriería!$A$2:$A$301,0)),"ID no existe"))</f>
        <v/>
      </c>
      <c r="D133" s="8"/>
      <c r="E133" s="8"/>
      <c r="F133" s="8"/>
      <c r="G133" s="13"/>
    </row>
    <row r="134" spans="1:7" x14ac:dyDescent="0.3">
      <c r="A134" s="11"/>
      <c r="B134" s="8"/>
      <c r="C134" s="7" t="str">
        <f>IF(B134="","",IFERROR(INDEX(Vidriería!$C$2:$C$301,MATCH(B134,Vidriería!$A$2:$A$301,0))&amp;" "&amp;INDEX(Vidriería!$D$2:$D$301,MATCH(B134,Vidriería!$A$2:$A$301,0)),"ID no existe"))</f>
        <v/>
      </c>
      <c r="D134" s="8"/>
      <c r="E134" s="8"/>
      <c r="F134" s="8"/>
      <c r="G134" s="13"/>
    </row>
    <row r="135" spans="1:7" x14ac:dyDescent="0.3">
      <c r="A135" s="11"/>
      <c r="B135" s="8"/>
      <c r="C135" s="7" t="str">
        <f>IF(B135="","",IFERROR(INDEX(Vidriería!$C$2:$C$301,MATCH(B135,Vidriería!$A$2:$A$301,0))&amp;" "&amp;INDEX(Vidriería!$D$2:$D$301,MATCH(B135,Vidriería!$A$2:$A$301,0)),"ID no existe"))</f>
        <v/>
      </c>
      <c r="D135" s="8"/>
      <c r="E135" s="8"/>
      <c r="F135" s="8"/>
      <c r="G135" s="13"/>
    </row>
    <row r="136" spans="1:7" x14ac:dyDescent="0.3">
      <c r="A136" s="11"/>
      <c r="B136" s="8"/>
      <c r="C136" s="7" t="str">
        <f>IF(B136="","",IFERROR(INDEX(Vidriería!$C$2:$C$301,MATCH(B136,Vidriería!$A$2:$A$301,0))&amp;" "&amp;INDEX(Vidriería!$D$2:$D$301,MATCH(B136,Vidriería!$A$2:$A$301,0)),"ID no existe"))</f>
        <v/>
      </c>
      <c r="D136" s="8"/>
      <c r="E136" s="8"/>
      <c r="F136" s="8"/>
      <c r="G136" s="13"/>
    </row>
    <row r="137" spans="1:7" x14ac:dyDescent="0.3">
      <c r="A137" s="11"/>
      <c r="B137" s="8"/>
      <c r="C137" s="7" t="str">
        <f>IF(B137="","",IFERROR(INDEX(Vidriería!$C$2:$C$301,MATCH(B137,Vidriería!$A$2:$A$301,0))&amp;" "&amp;INDEX(Vidriería!$D$2:$D$301,MATCH(B137,Vidriería!$A$2:$A$301,0)),"ID no existe"))</f>
        <v/>
      </c>
      <c r="D137" s="8"/>
      <c r="E137" s="8"/>
      <c r="F137" s="8"/>
      <c r="G137" s="13"/>
    </row>
    <row r="138" spans="1:7" x14ac:dyDescent="0.3">
      <c r="A138" s="11"/>
      <c r="B138" s="8"/>
      <c r="C138" s="7" t="str">
        <f>IF(B138="","",IFERROR(INDEX(Vidriería!$C$2:$C$301,MATCH(B138,Vidriería!$A$2:$A$301,0))&amp;" "&amp;INDEX(Vidriería!$D$2:$D$301,MATCH(B138,Vidriería!$A$2:$A$301,0)),"ID no existe"))</f>
        <v/>
      </c>
      <c r="D138" s="8"/>
      <c r="E138" s="8"/>
      <c r="F138" s="8"/>
      <c r="G138" s="13"/>
    </row>
    <row r="139" spans="1:7" x14ac:dyDescent="0.3">
      <c r="A139" s="11"/>
      <c r="B139" s="8"/>
      <c r="C139" s="7" t="str">
        <f>IF(B139="","",IFERROR(INDEX(Vidriería!$C$2:$C$301,MATCH(B139,Vidriería!$A$2:$A$301,0))&amp;" "&amp;INDEX(Vidriería!$D$2:$D$301,MATCH(B139,Vidriería!$A$2:$A$301,0)),"ID no existe"))</f>
        <v/>
      </c>
      <c r="D139" s="8"/>
      <c r="E139" s="8"/>
      <c r="F139" s="8"/>
      <c r="G139" s="13"/>
    </row>
    <row r="140" spans="1:7" x14ac:dyDescent="0.3">
      <c r="A140" s="11"/>
      <c r="B140" s="8"/>
      <c r="C140" s="7" t="str">
        <f>IF(B140="","",IFERROR(INDEX(Vidriería!$C$2:$C$301,MATCH(B140,Vidriería!$A$2:$A$301,0))&amp;" "&amp;INDEX(Vidriería!$D$2:$D$301,MATCH(B140,Vidriería!$A$2:$A$301,0)),"ID no existe"))</f>
        <v/>
      </c>
      <c r="D140" s="8"/>
      <c r="E140" s="8"/>
      <c r="F140" s="8"/>
      <c r="G140" s="13"/>
    </row>
    <row r="141" spans="1:7" x14ac:dyDescent="0.3">
      <c r="A141" s="11"/>
      <c r="B141" s="8"/>
      <c r="C141" s="7" t="str">
        <f>IF(B141="","",IFERROR(INDEX(Vidriería!$C$2:$C$301,MATCH(B141,Vidriería!$A$2:$A$301,0))&amp;" "&amp;INDEX(Vidriería!$D$2:$D$301,MATCH(B141,Vidriería!$A$2:$A$301,0)),"ID no existe"))</f>
        <v/>
      </c>
      <c r="D141" s="8"/>
      <c r="E141" s="8"/>
      <c r="F141" s="8"/>
      <c r="G141" s="13"/>
    </row>
    <row r="142" spans="1:7" x14ac:dyDescent="0.3">
      <c r="A142" s="11"/>
      <c r="B142" s="8"/>
      <c r="C142" s="7" t="str">
        <f>IF(B142="","",IFERROR(INDEX(Vidriería!$C$2:$C$301,MATCH(B142,Vidriería!$A$2:$A$301,0))&amp;" "&amp;INDEX(Vidriería!$D$2:$D$301,MATCH(B142,Vidriería!$A$2:$A$301,0)),"ID no existe"))</f>
        <v/>
      </c>
      <c r="D142" s="8"/>
      <c r="E142" s="8"/>
      <c r="F142" s="8"/>
      <c r="G142" s="13"/>
    </row>
    <row r="143" spans="1:7" x14ac:dyDescent="0.3">
      <c r="A143" s="11"/>
      <c r="B143" s="8"/>
      <c r="C143" s="7" t="str">
        <f>IF(B143="","",IFERROR(INDEX(Vidriería!$C$2:$C$301,MATCH(B143,Vidriería!$A$2:$A$301,0))&amp;" "&amp;INDEX(Vidriería!$D$2:$D$301,MATCH(B143,Vidriería!$A$2:$A$301,0)),"ID no existe"))</f>
        <v/>
      </c>
      <c r="D143" s="8"/>
      <c r="E143" s="8"/>
      <c r="F143" s="8"/>
      <c r="G143" s="13"/>
    </row>
    <row r="144" spans="1:7" x14ac:dyDescent="0.3">
      <c r="A144" s="11"/>
      <c r="B144" s="8"/>
      <c r="C144" s="7" t="str">
        <f>IF(B144="","",IFERROR(INDEX(Vidriería!$C$2:$C$301,MATCH(B144,Vidriería!$A$2:$A$301,0))&amp;" "&amp;INDEX(Vidriería!$D$2:$D$301,MATCH(B144,Vidriería!$A$2:$A$301,0)),"ID no existe"))</f>
        <v/>
      </c>
      <c r="D144" s="8"/>
      <c r="E144" s="8"/>
      <c r="F144" s="8"/>
      <c r="G144" s="13"/>
    </row>
    <row r="145" spans="1:7" x14ac:dyDescent="0.3">
      <c r="A145" s="11"/>
      <c r="B145" s="8"/>
      <c r="C145" s="7" t="str">
        <f>IF(B145="","",IFERROR(INDEX(Vidriería!$C$2:$C$301,MATCH(B145,Vidriería!$A$2:$A$301,0))&amp;" "&amp;INDEX(Vidriería!$D$2:$D$301,MATCH(B145,Vidriería!$A$2:$A$301,0)),"ID no existe"))</f>
        <v/>
      </c>
      <c r="D145" s="8"/>
      <c r="E145" s="8"/>
      <c r="F145" s="8"/>
      <c r="G145" s="13"/>
    </row>
    <row r="146" spans="1:7" x14ac:dyDescent="0.3">
      <c r="A146" s="11"/>
      <c r="B146" s="8"/>
      <c r="C146" s="7" t="str">
        <f>IF(B146="","",IFERROR(INDEX(Vidriería!$C$2:$C$301,MATCH(B146,Vidriería!$A$2:$A$301,0))&amp;" "&amp;INDEX(Vidriería!$D$2:$D$301,MATCH(B146,Vidriería!$A$2:$A$301,0)),"ID no existe"))</f>
        <v/>
      </c>
      <c r="D146" s="8"/>
      <c r="E146" s="8"/>
      <c r="F146" s="8"/>
      <c r="G146" s="13"/>
    </row>
    <row r="147" spans="1:7" x14ac:dyDescent="0.3">
      <c r="A147" s="11"/>
      <c r="B147" s="8"/>
      <c r="C147" s="7" t="str">
        <f>IF(B147="","",IFERROR(INDEX(Vidriería!$C$2:$C$301,MATCH(B147,Vidriería!$A$2:$A$301,0))&amp;" "&amp;INDEX(Vidriería!$D$2:$D$301,MATCH(B147,Vidriería!$A$2:$A$301,0)),"ID no existe"))</f>
        <v/>
      </c>
      <c r="D147" s="8"/>
      <c r="E147" s="8"/>
      <c r="F147" s="8"/>
      <c r="G147" s="13"/>
    </row>
    <row r="148" spans="1:7" x14ac:dyDescent="0.3">
      <c r="A148" s="11"/>
      <c r="B148" s="8"/>
      <c r="C148" s="7" t="str">
        <f>IF(B148="","",IFERROR(INDEX(Vidriería!$C$2:$C$301,MATCH(B148,Vidriería!$A$2:$A$301,0))&amp;" "&amp;INDEX(Vidriería!$D$2:$D$301,MATCH(B148,Vidriería!$A$2:$A$301,0)),"ID no existe"))</f>
        <v/>
      </c>
      <c r="D148" s="8"/>
      <c r="E148" s="8"/>
      <c r="F148" s="8"/>
      <c r="G148" s="13"/>
    </row>
    <row r="149" spans="1:7" x14ac:dyDescent="0.3">
      <c r="A149" s="11"/>
      <c r="B149" s="8"/>
      <c r="C149" s="7" t="str">
        <f>IF(B149="","",IFERROR(INDEX(Vidriería!$C$2:$C$301,MATCH(B149,Vidriería!$A$2:$A$301,0))&amp;" "&amp;INDEX(Vidriería!$D$2:$D$301,MATCH(B149,Vidriería!$A$2:$A$301,0)),"ID no existe"))</f>
        <v/>
      </c>
      <c r="D149" s="8"/>
      <c r="E149" s="8"/>
      <c r="F149" s="8"/>
      <c r="G149" s="13"/>
    </row>
    <row r="150" spans="1:7" x14ac:dyDescent="0.3">
      <c r="A150" s="11"/>
      <c r="B150" s="8"/>
      <c r="C150" s="7" t="str">
        <f>IF(B150="","",IFERROR(INDEX(Vidriería!$C$2:$C$301,MATCH(B150,Vidriería!$A$2:$A$301,0))&amp;" "&amp;INDEX(Vidriería!$D$2:$D$301,MATCH(B150,Vidriería!$A$2:$A$301,0)),"ID no existe"))</f>
        <v/>
      </c>
      <c r="D150" s="8"/>
      <c r="E150" s="8"/>
      <c r="F150" s="8"/>
      <c r="G150" s="13"/>
    </row>
    <row r="151" spans="1:7" x14ac:dyDescent="0.3">
      <c r="A151" s="11"/>
      <c r="B151" s="8"/>
      <c r="C151" s="7" t="str">
        <f>IF(B151="","",IFERROR(INDEX(Vidriería!$C$2:$C$301,MATCH(B151,Vidriería!$A$2:$A$301,0))&amp;" "&amp;INDEX(Vidriería!$D$2:$D$301,MATCH(B151,Vidriería!$A$2:$A$301,0)),"ID no existe"))</f>
        <v/>
      </c>
      <c r="D151" s="8"/>
      <c r="E151" s="8"/>
      <c r="F151" s="8"/>
      <c r="G151" s="13"/>
    </row>
    <row r="152" spans="1:7" x14ac:dyDescent="0.3">
      <c r="A152" s="11"/>
      <c r="B152" s="8"/>
      <c r="C152" s="7" t="str">
        <f>IF(B152="","",IFERROR(INDEX(Vidriería!$C$2:$C$301,MATCH(B152,Vidriería!$A$2:$A$301,0))&amp;" "&amp;INDEX(Vidriería!$D$2:$D$301,MATCH(B152,Vidriería!$A$2:$A$301,0)),"ID no existe"))</f>
        <v/>
      </c>
      <c r="D152" s="8"/>
      <c r="E152" s="8"/>
      <c r="F152" s="8"/>
      <c r="G152" s="13"/>
    </row>
    <row r="153" spans="1:7" x14ac:dyDescent="0.3">
      <c r="A153" s="11"/>
      <c r="B153" s="8"/>
      <c r="C153" s="7" t="str">
        <f>IF(B153="","",IFERROR(INDEX(Vidriería!$C$2:$C$301,MATCH(B153,Vidriería!$A$2:$A$301,0))&amp;" "&amp;INDEX(Vidriería!$D$2:$D$301,MATCH(B153,Vidriería!$A$2:$A$301,0)),"ID no existe"))</f>
        <v/>
      </c>
      <c r="D153" s="8"/>
      <c r="E153" s="8"/>
      <c r="F153" s="8"/>
      <c r="G153" s="13"/>
    </row>
    <row r="154" spans="1:7" x14ac:dyDescent="0.3">
      <c r="A154" s="11"/>
      <c r="B154" s="8"/>
      <c r="C154" s="7" t="str">
        <f>IF(B154="","",IFERROR(INDEX(Vidriería!$C$2:$C$301,MATCH(B154,Vidriería!$A$2:$A$301,0))&amp;" "&amp;INDEX(Vidriería!$D$2:$D$301,MATCH(B154,Vidriería!$A$2:$A$301,0)),"ID no existe"))</f>
        <v/>
      </c>
      <c r="D154" s="8"/>
      <c r="E154" s="8"/>
      <c r="F154" s="8"/>
      <c r="G154" s="13"/>
    </row>
    <row r="155" spans="1:7" x14ac:dyDescent="0.3">
      <c r="A155" s="11"/>
      <c r="B155" s="8"/>
      <c r="C155" s="7" t="str">
        <f>IF(B155="","",IFERROR(INDEX(Vidriería!$C$2:$C$301,MATCH(B155,Vidriería!$A$2:$A$301,0))&amp;" "&amp;INDEX(Vidriería!$D$2:$D$301,MATCH(B155,Vidriería!$A$2:$A$301,0)),"ID no existe"))</f>
        <v/>
      </c>
      <c r="D155" s="8"/>
      <c r="E155" s="8"/>
      <c r="F155" s="8"/>
      <c r="G155" s="13"/>
    </row>
    <row r="156" spans="1:7" x14ac:dyDescent="0.3">
      <c r="A156" s="11"/>
      <c r="B156" s="8"/>
      <c r="C156" s="7" t="str">
        <f>IF(B156="","",IFERROR(INDEX(Vidriería!$C$2:$C$301,MATCH(B156,Vidriería!$A$2:$A$301,0))&amp;" "&amp;INDEX(Vidriería!$D$2:$D$301,MATCH(B156,Vidriería!$A$2:$A$301,0)),"ID no existe"))</f>
        <v/>
      </c>
      <c r="D156" s="8"/>
      <c r="E156" s="8"/>
      <c r="F156" s="8"/>
      <c r="G156" s="13"/>
    </row>
    <row r="157" spans="1:7" x14ac:dyDescent="0.3">
      <c r="A157" s="11"/>
      <c r="B157" s="8"/>
      <c r="C157" s="7" t="str">
        <f>IF(B157="","",IFERROR(INDEX(Vidriería!$C$2:$C$301,MATCH(B157,Vidriería!$A$2:$A$301,0))&amp;" "&amp;INDEX(Vidriería!$D$2:$D$301,MATCH(B157,Vidriería!$A$2:$A$301,0)),"ID no existe"))</f>
        <v/>
      </c>
      <c r="D157" s="8"/>
      <c r="E157" s="8"/>
      <c r="F157" s="8"/>
      <c r="G157" s="13"/>
    </row>
    <row r="158" spans="1:7" x14ac:dyDescent="0.3">
      <c r="A158" s="11"/>
      <c r="B158" s="8"/>
      <c r="C158" s="7" t="str">
        <f>IF(B158="","",IFERROR(INDEX(Vidriería!$C$2:$C$301,MATCH(B158,Vidriería!$A$2:$A$301,0))&amp;" "&amp;INDEX(Vidriería!$D$2:$D$301,MATCH(B158,Vidriería!$A$2:$A$301,0)),"ID no existe"))</f>
        <v/>
      </c>
      <c r="D158" s="8"/>
      <c r="E158" s="8"/>
      <c r="F158" s="8"/>
      <c r="G158" s="13"/>
    </row>
    <row r="159" spans="1:7" x14ac:dyDescent="0.3">
      <c r="A159" s="11"/>
      <c r="B159" s="8"/>
      <c r="C159" s="7" t="str">
        <f>IF(B159="","",IFERROR(INDEX(Vidriería!$C$2:$C$301,MATCH(B159,Vidriería!$A$2:$A$301,0))&amp;" "&amp;INDEX(Vidriería!$D$2:$D$301,MATCH(B159,Vidriería!$A$2:$A$301,0)),"ID no existe"))</f>
        <v/>
      </c>
      <c r="D159" s="8"/>
      <c r="E159" s="8"/>
      <c r="F159" s="8"/>
      <c r="G159" s="13"/>
    </row>
    <row r="160" spans="1:7" x14ac:dyDescent="0.3">
      <c r="A160" s="11"/>
      <c r="B160" s="8"/>
      <c r="C160" s="7" t="str">
        <f>IF(B160="","",IFERROR(INDEX(Vidriería!$C$2:$C$301,MATCH(B160,Vidriería!$A$2:$A$301,0))&amp;" "&amp;INDEX(Vidriería!$D$2:$D$301,MATCH(B160,Vidriería!$A$2:$A$301,0)),"ID no existe"))</f>
        <v/>
      </c>
      <c r="D160" s="8"/>
      <c r="E160" s="8"/>
      <c r="F160" s="8"/>
      <c r="G160" s="13"/>
    </row>
    <row r="161" spans="1:7" x14ac:dyDescent="0.3">
      <c r="A161" s="11"/>
      <c r="B161" s="8"/>
      <c r="C161" s="7" t="str">
        <f>IF(B161="","",IFERROR(INDEX(Vidriería!$C$2:$C$301,MATCH(B161,Vidriería!$A$2:$A$301,0))&amp;" "&amp;INDEX(Vidriería!$D$2:$D$301,MATCH(B161,Vidriería!$A$2:$A$301,0)),"ID no existe"))</f>
        <v/>
      </c>
      <c r="D161" s="8"/>
      <c r="E161" s="8"/>
      <c r="F161" s="8"/>
      <c r="G161" s="13"/>
    </row>
    <row r="162" spans="1:7" x14ac:dyDescent="0.3">
      <c r="A162" s="11"/>
      <c r="B162" s="8"/>
      <c r="C162" s="7" t="str">
        <f>IF(B162="","",IFERROR(INDEX(Vidriería!$C$2:$C$301,MATCH(B162,Vidriería!$A$2:$A$301,0))&amp;" "&amp;INDEX(Vidriería!$D$2:$D$301,MATCH(B162,Vidriería!$A$2:$A$301,0)),"ID no existe"))</f>
        <v/>
      </c>
      <c r="D162" s="8"/>
      <c r="E162" s="8"/>
      <c r="F162" s="8"/>
      <c r="G162" s="13"/>
    </row>
    <row r="163" spans="1:7" x14ac:dyDescent="0.3">
      <c r="A163" s="11"/>
      <c r="B163" s="8"/>
      <c r="C163" s="7" t="str">
        <f>IF(B163="","",IFERROR(INDEX(Vidriería!$C$2:$C$301,MATCH(B163,Vidriería!$A$2:$A$301,0))&amp;" "&amp;INDEX(Vidriería!$D$2:$D$301,MATCH(B163,Vidriería!$A$2:$A$301,0)),"ID no existe"))</f>
        <v/>
      </c>
      <c r="D163" s="8"/>
      <c r="E163" s="8"/>
      <c r="F163" s="8"/>
      <c r="G163" s="13"/>
    </row>
    <row r="164" spans="1:7" x14ac:dyDescent="0.3">
      <c r="A164" s="11"/>
      <c r="B164" s="8"/>
      <c r="C164" s="7" t="str">
        <f>IF(B164="","",IFERROR(INDEX(Vidriería!$C$2:$C$301,MATCH(B164,Vidriería!$A$2:$A$301,0))&amp;" "&amp;INDEX(Vidriería!$D$2:$D$301,MATCH(B164,Vidriería!$A$2:$A$301,0)),"ID no existe"))</f>
        <v/>
      </c>
      <c r="D164" s="8"/>
      <c r="E164" s="8"/>
      <c r="F164" s="8"/>
      <c r="G164" s="13"/>
    </row>
    <row r="165" spans="1:7" x14ac:dyDescent="0.3">
      <c r="A165" s="11"/>
      <c r="B165" s="8"/>
      <c r="C165" s="7" t="str">
        <f>IF(B165="","",IFERROR(INDEX(Vidriería!$C$2:$C$301,MATCH(B165,Vidriería!$A$2:$A$301,0))&amp;" "&amp;INDEX(Vidriería!$D$2:$D$301,MATCH(B165,Vidriería!$A$2:$A$301,0)),"ID no existe"))</f>
        <v/>
      </c>
      <c r="D165" s="8"/>
      <c r="E165" s="8"/>
      <c r="F165" s="8"/>
      <c r="G165" s="13"/>
    </row>
    <row r="166" spans="1:7" x14ac:dyDescent="0.3">
      <c r="A166" s="11"/>
      <c r="B166" s="8"/>
      <c r="C166" s="7" t="str">
        <f>IF(B166="","",IFERROR(INDEX(Vidriería!$C$2:$C$301,MATCH(B166,Vidriería!$A$2:$A$301,0))&amp;" "&amp;INDEX(Vidriería!$D$2:$D$301,MATCH(B166,Vidriería!$A$2:$A$301,0)),"ID no existe"))</f>
        <v/>
      </c>
      <c r="D166" s="8"/>
      <c r="E166" s="8"/>
      <c r="F166" s="8"/>
      <c r="G166" s="13"/>
    </row>
    <row r="167" spans="1:7" x14ac:dyDescent="0.3">
      <c r="A167" s="11"/>
      <c r="B167" s="8"/>
      <c r="C167" s="7" t="str">
        <f>IF(B167="","",IFERROR(INDEX(Vidriería!$C$2:$C$301,MATCH(B167,Vidriería!$A$2:$A$301,0))&amp;" "&amp;INDEX(Vidriería!$D$2:$D$301,MATCH(B167,Vidriería!$A$2:$A$301,0)),"ID no existe"))</f>
        <v/>
      </c>
      <c r="D167" s="8"/>
      <c r="E167" s="8"/>
      <c r="F167" s="8"/>
      <c r="G167" s="13"/>
    </row>
    <row r="168" spans="1:7" x14ac:dyDescent="0.3">
      <c r="A168" s="11"/>
      <c r="B168" s="8"/>
      <c r="C168" s="7" t="str">
        <f>IF(B168="","",IFERROR(INDEX(Vidriería!$C$2:$C$301,MATCH(B168,Vidriería!$A$2:$A$301,0))&amp;" "&amp;INDEX(Vidriería!$D$2:$D$301,MATCH(B168,Vidriería!$A$2:$A$301,0)),"ID no existe"))</f>
        <v/>
      </c>
      <c r="D168" s="8"/>
      <c r="E168" s="8"/>
      <c r="F168" s="8"/>
      <c r="G168" s="13"/>
    </row>
    <row r="169" spans="1:7" x14ac:dyDescent="0.3">
      <c r="A169" s="11"/>
      <c r="B169" s="8"/>
      <c r="C169" s="7" t="str">
        <f>IF(B169="","",IFERROR(INDEX(Vidriería!$C$2:$C$301,MATCH(B169,Vidriería!$A$2:$A$301,0))&amp;" "&amp;INDEX(Vidriería!$D$2:$D$301,MATCH(B169,Vidriería!$A$2:$A$301,0)),"ID no existe"))</f>
        <v/>
      </c>
      <c r="D169" s="8"/>
      <c r="E169" s="8"/>
      <c r="F169" s="8"/>
      <c r="G169" s="13"/>
    </row>
    <row r="170" spans="1:7" x14ac:dyDescent="0.3">
      <c r="A170" s="11"/>
      <c r="B170" s="8"/>
      <c r="C170" s="7" t="str">
        <f>IF(B170="","",IFERROR(INDEX(Vidriería!$C$2:$C$301,MATCH(B170,Vidriería!$A$2:$A$301,0))&amp;" "&amp;INDEX(Vidriería!$D$2:$D$301,MATCH(B170,Vidriería!$A$2:$A$301,0)),"ID no existe"))</f>
        <v/>
      </c>
      <c r="D170" s="8"/>
      <c r="E170" s="8"/>
      <c r="F170" s="8"/>
      <c r="G170" s="13"/>
    </row>
    <row r="171" spans="1:7" x14ac:dyDescent="0.3">
      <c r="A171" s="11"/>
      <c r="B171" s="8"/>
      <c r="C171" s="7" t="str">
        <f>IF(B171="","",IFERROR(INDEX(Vidriería!$C$2:$C$301,MATCH(B171,Vidriería!$A$2:$A$301,0))&amp;" "&amp;INDEX(Vidriería!$D$2:$D$301,MATCH(B171,Vidriería!$A$2:$A$301,0)),"ID no existe"))</f>
        <v/>
      </c>
      <c r="D171" s="8"/>
      <c r="E171" s="8"/>
      <c r="F171" s="8"/>
      <c r="G171" s="13"/>
    </row>
    <row r="172" spans="1:7" x14ac:dyDescent="0.3">
      <c r="A172" s="11"/>
      <c r="B172" s="8"/>
      <c r="C172" s="7" t="str">
        <f>IF(B172="","",IFERROR(INDEX(Vidriería!$C$2:$C$301,MATCH(B172,Vidriería!$A$2:$A$301,0))&amp;" "&amp;INDEX(Vidriería!$D$2:$D$301,MATCH(B172,Vidriería!$A$2:$A$301,0)),"ID no existe"))</f>
        <v/>
      </c>
      <c r="D172" s="8"/>
      <c r="E172" s="8"/>
      <c r="F172" s="8"/>
      <c r="G172" s="13"/>
    </row>
    <row r="173" spans="1:7" x14ac:dyDescent="0.3">
      <c r="A173" s="11"/>
      <c r="B173" s="8"/>
      <c r="C173" s="7" t="str">
        <f>IF(B173="","",IFERROR(INDEX(Vidriería!$C$2:$C$301,MATCH(B173,Vidriería!$A$2:$A$301,0))&amp;" "&amp;INDEX(Vidriería!$D$2:$D$301,MATCH(B173,Vidriería!$A$2:$A$301,0)),"ID no existe"))</f>
        <v/>
      </c>
      <c r="D173" s="8"/>
      <c r="E173" s="8"/>
      <c r="F173" s="8"/>
      <c r="G173" s="13"/>
    </row>
    <row r="174" spans="1:7" x14ac:dyDescent="0.3">
      <c r="A174" s="11"/>
      <c r="B174" s="8"/>
      <c r="C174" s="7" t="str">
        <f>IF(B174="","",IFERROR(INDEX(Vidriería!$C$2:$C$301,MATCH(B174,Vidriería!$A$2:$A$301,0))&amp;" "&amp;INDEX(Vidriería!$D$2:$D$301,MATCH(B174,Vidriería!$A$2:$A$301,0)),"ID no existe"))</f>
        <v/>
      </c>
      <c r="D174" s="8"/>
      <c r="E174" s="8"/>
      <c r="F174" s="8"/>
      <c r="G174" s="13"/>
    </row>
    <row r="175" spans="1:7" x14ac:dyDescent="0.3">
      <c r="A175" s="11"/>
      <c r="B175" s="8"/>
      <c r="C175" s="7" t="str">
        <f>IF(B175="","",IFERROR(INDEX(Vidriería!$C$2:$C$301,MATCH(B175,Vidriería!$A$2:$A$301,0))&amp;" "&amp;INDEX(Vidriería!$D$2:$D$301,MATCH(B175,Vidriería!$A$2:$A$301,0)),"ID no existe"))</f>
        <v/>
      </c>
      <c r="D175" s="8"/>
      <c r="E175" s="8"/>
      <c r="F175" s="8"/>
      <c r="G175" s="13"/>
    </row>
    <row r="176" spans="1:7" x14ac:dyDescent="0.3">
      <c r="A176" s="11"/>
      <c r="B176" s="8"/>
      <c r="C176" s="7" t="str">
        <f>IF(B176="","",IFERROR(INDEX(Vidriería!$C$2:$C$301,MATCH(B176,Vidriería!$A$2:$A$301,0))&amp;" "&amp;INDEX(Vidriería!$D$2:$D$301,MATCH(B176,Vidriería!$A$2:$A$301,0)),"ID no existe"))</f>
        <v/>
      </c>
      <c r="D176" s="8"/>
      <c r="E176" s="8"/>
      <c r="F176" s="8"/>
      <c r="G176" s="13"/>
    </row>
    <row r="177" spans="1:7" x14ac:dyDescent="0.3">
      <c r="A177" s="11"/>
      <c r="B177" s="8"/>
      <c r="C177" s="7" t="str">
        <f>IF(B177="","",IFERROR(INDEX(Vidriería!$C$2:$C$301,MATCH(B177,Vidriería!$A$2:$A$301,0))&amp;" "&amp;INDEX(Vidriería!$D$2:$D$301,MATCH(B177,Vidriería!$A$2:$A$301,0)),"ID no existe"))</f>
        <v/>
      </c>
      <c r="D177" s="8"/>
      <c r="E177" s="8"/>
      <c r="F177" s="8"/>
      <c r="G177" s="13"/>
    </row>
    <row r="178" spans="1:7" x14ac:dyDescent="0.3">
      <c r="A178" s="11"/>
      <c r="B178" s="8"/>
      <c r="C178" s="7" t="str">
        <f>IF(B178="","",IFERROR(INDEX(Vidriería!$C$2:$C$301,MATCH(B178,Vidriería!$A$2:$A$301,0))&amp;" "&amp;INDEX(Vidriería!$D$2:$D$301,MATCH(B178,Vidriería!$A$2:$A$301,0)),"ID no existe"))</f>
        <v/>
      </c>
      <c r="D178" s="8"/>
      <c r="E178" s="8"/>
      <c r="F178" s="8"/>
      <c r="G178" s="13"/>
    </row>
    <row r="179" spans="1:7" x14ac:dyDescent="0.3">
      <c r="A179" s="11"/>
      <c r="B179" s="8"/>
      <c r="C179" s="7" t="str">
        <f>IF(B179="","",IFERROR(INDEX(Vidriería!$C$2:$C$301,MATCH(B179,Vidriería!$A$2:$A$301,0))&amp;" "&amp;INDEX(Vidriería!$D$2:$D$301,MATCH(B179,Vidriería!$A$2:$A$301,0)),"ID no existe"))</f>
        <v/>
      </c>
      <c r="D179" s="8"/>
      <c r="E179" s="8"/>
      <c r="F179" s="8"/>
      <c r="G179" s="13"/>
    </row>
    <row r="180" spans="1:7" x14ac:dyDescent="0.3">
      <c r="A180" s="11"/>
      <c r="B180" s="8"/>
      <c r="C180" s="7" t="str">
        <f>IF(B180="","",IFERROR(INDEX(Vidriería!$C$2:$C$301,MATCH(B180,Vidriería!$A$2:$A$301,0))&amp;" "&amp;INDEX(Vidriería!$D$2:$D$301,MATCH(B180,Vidriería!$A$2:$A$301,0)),"ID no existe"))</f>
        <v/>
      </c>
      <c r="D180" s="8"/>
      <c r="E180" s="8"/>
      <c r="F180" s="8"/>
      <c r="G180" s="13"/>
    </row>
    <row r="181" spans="1:7" x14ac:dyDescent="0.3">
      <c r="A181" s="11"/>
      <c r="B181" s="8"/>
      <c r="C181" s="7" t="str">
        <f>IF(B181="","",IFERROR(INDEX(Vidriería!$C$2:$C$301,MATCH(B181,Vidriería!$A$2:$A$301,0))&amp;" "&amp;INDEX(Vidriería!$D$2:$D$301,MATCH(B181,Vidriería!$A$2:$A$301,0)),"ID no existe"))</f>
        <v/>
      </c>
      <c r="D181" s="8"/>
      <c r="E181" s="8"/>
      <c r="F181" s="8"/>
      <c r="G181" s="13"/>
    </row>
    <row r="182" spans="1:7" x14ac:dyDescent="0.3">
      <c r="A182" s="11"/>
      <c r="B182" s="8"/>
      <c r="C182" s="7" t="str">
        <f>IF(B182="","",IFERROR(INDEX(Vidriería!$C$2:$C$301,MATCH(B182,Vidriería!$A$2:$A$301,0))&amp;" "&amp;INDEX(Vidriería!$D$2:$D$301,MATCH(B182,Vidriería!$A$2:$A$301,0)),"ID no existe"))</f>
        <v/>
      </c>
      <c r="D182" s="8"/>
      <c r="E182" s="8"/>
      <c r="F182" s="8"/>
      <c r="G182" s="13"/>
    </row>
    <row r="183" spans="1:7" x14ac:dyDescent="0.3">
      <c r="A183" s="11"/>
      <c r="B183" s="8"/>
      <c r="C183" s="7" t="str">
        <f>IF(B183="","",IFERROR(INDEX(Vidriería!$C$2:$C$301,MATCH(B183,Vidriería!$A$2:$A$301,0))&amp;" "&amp;INDEX(Vidriería!$D$2:$D$301,MATCH(B183,Vidriería!$A$2:$A$301,0)),"ID no existe"))</f>
        <v/>
      </c>
      <c r="D183" s="8"/>
      <c r="E183" s="8"/>
      <c r="F183" s="8"/>
      <c r="G183" s="13"/>
    </row>
    <row r="184" spans="1:7" x14ac:dyDescent="0.3">
      <c r="A184" s="11"/>
      <c r="B184" s="8"/>
      <c r="C184" s="7" t="str">
        <f>IF(B184="","",IFERROR(INDEX(Vidriería!$C$2:$C$301,MATCH(B184,Vidriería!$A$2:$A$301,0))&amp;" "&amp;INDEX(Vidriería!$D$2:$D$301,MATCH(B184,Vidriería!$A$2:$A$301,0)),"ID no existe"))</f>
        <v/>
      </c>
      <c r="D184" s="8"/>
      <c r="E184" s="8"/>
      <c r="F184" s="8"/>
      <c r="G184" s="13"/>
    </row>
    <row r="185" spans="1:7" x14ac:dyDescent="0.3">
      <c r="A185" s="11"/>
      <c r="B185" s="8"/>
      <c r="C185" s="7" t="str">
        <f>IF(B185="","",IFERROR(INDEX(Vidriería!$C$2:$C$301,MATCH(B185,Vidriería!$A$2:$A$301,0))&amp;" "&amp;INDEX(Vidriería!$D$2:$D$301,MATCH(B185,Vidriería!$A$2:$A$301,0)),"ID no existe"))</f>
        <v/>
      </c>
      <c r="D185" s="8"/>
      <c r="E185" s="8"/>
      <c r="F185" s="8"/>
      <c r="G185" s="13"/>
    </row>
    <row r="186" spans="1:7" x14ac:dyDescent="0.3">
      <c r="A186" s="11"/>
      <c r="B186" s="8"/>
      <c r="C186" s="7" t="str">
        <f>IF(B186="","",IFERROR(INDEX(Vidriería!$C$2:$C$301,MATCH(B186,Vidriería!$A$2:$A$301,0))&amp;" "&amp;INDEX(Vidriería!$D$2:$D$301,MATCH(B186,Vidriería!$A$2:$A$301,0)),"ID no existe"))</f>
        <v/>
      </c>
      <c r="D186" s="8"/>
      <c r="E186" s="8"/>
      <c r="F186" s="8"/>
      <c r="G186" s="13"/>
    </row>
    <row r="187" spans="1:7" x14ac:dyDescent="0.3">
      <c r="A187" s="11"/>
      <c r="B187" s="8"/>
      <c r="C187" s="7" t="str">
        <f>IF(B187="","",IFERROR(INDEX(Vidriería!$C$2:$C$301,MATCH(B187,Vidriería!$A$2:$A$301,0))&amp;" "&amp;INDEX(Vidriería!$D$2:$D$301,MATCH(B187,Vidriería!$A$2:$A$301,0)),"ID no existe"))</f>
        <v/>
      </c>
      <c r="D187" s="8"/>
      <c r="E187" s="8"/>
      <c r="F187" s="8"/>
      <c r="G187" s="13"/>
    </row>
    <row r="188" spans="1:7" x14ac:dyDescent="0.3">
      <c r="A188" s="11"/>
      <c r="B188" s="8"/>
      <c r="C188" s="7" t="str">
        <f>IF(B188="","",IFERROR(INDEX(Vidriería!$C$2:$C$301,MATCH(B188,Vidriería!$A$2:$A$301,0))&amp;" "&amp;INDEX(Vidriería!$D$2:$D$301,MATCH(B188,Vidriería!$A$2:$A$301,0)),"ID no existe"))</f>
        <v/>
      </c>
      <c r="D188" s="8"/>
      <c r="E188" s="8"/>
      <c r="F188" s="8"/>
      <c r="G188" s="13"/>
    </row>
    <row r="189" spans="1:7" x14ac:dyDescent="0.3">
      <c r="A189" s="11"/>
      <c r="B189" s="8"/>
      <c r="C189" s="7" t="str">
        <f>IF(B189="","",IFERROR(INDEX(Vidriería!$C$2:$C$301,MATCH(B189,Vidriería!$A$2:$A$301,0))&amp;" "&amp;INDEX(Vidriería!$D$2:$D$301,MATCH(B189,Vidriería!$A$2:$A$301,0)),"ID no existe"))</f>
        <v/>
      </c>
      <c r="D189" s="8"/>
      <c r="E189" s="8"/>
      <c r="F189" s="8"/>
      <c r="G189" s="13"/>
    </row>
    <row r="190" spans="1:7" x14ac:dyDescent="0.3">
      <c r="A190" s="11"/>
      <c r="B190" s="8"/>
      <c r="C190" s="7" t="str">
        <f>IF(B190="","",IFERROR(INDEX(Vidriería!$C$2:$C$301,MATCH(B190,Vidriería!$A$2:$A$301,0))&amp;" "&amp;INDEX(Vidriería!$D$2:$D$301,MATCH(B190,Vidriería!$A$2:$A$301,0)),"ID no existe"))</f>
        <v/>
      </c>
      <c r="D190" s="8"/>
      <c r="E190" s="8"/>
      <c r="F190" s="8"/>
      <c r="G190" s="13"/>
    </row>
    <row r="191" spans="1:7" x14ac:dyDescent="0.3">
      <c r="A191" s="11"/>
      <c r="B191" s="8"/>
      <c r="C191" s="7" t="str">
        <f>IF(B191="","",IFERROR(INDEX(Vidriería!$C$2:$C$301,MATCH(B191,Vidriería!$A$2:$A$301,0))&amp;" "&amp;INDEX(Vidriería!$D$2:$D$301,MATCH(B191,Vidriería!$A$2:$A$301,0)),"ID no existe"))</f>
        <v/>
      </c>
      <c r="D191" s="8"/>
      <c r="E191" s="8"/>
      <c r="F191" s="8"/>
      <c r="G191" s="13"/>
    </row>
    <row r="192" spans="1:7" x14ac:dyDescent="0.3">
      <c r="A192" s="11"/>
      <c r="B192" s="8"/>
      <c r="C192" s="7" t="str">
        <f>IF(B192="","",IFERROR(INDEX(Vidriería!$C$2:$C$301,MATCH(B192,Vidriería!$A$2:$A$301,0))&amp;" "&amp;INDEX(Vidriería!$D$2:$D$301,MATCH(B192,Vidriería!$A$2:$A$301,0)),"ID no existe"))</f>
        <v/>
      </c>
      <c r="D192" s="8"/>
      <c r="E192" s="8"/>
      <c r="F192" s="8"/>
      <c r="G192" s="13"/>
    </row>
    <row r="193" spans="1:7" x14ac:dyDescent="0.3">
      <c r="A193" s="11"/>
      <c r="B193" s="8"/>
      <c r="C193" s="7" t="str">
        <f>IF(B193="","",IFERROR(INDEX(Vidriería!$C$2:$C$301,MATCH(B193,Vidriería!$A$2:$A$301,0))&amp;" "&amp;INDEX(Vidriería!$D$2:$D$301,MATCH(B193,Vidriería!$A$2:$A$301,0)),"ID no existe"))</f>
        <v/>
      </c>
      <c r="D193" s="8"/>
      <c r="E193" s="8"/>
      <c r="F193" s="8"/>
      <c r="G193" s="13"/>
    </row>
    <row r="194" spans="1:7" x14ac:dyDescent="0.3">
      <c r="A194" s="11"/>
      <c r="B194" s="8"/>
      <c r="C194" s="7" t="str">
        <f>IF(B194="","",IFERROR(INDEX(Vidriería!$C$2:$C$301,MATCH(B194,Vidriería!$A$2:$A$301,0))&amp;" "&amp;INDEX(Vidriería!$D$2:$D$301,MATCH(B194,Vidriería!$A$2:$A$301,0)),"ID no existe"))</f>
        <v/>
      </c>
      <c r="D194" s="8"/>
      <c r="E194" s="8"/>
      <c r="F194" s="8"/>
      <c r="G194" s="13"/>
    </row>
    <row r="195" spans="1:7" x14ac:dyDescent="0.3">
      <c r="A195" s="11"/>
      <c r="B195" s="8"/>
      <c r="C195" s="7" t="str">
        <f>IF(B195="","",IFERROR(INDEX(Vidriería!$C$2:$C$301,MATCH(B195,Vidriería!$A$2:$A$301,0))&amp;" "&amp;INDEX(Vidriería!$D$2:$D$301,MATCH(B195,Vidriería!$A$2:$A$301,0)),"ID no existe"))</f>
        <v/>
      </c>
      <c r="D195" s="8"/>
      <c r="E195" s="8"/>
      <c r="F195" s="8"/>
      <c r="G195" s="13"/>
    </row>
    <row r="196" spans="1:7" x14ac:dyDescent="0.3">
      <c r="A196" s="11"/>
      <c r="B196" s="8"/>
      <c r="C196" s="7" t="str">
        <f>IF(B196="","",IFERROR(INDEX(Vidriería!$C$2:$C$301,MATCH(B196,Vidriería!$A$2:$A$301,0))&amp;" "&amp;INDEX(Vidriería!$D$2:$D$301,MATCH(B196,Vidriería!$A$2:$A$301,0)),"ID no existe"))</f>
        <v/>
      </c>
      <c r="D196" s="8"/>
      <c r="E196" s="8"/>
      <c r="F196" s="8"/>
      <c r="G196" s="13"/>
    </row>
    <row r="197" spans="1:7" x14ac:dyDescent="0.3">
      <c r="A197" s="11"/>
      <c r="B197" s="8"/>
      <c r="C197" s="7" t="str">
        <f>IF(B197="","",IFERROR(INDEX(Vidriería!$C$2:$C$301,MATCH(B197,Vidriería!$A$2:$A$301,0))&amp;" "&amp;INDEX(Vidriería!$D$2:$D$301,MATCH(B197,Vidriería!$A$2:$A$301,0)),"ID no existe"))</f>
        <v/>
      </c>
      <c r="D197" s="8"/>
      <c r="E197" s="8"/>
      <c r="F197" s="8"/>
      <c r="G197" s="13"/>
    </row>
    <row r="198" spans="1:7" x14ac:dyDescent="0.3">
      <c r="A198" s="11"/>
      <c r="B198" s="8"/>
      <c r="C198" s="7" t="str">
        <f>IF(B198="","",IFERROR(INDEX(Vidriería!$C$2:$C$301,MATCH(B198,Vidriería!$A$2:$A$301,0))&amp;" "&amp;INDEX(Vidriería!$D$2:$D$301,MATCH(B198,Vidriería!$A$2:$A$301,0)),"ID no existe"))</f>
        <v/>
      </c>
      <c r="D198" s="8"/>
      <c r="E198" s="8"/>
      <c r="F198" s="8"/>
      <c r="G198" s="13"/>
    </row>
    <row r="199" spans="1:7" x14ac:dyDescent="0.3">
      <c r="A199" s="11"/>
      <c r="B199" s="8"/>
      <c r="C199" s="7" t="str">
        <f>IF(B199="","",IFERROR(INDEX(Vidriería!$C$2:$C$301,MATCH(B199,Vidriería!$A$2:$A$301,0))&amp;" "&amp;INDEX(Vidriería!$D$2:$D$301,MATCH(B199,Vidriería!$A$2:$A$301,0)),"ID no existe"))</f>
        <v/>
      </c>
      <c r="D199" s="8"/>
      <c r="E199" s="8"/>
      <c r="F199" s="8"/>
      <c r="G199" s="13"/>
    </row>
    <row r="200" spans="1:7" x14ac:dyDescent="0.3">
      <c r="A200" s="11"/>
      <c r="B200" s="8"/>
      <c r="C200" s="7" t="str">
        <f>IF(B200="","",IFERROR(INDEX(Vidriería!$C$2:$C$301,MATCH(B200,Vidriería!$A$2:$A$301,0))&amp;" "&amp;INDEX(Vidriería!$D$2:$D$301,MATCH(B200,Vidriería!$A$2:$A$301,0)),"ID no existe"))</f>
        <v/>
      </c>
      <c r="D200" s="8"/>
      <c r="E200" s="8"/>
      <c r="F200" s="8"/>
      <c r="G200" s="13"/>
    </row>
    <row r="201" spans="1:7" x14ac:dyDescent="0.3">
      <c r="A201" s="11"/>
      <c r="B201" s="8"/>
      <c r="C201" s="7" t="str">
        <f>IF(B201="","",IFERROR(INDEX(Vidriería!$C$2:$C$301,MATCH(B201,Vidriería!$A$2:$A$301,0))&amp;" "&amp;INDEX(Vidriería!$D$2:$D$301,MATCH(B201,Vidriería!$A$2:$A$301,0)),"ID no existe"))</f>
        <v/>
      </c>
      <c r="D201" s="8"/>
      <c r="E201" s="8"/>
      <c r="F201" s="8"/>
      <c r="G201" s="13"/>
    </row>
    <row r="202" spans="1:7" x14ac:dyDescent="0.3">
      <c r="A202" s="11"/>
      <c r="B202" s="8"/>
      <c r="C202" s="7" t="str">
        <f>IF(B202="","",IFERROR(INDEX(Vidriería!$C$2:$C$301,MATCH(B202,Vidriería!$A$2:$A$301,0))&amp;" "&amp;INDEX(Vidriería!$D$2:$D$301,MATCH(B202,Vidriería!$A$2:$A$301,0)),"ID no existe"))</f>
        <v/>
      </c>
      <c r="D202" s="8"/>
      <c r="E202" s="8"/>
      <c r="F202" s="8"/>
      <c r="G202" s="13"/>
    </row>
    <row r="203" spans="1:7" x14ac:dyDescent="0.3">
      <c r="A203" s="11"/>
      <c r="B203" s="8"/>
      <c r="C203" s="7" t="str">
        <f>IF(B203="","",IFERROR(INDEX(Vidriería!$C$2:$C$301,MATCH(B203,Vidriería!$A$2:$A$301,0))&amp;" "&amp;INDEX(Vidriería!$D$2:$D$301,MATCH(B203,Vidriería!$A$2:$A$301,0)),"ID no existe"))</f>
        <v/>
      </c>
      <c r="D203" s="8"/>
      <c r="E203" s="8"/>
      <c r="F203" s="8"/>
      <c r="G203" s="13"/>
    </row>
    <row r="204" spans="1:7" x14ac:dyDescent="0.3">
      <c r="A204" s="11"/>
      <c r="B204" s="8"/>
      <c r="C204" s="7" t="str">
        <f>IF(B204="","",IFERROR(INDEX(Vidriería!$C$2:$C$301,MATCH(B204,Vidriería!$A$2:$A$301,0))&amp;" "&amp;INDEX(Vidriería!$D$2:$D$301,MATCH(B204,Vidriería!$A$2:$A$301,0)),"ID no existe"))</f>
        <v/>
      </c>
      <c r="D204" s="8"/>
      <c r="E204" s="8"/>
      <c r="F204" s="8"/>
      <c r="G204" s="13"/>
    </row>
    <row r="205" spans="1:7" x14ac:dyDescent="0.3">
      <c r="A205" s="11"/>
      <c r="B205" s="8"/>
      <c r="C205" s="7" t="str">
        <f>IF(B205="","",IFERROR(INDEX(Vidriería!$C$2:$C$301,MATCH(B205,Vidriería!$A$2:$A$301,0))&amp;" "&amp;INDEX(Vidriería!$D$2:$D$301,MATCH(B205,Vidriería!$A$2:$A$301,0)),"ID no existe"))</f>
        <v/>
      </c>
      <c r="D205" s="8"/>
      <c r="E205" s="8"/>
      <c r="F205" s="8"/>
      <c r="G205" s="13"/>
    </row>
    <row r="206" spans="1:7" x14ac:dyDescent="0.3">
      <c r="A206" s="11"/>
      <c r="B206" s="8"/>
      <c r="C206" s="7" t="str">
        <f>IF(B206="","",IFERROR(INDEX(Vidriería!$C$2:$C$301,MATCH(B206,Vidriería!$A$2:$A$301,0))&amp;" "&amp;INDEX(Vidriería!$D$2:$D$301,MATCH(B206,Vidriería!$A$2:$A$301,0)),"ID no existe"))</f>
        <v/>
      </c>
      <c r="D206" s="8"/>
      <c r="E206" s="8"/>
      <c r="F206" s="8"/>
      <c r="G206" s="13"/>
    </row>
    <row r="207" spans="1:7" x14ac:dyDescent="0.3">
      <c r="A207" s="11"/>
      <c r="B207" s="8"/>
      <c r="C207" s="7" t="str">
        <f>IF(B207="","",IFERROR(INDEX(Vidriería!$C$2:$C$301,MATCH(B207,Vidriería!$A$2:$A$301,0))&amp;" "&amp;INDEX(Vidriería!$D$2:$D$301,MATCH(B207,Vidriería!$A$2:$A$301,0)),"ID no existe"))</f>
        <v/>
      </c>
      <c r="D207" s="8"/>
      <c r="E207" s="8"/>
      <c r="F207" s="8"/>
      <c r="G207" s="13"/>
    </row>
    <row r="208" spans="1:7" x14ac:dyDescent="0.3">
      <c r="A208" s="11"/>
      <c r="B208" s="8"/>
      <c r="C208" s="7" t="str">
        <f>IF(B208="","",IFERROR(INDEX(Vidriería!$C$2:$C$301,MATCH(B208,Vidriería!$A$2:$A$301,0))&amp;" "&amp;INDEX(Vidriería!$D$2:$D$301,MATCH(B208,Vidriería!$A$2:$A$301,0)),"ID no existe"))</f>
        <v/>
      </c>
      <c r="D208" s="8"/>
      <c r="E208" s="8"/>
      <c r="F208" s="8"/>
      <c r="G208" s="13"/>
    </row>
    <row r="209" spans="1:7" x14ac:dyDescent="0.3">
      <c r="A209" s="11"/>
      <c r="B209" s="8"/>
      <c r="C209" s="7" t="str">
        <f>IF(B209="","",IFERROR(INDEX(Vidriería!$C$2:$C$301,MATCH(B209,Vidriería!$A$2:$A$301,0))&amp;" "&amp;INDEX(Vidriería!$D$2:$D$301,MATCH(B209,Vidriería!$A$2:$A$301,0)),"ID no existe"))</f>
        <v/>
      </c>
      <c r="D209" s="8"/>
      <c r="E209" s="8"/>
      <c r="F209" s="8"/>
      <c r="G209" s="13"/>
    </row>
    <row r="210" spans="1:7" x14ac:dyDescent="0.3">
      <c r="A210" s="11"/>
      <c r="B210" s="8"/>
      <c r="C210" s="7" t="str">
        <f>IF(B210="","",IFERROR(INDEX(Vidriería!$C$2:$C$301,MATCH(B210,Vidriería!$A$2:$A$301,0))&amp;" "&amp;INDEX(Vidriería!$D$2:$D$301,MATCH(B210,Vidriería!$A$2:$A$301,0)),"ID no existe"))</f>
        <v/>
      </c>
      <c r="D210" s="8"/>
      <c r="E210" s="8"/>
      <c r="F210" s="8"/>
      <c r="G210" s="13"/>
    </row>
    <row r="211" spans="1:7" x14ac:dyDescent="0.3">
      <c r="A211" s="11"/>
      <c r="B211" s="8"/>
      <c r="C211" s="7" t="str">
        <f>IF(B211="","",IFERROR(INDEX(Vidriería!$C$2:$C$301,MATCH(B211,Vidriería!$A$2:$A$301,0))&amp;" "&amp;INDEX(Vidriería!$D$2:$D$301,MATCH(B211,Vidriería!$A$2:$A$301,0)),"ID no existe"))</f>
        <v/>
      </c>
      <c r="D211" s="8"/>
      <c r="E211" s="8"/>
      <c r="F211" s="8"/>
      <c r="G211" s="13"/>
    </row>
    <row r="212" spans="1:7" x14ac:dyDescent="0.3">
      <c r="A212" s="11"/>
      <c r="B212" s="8"/>
      <c r="C212" s="7" t="str">
        <f>IF(B212="","",IFERROR(INDEX(Vidriería!$C$2:$C$301,MATCH(B212,Vidriería!$A$2:$A$301,0))&amp;" "&amp;INDEX(Vidriería!$D$2:$D$301,MATCH(B212,Vidriería!$A$2:$A$301,0)),"ID no existe"))</f>
        <v/>
      </c>
      <c r="D212" s="8"/>
      <c r="E212" s="8"/>
      <c r="F212" s="8"/>
      <c r="G212" s="13"/>
    </row>
    <row r="213" spans="1:7" x14ac:dyDescent="0.3">
      <c r="A213" s="11"/>
      <c r="B213" s="8"/>
      <c r="C213" s="7" t="str">
        <f>IF(B213="","",IFERROR(INDEX(Vidriería!$C$2:$C$301,MATCH(B213,Vidriería!$A$2:$A$301,0))&amp;" "&amp;INDEX(Vidriería!$D$2:$D$301,MATCH(B213,Vidriería!$A$2:$A$301,0)),"ID no existe"))</f>
        <v/>
      </c>
      <c r="D213" s="8"/>
      <c r="E213" s="8"/>
      <c r="F213" s="8"/>
      <c r="G213" s="13"/>
    </row>
    <row r="214" spans="1:7" x14ac:dyDescent="0.3">
      <c r="A214" s="11"/>
      <c r="B214" s="8"/>
      <c r="C214" s="7" t="str">
        <f>IF(B214="","",IFERROR(INDEX(Vidriería!$C$2:$C$301,MATCH(B214,Vidriería!$A$2:$A$301,0))&amp;" "&amp;INDEX(Vidriería!$D$2:$D$301,MATCH(B214,Vidriería!$A$2:$A$301,0)),"ID no existe"))</f>
        <v/>
      </c>
      <c r="D214" s="8"/>
      <c r="E214" s="8"/>
      <c r="F214" s="8"/>
      <c r="G214" s="13"/>
    </row>
    <row r="215" spans="1:7" x14ac:dyDescent="0.3">
      <c r="A215" s="11"/>
      <c r="B215" s="8"/>
      <c r="C215" s="7" t="str">
        <f>IF(B215="","",IFERROR(INDEX(Vidriería!$C$2:$C$301,MATCH(B215,Vidriería!$A$2:$A$301,0))&amp;" "&amp;INDEX(Vidriería!$D$2:$D$301,MATCH(B215,Vidriería!$A$2:$A$301,0)),"ID no existe"))</f>
        <v/>
      </c>
      <c r="D215" s="8"/>
      <c r="E215" s="8"/>
      <c r="F215" s="8"/>
      <c r="G215" s="13"/>
    </row>
    <row r="216" spans="1:7" x14ac:dyDescent="0.3">
      <c r="A216" s="11"/>
      <c r="B216" s="8"/>
      <c r="C216" s="7" t="str">
        <f>IF(B216="","",IFERROR(INDEX(Vidriería!$C$2:$C$301,MATCH(B216,Vidriería!$A$2:$A$301,0))&amp;" "&amp;INDEX(Vidriería!$D$2:$D$301,MATCH(B216,Vidriería!$A$2:$A$301,0)),"ID no existe"))</f>
        <v/>
      </c>
      <c r="D216" s="8"/>
      <c r="E216" s="8"/>
      <c r="F216" s="8"/>
      <c r="G216" s="13"/>
    </row>
    <row r="217" spans="1:7" x14ac:dyDescent="0.3">
      <c r="A217" s="11"/>
      <c r="B217" s="8"/>
      <c r="C217" s="7" t="str">
        <f>IF(B217="","",IFERROR(INDEX(Vidriería!$C$2:$C$301,MATCH(B217,Vidriería!$A$2:$A$301,0))&amp;" "&amp;INDEX(Vidriería!$D$2:$D$301,MATCH(B217,Vidriería!$A$2:$A$301,0)),"ID no existe"))</f>
        <v/>
      </c>
      <c r="D217" s="8"/>
      <c r="E217" s="8"/>
      <c r="F217" s="8"/>
      <c r="G217" s="13"/>
    </row>
    <row r="218" spans="1:7" x14ac:dyDescent="0.3">
      <c r="A218" s="11"/>
      <c r="B218" s="8"/>
      <c r="C218" s="7" t="str">
        <f>IF(B218="","",IFERROR(INDEX(Vidriería!$C$2:$C$301,MATCH(B218,Vidriería!$A$2:$A$301,0))&amp;" "&amp;INDEX(Vidriería!$D$2:$D$301,MATCH(B218,Vidriería!$A$2:$A$301,0)),"ID no existe"))</f>
        <v/>
      </c>
      <c r="D218" s="8"/>
      <c r="E218" s="8"/>
      <c r="F218" s="8"/>
      <c r="G218" s="13"/>
    </row>
    <row r="219" spans="1:7" x14ac:dyDescent="0.3">
      <c r="A219" s="11"/>
      <c r="B219" s="8"/>
      <c r="C219" s="7" t="str">
        <f>IF(B219="","",IFERROR(INDEX(Vidriería!$C$2:$C$301,MATCH(B219,Vidriería!$A$2:$A$301,0))&amp;" "&amp;INDEX(Vidriería!$D$2:$D$301,MATCH(B219,Vidriería!$A$2:$A$301,0)),"ID no existe"))</f>
        <v/>
      </c>
      <c r="D219" s="8"/>
      <c r="E219" s="8"/>
      <c r="F219" s="8"/>
      <c r="G219" s="13"/>
    </row>
    <row r="220" spans="1:7" x14ac:dyDescent="0.3">
      <c r="A220" s="11"/>
      <c r="B220" s="8"/>
      <c r="C220" s="7" t="str">
        <f>IF(B220="","",IFERROR(INDEX(Vidriería!$C$2:$C$301,MATCH(B220,Vidriería!$A$2:$A$301,0))&amp;" "&amp;INDEX(Vidriería!$D$2:$D$301,MATCH(B220,Vidriería!$A$2:$A$301,0)),"ID no existe"))</f>
        <v/>
      </c>
      <c r="D220" s="8"/>
      <c r="E220" s="8"/>
      <c r="F220" s="8"/>
      <c r="G220" s="13"/>
    </row>
    <row r="221" spans="1:7" x14ac:dyDescent="0.3">
      <c r="A221" s="11"/>
      <c r="B221" s="8"/>
      <c r="C221" s="7" t="str">
        <f>IF(B221="","",IFERROR(INDEX(Vidriería!$C$2:$C$301,MATCH(B221,Vidriería!$A$2:$A$301,0))&amp;" "&amp;INDEX(Vidriería!$D$2:$D$301,MATCH(B221,Vidriería!$A$2:$A$301,0)),"ID no existe"))</f>
        <v/>
      </c>
      <c r="D221" s="8"/>
      <c r="E221" s="8"/>
      <c r="F221" s="8"/>
      <c r="G221" s="13"/>
    </row>
    <row r="222" spans="1:7" x14ac:dyDescent="0.3">
      <c r="A222" s="11"/>
      <c r="B222" s="8"/>
      <c r="C222" s="7" t="str">
        <f>IF(B222="","",IFERROR(INDEX(Vidriería!$C$2:$C$301,MATCH(B222,Vidriería!$A$2:$A$301,0))&amp;" "&amp;INDEX(Vidriería!$D$2:$D$301,MATCH(B222,Vidriería!$A$2:$A$301,0)),"ID no existe"))</f>
        <v/>
      </c>
      <c r="D222" s="8"/>
      <c r="E222" s="8"/>
      <c r="F222" s="8"/>
      <c r="G222" s="13"/>
    </row>
    <row r="223" spans="1:7" x14ac:dyDescent="0.3">
      <c r="A223" s="11"/>
      <c r="B223" s="8"/>
      <c r="C223" s="7" t="str">
        <f>IF(B223="","",IFERROR(INDEX(Vidriería!$C$2:$C$301,MATCH(B223,Vidriería!$A$2:$A$301,0))&amp;" "&amp;INDEX(Vidriería!$D$2:$D$301,MATCH(B223,Vidriería!$A$2:$A$301,0)),"ID no existe"))</f>
        <v/>
      </c>
      <c r="D223" s="8"/>
      <c r="E223" s="8"/>
      <c r="F223" s="8"/>
      <c r="G223" s="13"/>
    </row>
    <row r="224" spans="1:7" x14ac:dyDescent="0.3">
      <c r="A224" s="11"/>
      <c r="B224" s="8"/>
      <c r="C224" s="7" t="str">
        <f>IF(B224="","",IFERROR(INDEX(Vidriería!$C$2:$C$301,MATCH(B224,Vidriería!$A$2:$A$301,0))&amp;" "&amp;INDEX(Vidriería!$D$2:$D$301,MATCH(B224,Vidriería!$A$2:$A$301,0)),"ID no existe"))</f>
        <v/>
      </c>
      <c r="D224" s="8"/>
      <c r="E224" s="8"/>
      <c r="F224" s="8"/>
      <c r="G224" s="13"/>
    </row>
    <row r="225" spans="1:7" x14ac:dyDescent="0.3">
      <c r="A225" s="11"/>
      <c r="B225" s="8"/>
      <c r="C225" s="7" t="str">
        <f>IF(B225="","",IFERROR(INDEX(Vidriería!$C$2:$C$301,MATCH(B225,Vidriería!$A$2:$A$301,0))&amp;" "&amp;INDEX(Vidriería!$D$2:$D$301,MATCH(B225,Vidriería!$A$2:$A$301,0)),"ID no existe"))</f>
        <v/>
      </c>
      <c r="D225" s="8"/>
      <c r="E225" s="8"/>
      <c r="F225" s="8"/>
      <c r="G225" s="13"/>
    </row>
    <row r="226" spans="1:7" x14ac:dyDescent="0.3">
      <c r="A226" s="11"/>
      <c r="B226" s="8"/>
      <c r="C226" s="7" t="str">
        <f>IF(B226="","",IFERROR(INDEX(Vidriería!$C$2:$C$301,MATCH(B226,Vidriería!$A$2:$A$301,0))&amp;" "&amp;INDEX(Vidriería!$D$2:$D$301,MATCH(B226,Vidriería!$A$2:$A$301,0)),"ID no existe"))</f>
        <v/>
      </c>
      <c r="D226" s="8"/>
      <c r="E226" s="8"/>
      <c r="F226" s="8"/>
      <c r="G226" s="13"/>
    </row>
    <row r="227" spans="1:7" x14ac:dyDescent="0.3">
      <c r="A227" s="11"/>
      <c r="B227" s="8"/>
      <c r="C227" s="7" t="str">
        <f>IF(B227="","",IFERROR(INDEX(Vidriería!$C$2:$C$301,MATCH(B227,Vidriería!$A$2:$A$301,0))&amp;" "&amp;INDEX(Vidriería!$D$2:$D$301,MATCH(B227,Vidriería!$A$2:$A$301,0)),"ID no existe"))</f>
        <v/>
      </c>
      <c r="D227" s="8"/>
      <c r="E227" s="8"/>
      <c r="F227" s="8"/>
      <c r="G227" s="13"/>
    </row>
    <row r="228" spans="1:7" x14ac:dyDescent="0.3">
      <c r="A228" s="11"/>
      <c r="B228" s="8"/>
      <c r="C228" s="7" t="str">
        <f>IF(B228="","",IFERROR(INDEX(Vidriería!$C$2:$C$301,MATCH(B228,Vidriería!$A$2:$A$301,0))&amp;" "&amp;INDEX(Vidriería!$D$2:$D$301,MATCH(B228,Vidriería!$A$2:$A$301,0)),"ID no existe"))</f>
        <v/>
      </c>
      <c r="D228" s="8"/>
      <c r="E228" s="8"/>
      <c r="F228" s="8"/>
      <c r="G228" s="13"/>
    </row>
    <row r="229" spans="1:7" x14ac:dyDescent="0.3">
      <c r="A229" s="11"/>
      <c r="B229" s="8"/>
      <c r="C229" s="7" t="str">
        <f>IF(B229="","",IFERROR(INDEX(Vidriería!$C$2:$C$301,MATCH(B229,Vidriería!$A$2:$A$301,0))&amp;" "&amp;INDEX(Vidriería!$D$2:$D$301,MATCH(B229,Vidriería!$A$2:$A$301,0)),"ID no existe"))</f>
        <v/>
      </c>
      <c r="D229" s="8"/>
      <c r="E229" s="8"/>
      <c r="F229" s="8"/>
      <c r="G229" s="13"/>
    </row>
    <row r="230" spans="1:7" x14ac:dyDescent="0.3">
      <c r="A230" s="11"/>
      <c r="B230" s="8"/>
      <c r="C230" s="7" t="str">
        <f>IF(B230="","",IFERROR(INDEX(Vidriería!$C$2:$C$301,MATCH(B230,Vidriería!$A$2:$A$301,0))&amp;" "&amp;INDEX(Vidriería!$D$2:$D$301,MATCH(B230,Vidriería!$A$2:$A$301,0)),"ID no existe"))</f>
        <v/>
      </c>
      <c r="D230" s="8"/>
      <c r="E230" s="8"/>
      <c r="F230" s="8"/>
      <c r="G230" s="13"/>
    </row>
    <row r="231" spans="1:7" x14ac:dyDescent="0.3">
      <c r="A231" s="11"/>
      <c r="B231" s="8"/>
      <c r="C231" s="7" t="str">
        <f>IF(B231="","",IFERROR(INDEX(Vidriería!$C$2:$C$301,MATCH(B231,Vidriería!$A$2:$A$301,0))&amp;" "&amp;INDEX(Vidriería!$D$2:$D$301,MATCH(B231,Vidriería!$A$2:$A$301,0)),"ID no existe"))</f>
        <v/>
      </c>
      <c r="D231" s="8"/>
      <c r="E231" s="8"/>
      <c r="F231" s="8"/>
      <c r="G231" s="13"/>
    </row>
    <row r="232" spans="1:7" x14ac:dyDescent="0.3">
      <c r="A232" s="11"/>
      <c r="B232" s="8"/>
      <c r="C232" s="7" t="str">
        <f>IF(B232="","",IFERROR(INDEX(Vidriería!$C$2:$C$301,MATCH(B232,Vidriería!$A$2:$A$301,0))&amp;" "&amp;INDEX(Vidriería!$D$2:$D$301,MATCH(B232,Vidriería!$A$2:$A$301,0)),"ID no existe"))</f>
        <v/>
      </c>
      <c r="D232" s="8"/>
      <c r="E232" s="8"/>
      <c r="F232" s="8"/>
      <c r="G232" s="13"/>
    </row>
    <row r="233" spans="1:7" x14ac:dyDescent="0.3">
      <c r="A233" s="11"/>
      <c r="B233" s="8"/>
      <c r="C233" s="7" t="str">
        <f>IF(B233="","",IFERROR(INDEX(Vidriería!$C$2:$C$301,MATCH(B233,Vidriería!$A$2:$A$301,0))&amp;" "&amp;INDEX(Vidriería!$D$2:$D$301,MATCH(B233,Vidriería!$A$2:$A$301,0)),"ID no existe"))</f>
        <v/>
      </c>
      <c r="D233" s="8"/>
      <c r="E233" s="8"/>
      <c r="F233" s="8"/>
      <c r="G233" s="13"/>
    </row>
    <row r="234" spans="1:7" x14ac:dyDescent="0.3">
      <c r="A234" s="11"/>
      <c r="B234" s="8"/>
      <c r="C234" s="7" t="str">
        <f>IF(B234="","",IFERROR(INDEX(Vidriería!$C$2:$C$301,MATCH(B234,Vidriería!$A$2:$A$301,0))&amp;" "&amp;INDEX(Vidriería!$D$2:$D$301,MATCH(B234,Vidriería!$A$2:$A$301,0)),"ID no existe"))</f>
        <v/>
      </c>
      <c r="D234" s="8"/>
      <c r="E234" s="8"/>
      <c r="F234" s="8"/>
      <c r="G234" s="13"/>
    </row>
    <row r="235" spans="1:7" x14ac:dyDescent="0.3">
      <c r="A235" s="11"/>
      <c r="B235" s="8"/>
      <c r="C235" s="7" t="str">
        <f>IF(B235="","",IFERROR(INDEX(Vidriería!$C$2:$C$301,MATCH(B235,Vidriería!$A$2:$A$301,0))&amp;" "&amp;INDEX(Vidriería!$D$2:$D$301,MATCH(B235,Vidriería!$A$2:$A$301,0)),"ID no existe"))</f>
        <v/>
      </c>
      <c r="D235" s="8"/>
      <c r="E235" s="8"/>
      <c r="F235" s="8"/>
      <c r="G235" s="13"/>
    </row>
    <row r="236" spans="1:7" x14ac:dyDescent="0.3">
      <c r="A236" s="11"/>
      <c r="B236" s="8"/>
      <c r="C236" s="7" t="str">
        <f>IF(B236="","",IFERROR(INDEX(Vidriería!$C$2:$C$301,MATCH(B236,Vidriería!$A$2:$A$301,0))&amp;" "&amp;INDEX(Vidriería!$D$2:$D$301,MATCH(B236,Vidriería!$A$2:$A$301,0)),"ID no existe"))</f>
        <v/>
      </c>
      <c r="D236" s="8"/>
      <c r="E236" s="8"/>
      <c r="F236" s="8"/>
      <c r="G236" s="13"/>
    </row>
    <row r="237" spans="1:7" x14ac:dyDescent="0.3">
      <c r="A237" s="11"/>
      <c r="B237" s="8"/>
      <c r="C237" s="7" t="str">
        <f>IF(B237="","",IFERROR(INDEX(Vidriería!$C$2:$C$301,MATCH(B237,Vidriería!$A$2:$A$301,0))&amp;" "&amp;INDEX(Vidriería!$D$2:$D$301,MATCH(B237,Vidriería!$A$2:$A$301,0)),"ID no existe"))</f>
        <v/>
      </c>
      <c r="D237" s="8"/>
      <c r="E237" s="8"/>
      <c r="F237" s="8"/>
      <c r="G237" s="13"/>
    </row>
    <row r="238" spans="1:7" x14ac:dyDescent="0.3">
      <c r="A238" s="11"/>
      <c r="B238" s="8"/>
      <c r="C238" s="7" t="str">
        <f>IF(B238="","",IFERROR(INDEX(Vidriería!$C$2:$C$301,MATCH(B238,Vidriería!$A$2:$A$301,0))&amp;" "&amp;INDEX(Vidriería!$D$2:$D$301,MATCH(B238,Vidriería!$A$2:$A$301,0)),"ID no existe"))</f>
        <v/>
      </c>
      <c r="D238" s="8"/>
      <c r="E238" s="8"/>
      <c r="F238" s="8"/>
      <c r="G238" s="13"/>
    </row>
    <row r="239" spans="1:7" x14ac:dyDescent="0.3">
      <c r="A239" s="11"/>
      <c r="B239" s="8"/>
      <c r="C239" s="7" t="str">
        <f>IF(B239="","",IFERROR(INDEX(Vidriería!$C$2:$C$301,MATCH(B239,Vidriería!$A$2:$A$301,0))&amp;" "&amp;INDEX(Vidriería!$D$2:$D$301,MATCH(B239,Vidriería!$A$2:$A$301,0)),"ID no existe"))</f>
        <v/>
      </c>
      <c r="D239" s="8"/>
      <c r="E239" s="8"/>
      <c r="F239" s="8"/>
      <c r="G239" s="13"/>
    </row>
    <row r="240" spans="1:7" x14ac:dyDescent="0.3">
      <c r="A240" s="11"/>
      <c r="B240" s="8"/>
      <c r="C240" s="7" t="str">
        <f>IF(B240="","",IFERROR(INDEX(Vidriería!$C$2:$C$301,MATCH(B240,Vidriería!$A$2:$A$301,0))&amp;" "&amp;INDEX(Vidriería!$D$2:$D$301,MATCH(B240,Vidriería!$A$2:$A$301,0)),"ID no existe"))</f>
        <v/>
      </c>
      <c r="D240" s="8"/>
      <c r="E240" s="8"/>
      <c r="F240" s="8"/>
      <c r="G240" s="13"/>
    </row>
    <row r="241" spans="1:7" x14ac:dyDescent="0.3">
      <c r="A241" s="11"/>
      <c r="B241" s="8"/>
      <c r="C241" s="7" t="str">
        <f>IF(B241="","",IFERROR(INDEX(Vidriería!$C$2:$C$301,MATCH(B241,Vidriería!$A$2:$A$301,0))&amp;" "&amp;INDEX(Vidriería!$D$2:$D$301,MATCH(B241,Vidriería!$A$2:$A$301,0)),"ID no existe"))</f>
        <v/>
      </c>
      <c r="D241" s="8"/>
      <c r="E241" s="8"/>
      <c r="F241" s="8"/>
      <c r="G241" s="13"/>
    </row>
    <row r="242" spans="1:7" x14ac:dyDescent="0.3">
      <c r="A242" s="11"/>
      <c r="B242" s="8"/>
      <c r="C242" s="7" t="str">
        <f>IF(B242="","",IFERROR(INDEX(Vidriería!$C$2:$C$301,MATCH(B242,Vidriería!$A$2:$A$301,0))&amp;" "&amp;INDEX(Vidriería!$D$2:$D$301,MATCH(B242,Vidriería!$A$2:$A$301,0)),"ID no existe"))</f>
        <v/>
      </c>
      <c r="D242" s="8"/>
      <c r="E242" s="8"/>
      <c r="F242" s="8"/>
      <c r="G242" s="13"/>
    </row>
    <row r="243" spans="1:7" x14ac:dyDescent="0.3">
      <c r="A243" s="11"/>
      <c r="B243" s="8"/>
      <c r="C243" s="7" t="str">
        <f>IF(B243="","",IFERROR(INDEX(Vidriería!$C$2:$C$301,MATCH(B243,Vidriería!$A$2:$A$301,0))&amp;" "&amp;INDEX(Vidriería!$D$2:$D$301,MATCH(B243,Vidriería!$A$2:$A$301,0)),"ID no existe"))</f>
        <v/>
      </c>
      <c r="D243" s="8"/>
      <c r="E243" s="8"/>
      <c r="F243" s="8"/>
      <c r="G243" s="13"/>
    </row>
    <row r="244" spans="1:7" x14ac:dyDescent="0.3">
      <c r="A244" s="11"/>
      <c r="B244" s="8"/>
      <c r="C244" s="7" t="str">
        <f>IF(B244="","",IFERROR(INDEX(Vidriería!$C$2:$C$301,MATCH(B244,Vidriería!$A$2:$A$301,0))&amp;" "&amp;INDEX(Vidriería!$D$2:$D$301,MATCH(B244,Vidriería!$A$2:$A$301,0)),"ID no existe"))</f>
        <v/>
      </c>
      <c r="D244" s="8"/>
      <c r="E244" s="8"/>
      <c r="F244" s="8"/>
      <c r="G244" s="13"/>
    </row>
    <row r="245" spans="1:7" x14ac:dyDescent="0.3">
      <c r="A245" s="11"/>
      <c r="B245" s="8"/>
      <c r="C245" s="7" t="str">
        <f>IF(B245="","",IFERROR(INDEX(Vidriería!$C$2:$C$301,MATCH(B245,Vidriería!$A$2:$A$301,0))&amp;" "&amp;INDEX(Vidriería!$D$2:$D$301,MATCH(B245,Vidriería!$A$2:$A$301,0)),"ID no existe"))</f>
        <v/>
      </c>
      <c r="D245" s="8"/>
      <c r="E245" s="8"/>
      <c r="F245" s="8"/>
      <c r="G245" s="13"/>
    </row>
    <row r="246" spans="1:7" x14ac:dyDescent="0.3">
      <c r="A246" s="11"/>
      <c r="B246" s="8"/>
      <c r="C246" s="7" t="str">
        <f>IF(B246="","",IFERROR(INDEX(Vidriería!$C$2:$C$301,MATCH(B246,Vidriería!$A$2:$A$301,0))&amp;" "&amp;INDEX(Vidriería!$D$2:$D$301,MATCH(B246,Vidriería!$A$2:$A$301,0)),"ID no existe"))</f>
        <v/>
      </c>
      <c r="D246" s="8"/>
      <c r="E246" s="8"/>
      <c r="F246" s="8"/>
      <c r="G246" s="13"/>
    </row>
    <row r="247" spans="1:7" x14ac:dyDescent="0.3">
      <c r="A247" s="11"/>
      <c r="B247" s="8"/>
      <c r="C247" s="7" t="str">
        <f>IF(B247="","",IFERROR(INDEX(Vidriería!$C$2:$C$301,MATCH(B247,Vidriería!$A$2:$A$301,0))&amp;" "&amp;INDEX(Vidriería!$D$2:$D$301,MATCH(B247,Vidriería!$A$2:$A$301,0)),"ID no existe"))</f>
        <v/>
      </c>
      <c r="D247" s="8"/>
      <c r="E247" s="8"/>
      <c r="F247" s="8"/>
      <c r="G247" s="13"/>
    </row>
    <row r="248" spans="1:7" x14ac:dyDescent="0.3">
      <c r="A248" s="11"/>
      <c r="B248" s="8"/>
      <c r="C248" s="7" t="str">
        <f>IF(B248="","",IFERROR(INDEX(Vidriería!$C$2:$C$301,MATCH(B248,Vidriería!$A$2:$A$301,0))&amp;" "&amp;INDEX(Vidriería!$D$2:$D$301,MATCH(B248,Vidriería!$A$2:$A$301,0)),"ID no existe"))</f>
        <v/>
      </c>
      <c r="D248" s="8"/>
      <c r="E248" s="8"/>
      <c r="F248" s="8"/>
      <c r="G248" s="13"/>
    </row>
    <row r="249" spans="1:7" x14ac:dyDescent="0.3">
      <c r="A249" s="11"/>
      <c r="B249" s="8"/>
      <c r="C249" s="7" t="str">
        <f>IF(B249="","",IFERROR(INDEX(Vidriería!$C$2:$C$301,MATCH(B249,Vidriería!$A$2:$A$301,0))&amp;" "&amp;INDEX(Vidriería!$D$2:$D$301,MATCH(B249,Vidriería!$A$2:$A$301,0)),"ID no existe"))</f>
        <v/>
      </c>
      <c r="D249" s="8"/>
      <c r="E249" s="8"/>
      <c r="F249" s="8"/>
      <c r="G249" s="13"/>
    </row>
    <row r="250" spans="1:7" x14ac:dyDescent="0.3">
      <c r="A250" s="11"/>
      <c r="B250" s="8"/>
      <c r="C250" s="7" t="str">
        <f>IF(B250="","",IFERROR(INDEX(Vidriería!$C$2:$C$301,MATCH(B250,Vidriería!$A$2:$A$301,0))&amp;" "&amp;INDEX(Vidriería!$D$2:$D$301,MATCH(B250,Vidriería!$A$2:$A$301,0)),"ID no existe"))</f>
        <v/>
      </c>
      <c r="D250" s="8"/>
      <c r="E250" s="8"/>
      <c r="F250" s="8"/>
      <c r="G250" s="13"/>
    </row>
    <row r="251" spans="1:7" x14ac:dyDescent="0.3">
      <c r="A251" s="11"/>
      <c r="B251" s="8"/>
      <c r="C251" s="7" t="str">
        <f>IF(B251="","",IFERROR(INDEX(Vidriería!$C$2:$C$301,MATCH(B251,Vidriería!$A$2:$A$301,0))&amp;" "&amp;INDEX(Vidriería!$D$2:$D$301,MATCH(B251,Vidriería!$A$2:$A$301,0)),"ID no existe"))</f>
        <v/>
      </c>
      <c r="D251" s="8"/>
      <c r="E251" s="8"/>
      <c r="F251" s="8"/>
      <c r="G251" s="13"/>
    </row>
    <row r="252" spans="1:7" x14ac:dyDescent="0.3">
      <c r="A252" s="11"/>
      <c r="B252" s="8"/>
      <c r="C252" s="7" t="str">
        <f>IF(B252="","",IFERROR(INDEX(Vidriería!$C$2:$C$301,MATCH(B252,Vidriería!$A$2:$A$301,0))&amp;" "&amp;INDEX(Vidriería!$D$2:$D$301,MATCH(B252,Vidriería!$A$2:$A$301,0)),"ID no existe"))</f>
        <v/>
      </c>
      <c r="D252" s="8"/>
      <c r="E252" s="8"/>
      <c r="F252" s="8"/>
      <c r="G252" s="13"/>
    </row>
    <row r="253" spans="1:7" x14ac:dyDescent="0.3">
      <c r="A253" s="11"/>
      <c r="B253" s="8"/>
      <c r="C253" s="7" t="str">
        <f>IF(B253="","",IFERROR(INDEX(Vidriería!$C$2:$C$301,MATCH(B253,Vidriería!$A$2:$A$301,0))&amp;" "&amp;INDEX(Vidriería!$D$2:$D$301,MATCH(B253,Vidriería!$A$2:$A$301,0)),"ID no existe"))</f>
        <v/>
      </c>
      <c r="D253" s="8"/>
      <c r="E253" s="8"/>
      <c r="F253" s="8"/>
      <c r="G253" s="13"/>
    </row>
    <row r="254" spans="1:7" x14ac:dyDescent="0.3">
      <c r="A254" s="11"/>
      <c r="B254" s="8"/>
      <c r="C254" s="7" t="str">
        <f>IF(B254="","",IFERROR(INDEX(Vidriería!$C$2:$C$301,MATCH(B254,Vidriería!$A$2:$A$301,0))&amp;" "&amp;INDEX(Vidriería!$D$2:$D$301,MATCH(B254,Vidriería!$A$2:$A$301,0)),"ID no existe"))</f>
        <v/>
      </c>
      <c r="D254" s="8"/>
      <c r="E254" s="8"/>
      <c r="F254" s="8"/>
      <c r="G254" s="13"/>
    </row>
    <row r="255" spans="1:7" x14ac:dyDescent="0.3">
      <c r="A255" s="11"/>
      <c r="B255" s="8"/>
      <c r="C255" s="7" t="str">
        <f>IF(B255="","",IFERROR(INDEX(Vidriería!$C$2:$C$301,MATCH(B255,Vidriería!$A$2:$A$301,0))&amp;" "&amp;INDEX(Vidriería!$D$2:$D$301,MATCH(B255,Vidriería!$A$2:$A$301,0)),"ID no existe"))</f>
        <v/>
      </c>
      <c r="D255" s="8"/>
      <c r="E255" s="8"/>
      <c r="F255" s="8"/>
      <c r="G255" s="13"/>
    </row>
    <row r="256" spans="1:7" x14ac:dyDescent="0.3">
      <c r="A256" s="11"/>
      <c r="B256" s="8"/>
      <c r="C256" s="7" t="str">
        <f>IF(B256="","",IFERROR(INDEX(Vidriería!$C$2:$C$301,MATCH(B256,Vidriería!$A$2:$A$301,0))&amp;" "&amp;INDEX(Vidriería!$D$2:$D$301,MATCH(B256,Vidriería!$A$2:$A$301,0)),"ID no existe"))</f>
        <v/>
      </c>
      <c r="D256" s="8"/>
      <c r="E256" s="8"/>
      <c r="F256" s="8"/>
      <c r="G256" s="13"/>
    </row>
    <row r="257" spans="1:7" x14ac:dyDescent="0.3">
      <c r="A257" s="11"/>
      <c r="B257" s="8"/>
      <c r="C257" s="7" t="str">
        <f>IF(B257="","",IFERROR(INDEX(Vidriería!$C$2:$C$301,MATCH(B257,Vidriería!$A$2:$A$301,0))&amp;" "&amp;INDEX(Vidriería!$D$2:$D$301,MATCH(B257,Vidriería!$A$2:$A$301,0)),"ID no existe"))</f>
        <v/>
      </c>
      <c r="D257" s="8"/>
      <c r="E257" s="8"/>
      <c r="F257" s="8"/>
      <c r="G257" s="13"/>
    </row>
    <row r="258" spans="1:7" x14ac:dyDescent="0.3">
      <c r="A258" s="11"/>
      <c r="B258" s="8"/>
      <c r="C258" s="7" t="str">
        <f>IF(B258="","",IFERROR(INDEX(Vidriería!$C$2:$C$301,MATCH(B258,Vidriería!$A$2:$A$301,0))&amp;" "&amp;INDEX(Vidriería!$D$2:$D$301,MATCH(B258,Vidriería!$A$2:$A$301,0)),"ID no existe"))</f>
        <v/>
      </c>
      <c r="D258" s="8"/>
      <c r="E258" s="8"/>
      <c r="F258" s="8"/>
      <c r="G258" s="13"/>
    </row>
    <row r="259" spans="1:7" x14ac:dyDescent="0.3">
      <c r="A259" s="11"/>
      <c r="B259" s="8"/>
      <c r="C259" s="7" t="str">
        <f>IF(B259="","",IFERROR(INDEX(Vidriería!$C$2:$C$301,MATCH(B259,Vidriería!$A$2:$A$301,0))&amp;" "&amp;INDEX(Vidriería!$D$2:$D$301,MATCH(B259,Vidriería!$A$2:$A$301,0)),"ID no existe"))</f>
        <v/>
      </c>
      <c r="D259" s="8"/>
      <c r="E259" s="8"/>
      <c r="F259" s="8"/>
      <c r="G259" s="13"/>
    </row>
    <row r="260" spans="1:7" x14ac:dyDescent="0.3">
      <c r="A260" s="11"/>
      <c r="B260" s="8"/>
      <c r="C260" s="7" t="str">
        <f>IF(B260="","",IFERROR(INDEX(Vidriería!$C$2:$C$301,MATCH(B260,Vidriería!$A$2:$A$301,0))&amp;" "&amp;INDEX(Vidriería!$D$2:$D$301,MATCH(B260,Vidriería!$A$2:$A$301,0)),"ID no existe"))</f>
        <v/>
      </c>
      <c r="D260" s="8"/>
      <c r="E260" s="8"/>
      <c r="F260" s="8"/>
      <c r="G260" s="13"/>
    </row>
    <row r="261" spans="1:7" x14ac:dyDescent="0.3">
      <c r="A261" s="11"/>
      <c r="B261" s="8"/>
      <c r="C261" s="7" t="str">
        <f>IF(B261="","",IFERROR(INDEX(Vidriería!$C$2:$C$301,MATCH(B261,Vidriería!$A$2:$A$301,0))&amp;" "&amp;INDEX(Vidriería!$D$2:$D$301,MATCH(B261,Vidriería!$A$2:$A$301,0)),"ID no existe"))</f>
        <v/>
      </c>
      <c r="D261" s="8"/>
      <c r="E261" s="8"/>
      <c r="F261" s="8"/>
      <c r="G261" s="13"/>
    </row>
    <row r="262" spans="1:7" x14ac:dyDescent="0.3">
      <c r="A262" s="11"/>
      <c r="B262" s="8"/>
      <c r="C262" s="7" t="str">
        <f>IF(B262="","",IFERROR(INDEX(Vidriería!$C$2:$C$301,MATCH(B262,Vidriería!$A$2:$A$301,0))&amp;" "&amp;INDEX(Vidriería!$D$2:$D$301,MATCH(B262,Vidriería!$A$2:$A$301,0)),"ID no existe"))</f>
        <v/>
      </c>
      <c r="D262" s="8"/>
      <c r="E262" s="8"/>
      <c r="F262" s="8"/>
      <c r="G262" s="13"/>
    </row>
    <row r="263" spans="1:7" x14ac:dyDescent="0.3">
      <c r="A263" s="11"/>
      <c r="B263" s="8"/>
      <c r="C263" s="7" t="str">
        <f>IF(B263="","",IFERROR(INDEX(Vidriería!$C$2:$C$301,MATCH(B263,Vidriería!$A$2:$A$301,0))&amp;" "&amp;INDEX(Vidriería!$D$2:$D$301,MATCH(B263,Vidriería!$A$2:$A$301,0)),"ID no existe"))</f>
        <v/>
      </c>
      <c r="D263" s="8"/>
      <c r="E263" s="8"/>
      <c r="F263" s="8"/>
      <c r="G263" s="13"/>
    </row>
    <row r="264" spans="1:7" x14ac:dyDescent="0.3">
      <c r="A264" s="11"/>
      <c r="B264" s="8"/>
      <c r="C264" s="7" t="str">
        <f>IF(B264="","",IFERROR(INDEX(Vidriería!$C$2:$C$301,MATCH(B264,Vidriería!$A$2:$A$301,0))&amp;" "&amp;INDEX(Vidriería!$D$2:$D$301,MATCH(B264,Vidriería!$A$2:$A$301,0)),"ID no existe"))</f>
        <v/>
      </c>
      <c r="D264" s="8"/>
      <c r="E264" s="8"/>
      <c r="F264" s="8"/>
      <c r="G264" s="13"/>
    </row>
    <row r="265" spans="1:7" x14ac:dyDescent="0.3">
      <c r="A265" s="11"/>
      <c r="B265" s="8"/>
      <c r="C265" s="7" t="str">
        <f>IF(B265="","",IFERROR(INDEX(Vidriería!$C$2:$C$301,MATCH(B265,Vidriería!$A$2:$A$301,0))&amp;" "&amp;INDEX(Vidriería!$D$2:$D$301,MATCH(B265,Vidriería!$A$2:$A$301,0)),"ID no existe"))</f>
        <v/>
      </c>
      <c r="D265" s="8"/>
      <c r="E265" s="8"/>
      <c r="F265" s="8"/>
      <c r="G265" s="13"/>
    </row>
    <row r="266" spans="1:7" x14ac:dyDescent="0.3">
      <c r="A266" s="11"/>
      <c r="B266" s="8"/>
      <c r="C266" s="7" t="str">
        <f>IF(B266="","",IFERROR(INDEX(Vidriería!$C$2:$C$301,MATCH(B266,Vidriería!$A$2:$A$301,0))&amp;" "&amp;INDEX(Vidriería!$D$2:$D$301,MATCH(B266,Vidriería!$A$2:$A$301,0)),"ID no existe"))</f>
        <v/>
      </c>
      <c r="D266" s="8"/>
      <c r="E266" s="8"/>
      <c r="F266" s="8"/>
      <c r="G266" s="13"/>
    </row>
    <row r="267" spans="1:7" x14ac:dyDescent="0.3">
      <c r="A267" s="11"/>
      <c r="B267" s="8"/>
      <c r="C267" s="7" t="str">
        <f>IF(B267="","",IFERROR(INDEX(Vidriería!$C$2:$C$301,MATCH(B267,Vidriería!$A$2:$A$301,0))&amp;" "&amp;INDEX(Vidriería!$D$2:$D$301,MATCH(B267,Vidriería!$A$2:$A$301,0)),"ID no existe"))</f>
        <v/>
      </c>
      <c r="D267" s="8"/>
      <c r="E267" s="8"/>
      <c r="F267" s="8"/>
      <c r="G267" s="13"/>
    </row>
    <row r="268" spans="1:7" x14ac:dyDescent="0.3">
      <c r="A268" s="11"/>
      <c r="B268" s="8"/>
      <c r="C268" s="7" t="str">
        <f>IF(B268="","",IFERROR(INDEX(Vidriería!$C$2:$C$301,MATCH(B268,Vidriería!$A$2:$A$301,0))&amp;" "&amp;INDEX(Vidriería!$D$2:$D$301,MATCH(B268,Vidriería!$A$2:$A$301,0)),"ID no existe"))</f>
        <v/>
      </c>
      <c r="D268" s="8"/>
      <c r="E268" s="8"/>
      <c r="F268" s="8"/>
      <c r="G268" s="13"/>
    </row>
    <row r="269" spans="1:7" x14ac:dyDescent="0.3">
      <c r="A269" s="11"/>
      <c r="B269" s="8"/>
      <c r="C269" s="7" t="str">
        <f>IF(B269="","",IFERROR(INDEX(Vidriería!$C$2:$C$301,MATCH(B269,Vidriería!$A$2:$A$301,0))&amp;" "&amp;INDEX(Vidriería!$D$2:$D$301,MATCH(B269,Vidriería!$A$2:$A$301,0)),"ID no existe"))</f>
        <v/>
      </c>
      <c r="D269" s="8"/>
      <c r="E269" s="8"/>
      <c r="F269" s="8"/>
      <c r="G269" s="13"/>
    </row>
    <row r="270" spans="1:7" x14ac:dyDescent="0.3">
      <c r="A270" s="11"/>
      <c r="B270" s="8"/>
      <c r="C270" s="7" t="str">
        <f>IF(B270="","",IFERROR(INDEX(Vidriería!$C$2:$C$301,MATCH(B270,Vidriería!$A$2:$A$301,0))&amp;" "&amp;INDEX(Vidriería!$D$2:$D$301,MATCH(B270,Vidriería!$A$2:$A$301,0)),"ID no existe"))</f>
        <v/>
      </c>
      <c r="D270" s="8"/>
      <c r="E270" s="8"/>
      <c r="F270" s="8"/>
      <c r="G270" s="13"/>
    </row>
    <row r="271" spans="1:7" x14ac:dyDescent="0.3">
      <c r="A271" s="11"/>
      <c r="B271" s="8"/>
      <c r="C271" s="7" t="str">
        <f>IF(B271="","",IFERROR(INDEX(Vidriería!$C$2:$C$301,MATCH(B271,Vidriería!$A$2:$A$301,0))&amp;" "&amp;INDEX(Vidriería!$D$2:$D$301,MATCH(B271,Vidriería!$A$2:$A$301,0)),"ID no existe"))</f>
        <v/>
      </c>
      <c r="D271" s="8"/>
      <c r="E271" s="8"/>
      <c r="F271" s="8"/>
      <c r="G271" s="13"/>
    </row>
    <row r="272" spans="1:7" x14ac:dyDescent="0.3">
      <c r="A272" s="11"/>
      <c r="B272" s="8"/>
      <c r="C272" s="7" t="str">
        <f>IF(B272="","",IFERROR(INDEX(Vidriería!$C$2:$C$301,MATCH(B272,Vidriería!$A$2:$A$301,0))&amp;" "&amp;INDEX(Vidriería!$D$2:$D$301,MATCH(B272,Vidriería!$A$2:$A$301,0)),"ID no existe"))</f>
        <v/>
      </c>
      <c r="D272" s="8"/>
      <c r="E272" s="8"/>
      <c r="F272" s="8"/>
      <c r="G272" s="13"/>
    </row>
    <row r="273" spans="1:7" x14ac:dyDescent="0.3">
      <c r="A273" s="11"/>
      <c r="B273" s="8"/>
      <c r="C273" s="7" t="str">
        <f>IF(B273="","",IFERROR(INDEX(Vidriería!$C$2:$C$301,MATCH(B273,Vidriería!$A$2:$A$301,0))&amp;" "&amp;INDEX(Vidriería!$D$2:$D$301,MATCH(B273,Vidriería!$A$2:$A$301,0)),"ID no existe"))</f>
        <v/>
      </c>
      <c r="D273" s="8"/>
      <c r="E273" s="8"/>
      <c r="F273" s="8"/>
      <c r="G273" s="13"/>
    </row>
    <row r="274" spans="1:7" x14ac:dyDescent="0.3">
      <c r="A274" s="11"/>
      <c r="B274" s="8"/>
      <c r="C274" s="7" t="str">
        <f>IF(B274="","",IFERROR(INDEX(Vidriería!$C$2:$C$301,MATCH(B274,Vidriería!$A$2:$A$301,0))&amp;" "&amp;INDEX(Vidriería!$D$2:$D$301,MATCH(B274,Vidriería!$A$2:$A$301,0)),"ID no existe"))</f>
        <v/>
      </c>
      <c r="D274" s="8"/>
      <c r="E274" s="8"/>
      <c r="F274" s="8"/>
      <c r="G274" s="13"/>
    </row>
    <row r="275" spans="1:7" x14ac:dyDescent="0.3">
      <c r="A275" s="11"/>
      <c r="B275" s="8"/>
      <c r="C275" s="7" t="str">
        <f>IF(B275="","",IFERROR(INDEX(Vidriería!$C$2:$C$301,MATCH(B275,Vidriería!$A$2:$A$301,0))&amp;" "&amp;INDEX(Vidriería!$D$2:$D$301,MATCH(B275,Vidriería!$A$2:$A$301,0)),"ID no existe"))</f>
        <v/>
      </c>
      <c r="D275" s="8"/>
      <c r="E275" s="8"/>
      <c r="F275" s="8"/>
      <c r="G275" s="13"/>
    </row>
    <row r="276" spans="1:7" x14ac:dyDescent="0.3">
      <c r="A276" s="11"/>
      <c r="B276" s="8"/>
      <c r="C276" s="7" t="str">
        <f>IF(B276="","",IFERROR(INDEX(Vidriería!$C$2:$C$301,MATCH(B276,Vidriería!$A$2:$A$301,0))&amp;" "&amp;INDEX(Vidriería!$D$2:$D$301,MATCH(B276,Vidriería!$A$2:$A$301,0)),"ID no existe"))</f>
        <v/>
      </c>
      <c r="D276" s="8"/>
      <c r="E276" s="8"/>
      <c r="F276" s="8"/>
      <c r="G276" s="13"/>
    </row>
    <row r="277" spans="1:7" x14ac:dyDescent="0.3">
      <c r="A277" s="11"/>
      <c r="B277" s="8"/>
      <c r="C277" s="7" t="str">
        <f>IF(B277="","",IFERROR(INDEX(Vidriería!$C$2:$C$301,MATCH(B277,Vidriería!$A$2:$A$301,0))&amp;" "&amp;INDEX(Vidriería!$D$2:$D$301,MATCH(B277,Vidriería!$A$2:$A$301,0)),"ID no existe"))</f>
        <v/>
      </c>
      <c r="D277" s="8"/>
      <c r="E277" s="8"/>
      <c r="F277" s="8"/>
      <c r="G277" s="13"/>
    </row>
    <row r="278" spans="1:7" x14ac:dyDescent="0.3">
      <c r="A278" s="11"/>
      <c r="B278" s="8"/>
      <c r="C278" s="7" t="str">
        <f>IF(B278="","",IFERROR(INDEX(Vidriería!$C$2:$C$301,MATCH(B278,Vidriería!$A$2:$A$301,0))&amp;" "&amp;INDEX(Vidriería!$D$2:$D$301,MATCH(B278,Vidriería!$A$2:$A$301,0)),"ID no existe"))</f>
        <v/>
      </c>
      <c r="D278" s="8"/>
      <c r="E278" s="8"/>
      <c r="F278" s="8"/>
      <c r="G278" s="13"/>
    </row>
    <row r="279" spans="1:7" x14ac:dyDescent="0.3">
      <c r="A279" s="11"/>
      <c r="B279" s="8"/>
      <c r="C279" s="7" t="str">
        <f>IF(B279="","",IFERROR(INDEX(Vidriería!$C$2:$C$301,MATCH(B279,Vidriería!$A$2:$A$301,0))&amp;" "&amp;INDEX(Vidriería!$D$2:$D$301,MATCH(B279,Vidriería!$A$2:$A$301,0)),"ID no existe"))</f>
        <v/>
      </c>
      <c r="D279" s="8"/>
      <c r="E279" s="8"/>
      <c r="F279" s="8"/>
      <c r="G279" s="13"/>
    </row>
    <row r="280" spans="1:7" x14ac:dyDescent="0.3">
      <c r="A280" s="11"/>
      <c r="B280" s="8"/>
      <c r="C280" s="7" t="str">
        <f>IF(B280="","",IFERROR(INDEX(Vidriería!$C$2:$C$301,MATCH(B280,Vidriería!$A$2:$A$301,0))&amp;" "&amp;INDEX(Vidriería!$D$2:$D$301,MATCH(B280,Vidriería!$A$2:$A$301,0)),"ID no existe"))</f>
        <v/>
      </c>
      <c r="D280" s="8"/>
      <c r="E280" s="8"/>
      <c r="F280" s="8"/>
      <c r="G280" s="13"/>
    </row>
    <row r="281" spans="1:7" x14ac:dyDescent="0.3">
      <c r="A281" s="11"/>
      <c r="B281" s="8"/>
      <c r="C281" s="7" t="str">
        <f>IF(B281="","",IFERROR(INDEX(Vidriería!$C$2:$C$301,MATCH(B281,Vidriería!$A$2:$A$301,0))&amp;" "&amp;INDEX(Vidriería!$D$2:$D$301,MATCH(B281,Vidriería!$A$2:$A$301,0)),"ID no existe"))</f>
        <v/>
      </c>
      <c r="D281" s="8"/>
      <c r="E281" s="8"/>
      <c r="F281" s="8"/>
      <c r="G281" s="13"/>
    </row>
    <row r="282" spans="1:7" x14ac:dyDescent="0.3">
      <c r="A282" s="11"/>
      <c r="B282" s="8"/>
      <c r="C282" s="7" t="str">
        <f>IF(B282="","",IFERROR(INDEX(Vidriería!$C$2:$C$301,MATCH(B282,Vidriería!$A$2:$A$301,0))&amp;" "&amp;INDEX(Vidriería!$D$2:$D$301,MATCH(B282,Vidriería!$A$2:$A$301,0)),"ID no existe"))</f>
        <v/>
      </c>
      <c r="D282" s="8"/>
      <c r="E282" s="8"/>
      <c r="F282" s="8"/>
      <c r="G282" s="13"/>
    </row>
    <row r="283" spans="1:7" x14ac:dyDescent="0.3">
      <c r="A283" s="11"/>
      <c r="B283" s="8"/>
      <c r="C283" s="7" t="str">
        <f>IF(B283="","",IFERROR(INDEX(Vidriería!$C$2:$C$301,MATCH(B283,Vidriería!$A$2:$A$301,0))&amp;" "&amp;INDEX(Vidriería!$D$2:$D$301,MATCH(B283,Vidriería!$A$2:$A$301,0)),"ID no existe"))</f>
        <v/>
      </c>
      <c r="D283" s="8"/>
      <c r="E283" s="8"/>
      <c r="F283" s="8"/>
      <c r="G283" s="13"/>
    </row>
    <row r="284" spans="1:7" x14ac:dyDescent="0.3">
      <c r="A284" s="11"/>
      <c r="B284" s="8"/>
      <c r="C284" s="7" t="str">
        <f>IF(B284="","",IFERROR(INDEX(Vidriería!$C$2:$C$301,MATCH(B284,Vidriería!$A$2:$A$301,0))&amp;" "&amp;INDEX(Vidriería!$D$2:$D$301,MATCH(B284,Vidriería!$A$2:$A$301,0)),"ID no existe"))</f>
        <v/>
      </c>
      <c r="D284" s="8"/>
      <c r="E284" s="8"/>
      <c r="F284" s="8"/>
      <c r="G284" s="13"/>
    </row>
    <row r="285" spans="1:7" x14ac:dyDescent="0.3">
      <c r="A285" s="11"/>
      <c r="B285" s="8"/>
      <c r="C285" s="7" t="str">
        <f>IF(B285="","",IFERROR(INDEX(Vidriería!$C$2:$C$301,MATCH(B285,Vidriería!$A$2:$A$301,0))&amp;" "&amp;INDEX(Vidriería!$D$2:$D$301,MATCH(B285,Vidriería!$A$2:$A$301,0)),"ID no existe"))</f>
        <v/>
      </c>
      <c r="D285" s="8"/>
      <c r="E285" s="8"/>
      <c r="F285" s="8"/>
      <c r="G285" s="13"/>
    </row>
    <row r="286" spans="1:7" x14ac:dyDescent="0.3">
      <c r="A286" s="11"/>
      <c r="B286" s="8"/>
      <c r="C286" s="7" t="str">
        <f>IF(B286="","",IFERROR(INDEX(Vidriería!$C$2:$C$301,MATCH(B286,Vidriería!$A$2:$A$301,0))&amp;" "&amp;INDEX(Vidriería!$D$2:$D$301,MATCH(B286,Vidriería!$A$2:$A$301,0)),"ID no existe"))</f>
        <v/>
      </c>
      <c r="D286" s="8"/>
      <c r="E286" s="8"/>
      <c r="F286" s="8"/>
      <c r="G286" s="13"/>
    </row>
    <row r="287" spans="1:7" x14ac:dyDescent="0.3">
      <c r="A287" s="11"/>
      <c r="B287" s="8"/>
      <c r="C287" s="7" t="str">
        <f>IF(B287="","",IFERROR(INDEX(Vidriería!$C$2:$C$301,MATCH(B287,Vidriería!$A$2:$A$301,0))&amp;" "&amp;INDEX(Vidriería!$D$2:$D$301,MATCH(B287,Vidriería!$A$2:$A$301,0)),"ID no existe"))</f>
        <v/>
      </c>
      <c r="D287" s="8"/>
      <c r="E287" s="8"/>
      <c r="F287" s="8"/>
      <c r="G287" s="13"/>
    </row>
    <row r="288" spans="1:7" x14ac:dyDescent="0.3">
      <c r="A288" s="11"/>
      <c r="B288" s="8"/>
      <c r="C288" s="7" t="str">
        <f>IF(B288="","",IFERROR(INDEX(Vidriería!$C$2:$C$301,MATCH(B288,Vidriería!$A$2:$A$301,0))&amp;" "&amp;INDEX(Vidriería!$D$2:$D$301,MATCH(B288,Vidriería!$A$2:$A$301,0)),"ID no existe"))</f>
        <v/>
      </c>
      <c r="D288" s="8"/>
      <c r="E288" s="8"/>
      <c r="F288" s="8"/>
      <c r="G288" s="13"/>
    </row>
    <row r="289" spans="1:7" x14ac:dyDescent="0.3">
      <c r="A289" s="11"/>
      <c r="B289" s="8"/>
      <c r="C289" s="7" t="str">
        <f>IF(B289="","",IFERROR(INDEX(Vidriería!$C$2:$C$301,MATCH(B289,Vidriería!$A$2:$A$301,0))&amp;" "&amp;INDEX(Vidriería!$D$2:$D$301,MATCH(B289,Vidriería!$A$2:$A$301,0)),"ID no existe"))</f>
        <v/>
      </c>
      <c r="D289" s="8"/>
      <c r="E289" s="8"/>
      <c r="F289" s="8"/>
      <c r="G289" s="13"/>
    </row>
    <row r="290" spans="1:7" x14ac:dyDescent="0.3">
      <c r="A290" s="11"/>
      <c r="B290" s="8"/>
      <c r="C290" s="7" t="str">
        <f>IF(B290="","",IFERROR(INDEX(Vidriería!$C$2:$C$301,MATCH(B290,Vidriería!$A$2:$A$301,0))&amp;" "&amp;INDEX(Vidriería!$D$2:$D$301,MATCH(B290,Vidriería!$A$2:$A$301,0)),"ID no existe"))</f>
        <v/>
      </c>
      <c r="D290" s="8"/>
      <c r="E290" s="8"/>
      <c r="F290" s="8"/>
      <c r="G290" s="13"/>
    </row>
    <row r="291" spans="1:7" x14ac:dyDescent="0.3">
      <c r="A291" s="11"/>
      <c r="B291" s="8"/>
      <c r="C291" s="7" t="str">
        <f>IF(B291="","",IFERROR(INDEX(Vidriería!$C$2:$C$301,MATCH(B291,Vidriería!$A$2:$A$301,0))&amp;" "&amp;INDEX(Vidriería!$D$2:$D$301,MATCH(B291,Vidriería!$A$2:$A$301,0)),"ID no existe"))</f>
        <v/>
      </c>
      <c r="D291" s="8"/>
      <c r="E291" s="8"/>
      <c r="F291" s="8"/>
      <c r="G291" s="13"/>
    </row>
    <row r="292" spans="1:7" x14ac:dyDescent="0.3">
      <c r="A292" s="11"/>
      <c r="B292" s="8"/>
      <c r="C292" s="7" t="str">
        <f>IF(B292="","",IFERROR(INDEX(Vidriería!$C$2:$C$301,MATCH(B292,Vidriería!$A$2:$A$301,0))&amp;" "&amp;INDEX(Vidriería!$D$2:$D$301,MATCH(B292,Vidriería!$A$2:$A$301,0)),"ID no existe"))</f>
        <v/>
      </c>
      <c r="D292" s="8"/>
      <c r="E292" s="8"/>
      <c r="F292" s="8"/>
      <c r="G292" s="13"/>
    </row>
    <row r="293" spans="1:7" x14ac:dyDescent="0.3">
      <c r="A293" s="11"/>
      <c r="B293" s="8"/>
      <c r="C293" s="7" t="str">
        <f>IF(B293="","",IFERROR(INDEX(Vidriería!$C$2:$C$301,MATCH(B293,Vidriería!$A$2:$A$301,0))&amp;" "&amp;INDEX(Vidriería!$D$2:$D$301,MATCH(B293,Vidriería!$A$2:$A$301,0)),"ID no existe"))</f>
        <v/>
      </c>
      <c r="D293" s="8"/>
      <c r="E293" s="8"/>
      <c r="F293" s="8"/>
      <c r="G293" s="13"/>
    </row>
    <row r="294" spans="1:7" x14ac:dyDescent="0.3">
      <c r="A294" s="11"/>
      <c r="B294" s="8"/>
      <c r="C294" s="7" t="str">
        <f>IF(B294="","",IFERROR(INDEX(Vidriería!$C$2:$C$301,MATCH(B294,Vidriería!$A$2:$A$301,0))&amp;" "&amp;INDEX(Vidriería!$D$2:$D$301,MATCH(B294,Vidriería!$A$2:$A$301,0)),"ID no existe"))</f>
        <v/>
      </c>
      <c r="D294" s="8"/>
      <c r="E294" s="8"/>
      <c r="F294" s="8"/>
      <c r="G294" s="13"/>
    </row>
    <row r="295" spans="1:7" x14ac:dyDescent="0.3">
      <c r="A295" s="11"/>
      <c r="B295" s="8"/>
      <c r="C295" s="7" t="str">
        <f>IF(B295="","",IFERROR(INDEX(Vidriería!$C$2:$C$301,MATCH(B295,Vidriería!$A$2:$A$301,0))&amp;" "&amp;INDEX(Vidriería!$D$2:$D$301,MATCH(B295,Vidriería!$A$2:$A$301,0)),"ID no existe"))</f>
        <v/>
      </c>
      <c r="D295" s="8"/>
      <c r="E295" s="8"/>
      <c r="F295" s="8"/>
      <c r="G295" s="13"/>
    </row>
    <row r="296" spans="1:7" x14ac:dyDescent="0.3">
      <c r="A296" s="11"/>
      <c r="B296" s="8"/>
      <c r="C296" s="7" t="str">
        <f>IF(B296="","",IFERROR(INDEX(Vidriería!$C$2:$C$301,MATCH(B296,Vidriería!$A$2:$A$301,0))&amp;" "&amp;INDEX(Vidriería!$D$2:$D$301,MATCH(B296,Vidriería!$A$2:$A$301,0)),"ID no existe"))</f>
        <v/>
      </c>
      <c r="D296" s="8"/>
      <c r="E296" s="8"/>
      <c r="F296" s="8"/>
      <c r="G296" s="13"/>
    </row>
    <row r="297" spans="1:7" x14ac:dyDescent="0.3">
      <c r="A297" s="11"/>
      <c r="B297" s="8"/>
      <c r="C297" s="7" t="str">
        <f>IF(B297="","",IFERROR(INDEX(Vidriería!$C$2:$C$301,MATCH(B297,Vidriería!$A$2:$A$301,0))&amp;" "&amp;INDEX(Vidriería!$D$2:$D$301,MATCH(B297,Vidriería!$A$2:$A$301,0)),"ID no existe"))</f>
        <v/>
      </c>
      <c r="D297" s="8"/>
      <c r="E297" s="8"/>
      <c r="F297" s="8"/>
      <c r="G297" s="13"/>
    </row>
    <row r="298" spans="1:7" x14ac:dyDescent="0.3">
      <c r="A298" s="11"/>
      <c r="B298" s="8"/>
      <c r="C298" s="7" t="str">
        <f>IF(B298="","",IFERROR(INDEX(Vidriería!$C$2:$C$301,MATCH(B298,Vidriería!$A$2:$A$301,0))&amp;" "&amp;INDEX(Vidriería!$D$2:$D$301,MATCH(B298,Vidriería!$A$2:$A$301,0)),"ID no existe"))</f>
        <v/>
      </c>
      <c r="D298" s="8"/>
      <c r="E298" s="8"/>
      <c r="F298" s="8"/>
      <c r="G298" s="13"/>
    </row>
    <row r="299" spans="1:7" x14ac:dyDescent="0.3">
      <c r="A299" s="11"/>
      <c r="B299" s="8"/>
      <c r="C299" s="7" t="str">
        <f>IF(B299="","",IFERROR(INDEX(Vidriería!$C$2:$C$301,MATCH(B299,Vidriería!$A$2:$A$301,0))&amp;" "&amp;INDEX(Vidriería!$D$2:$D$301,MATCH(B299,Vidriería!$A$2:$A$301,0)),"ID no existe"))</f>
        <v/>
      </c>
      <c r="D299" s="8"/>
      <c r="E299" s="8"/>
      <c r="F299" s="8"/>
      <c r="G299" s="13"/>
    </row>
    <row r="300" spans="1:7" x14ac:dyDescent="0.3">
      <c r="A300" s="11"/>
      <c r="B300" s="8"/>
      <c r="C300" s="7" t="str">
        <f>IF(B300="","",IFERROR(INDEX(Vidriería!$C$2:$C$301,MATCH(B300,Vidriería!$A$2:$A$301,0))&amp;" "&amp;INDEX(Vidriería!$D$2:$D$301,MATCH(B300,Vidriería!$A$2:$A$301,0)),"ID no existe"))</f>
        <v/>
      </c>
      <c r="D300" s="8"/>
      <c r="E300" s="8"/>
      <c r="F300" s="8"/>
      <c r="G300" s="13"/>
    </row>
    <row r="301" spans="1:7" x14ac:dyDescent="0.3">
      <c r="A301" s="11"/>
      <c r="B301" s="8"/>
      <c r="C301" s="7" t="str">
        <f>IF(B301="","",IFERROR(INDEX(Vidriería!$C$2:$C$301,MATCH(B301,Vidriería!$A$2:$A$301,0))&amp;" "&amp;INDEX(Vidriería!$D$2:$D$301,MATCH(B301,Vidriería!$A$2:$A$301,0)),"ID no existe"))</f>
        <v/>
      </c>
      <c r="D301" s="8"/>
      <c r="E301" s="8"/>
      <c r="F301" s="8"/>
      <c r="G301" s="13"/>
    </row>
    <row r="302" spans="1:7" x14ac:dyDescent="0.3">
      <c r="A302" s="11"/>
      <c r="B302" s="8"/>
      <c r="C302" s="7" t="str">
        <f>IF(B302="","",IFERROR(INDEX(Vidriería!$C$2:$C$301,MATCH(B302,Vidriería!$A$2:$A$301,0))&amp;" "&amp;INDEX(Vidriería!$D$2:$D$301,MATCH(B302,Vidriería!$A$2:$A$301,0)),"ID no existe"))</f>
        <v/>
      </c>
      <c r="D302" s="8"/>
      <c r="E302" s="8"/>
      <c r="F302" s="8"/>
      <c r="G302" s="13"/>
    </row>
    <row r="303" spans="1:7" x14ac:dyDescent="0.3">
      <c r="A303" s="11"/>
      <c r="B303" s="8"/>
      <c r="C303" s="7" t="str">
        <f>IF(B303="","",IFERROR(INDEX(Vidriería!$C$2:$C$301,MATCH(B303,Vidriería!$A$2:$A$301,0))&amp;" "&amp;INDEX(Vidriería!$D$2:$D$301,MATCH(B303,Vidriería!$A$2:$A$301,0)),"ID no existe"))</f>
        <v/>
      </c>
      <c r="D303" s="8"/>
      <c r="E303" s="8"/>
      <c r="F303" s="8"/>
      <c r="G303" s="13"/>
    </row>
    <row r="304" spans="1:7" x14ac:dyDescent="0.3">
      <c r="A304" s="11"/>
      <c r="B304" s="8"/>
      <c r="C304" s="7" t="str">
        <f>IF(B304="","",IFERROR(INDEX(Vidriería!$C$2:$C$301,MATCH(B304,Vidriería!$A$2:$A$301,0))&amp;" "&amp;INDEX(Vidriería!$D$2:$D$301,MATCH(B304,Vidriería!$A$2:$A$301,0)),"ID no existe"))</f>
        <v/>
      </c>
      <c r="D304" s="8"/>
      <c r="E304" s="8"/>
      <c r="F304" s="8"/>
      <c r="G304" s="13"/>
    </row>
    <row r="305" spans="1:7" x14ac:dyDescent="0.3">
      <c r="A305" s="11"/>
      <c r="B305" s="8"/>
      <c r="C305" s="7" t="str">
        <f>IF(B305="","",IFERROR(INDEX(Vidriería!$C$2:$C$301,MATCH(B305,Vidriería!$A$2:$A$301,0))&amp;" "&amp;INDEX(Vidriería!$D$2:$D$301,MATCH(B305,Vidriería!$A$2:$A$301,0)),"ID no existe"))</f>
        <v/>
      </c>
      <c r="D305" s="8"/>
      <c r="E305" s="8"/>
      <c r="F305" s="8"/>
      <c r="G305" s="13"/>
    </row>
    <row r="306" spans="1:7" x14ac:dyDescent="0.3">
      <c r="A306" s="11"/>
      <c r="B306" s="8"/>
      <c r="C306" s="7" t="str">
        <f>IF(B306="","",IFERROR(INDEX(Vidriería!$C$2:$C$301,MATCH(B306,Vidriería!$A$2:$A$301,0))&amp;" "&amp;INDEX(Vidriería!$D$2:$D$301,MATCH(B306,Vidriería!$A$2:$A$301,0)),"ID no existe"))</f>
        <v/>
      </c>
      <c r="D306" s="8"/>
      <c r="E306" s="8"/>
      <c r="F306" s="8"/>
      <c r="G306" s="13"/>
    </row>
    <row r="307" spans="1:7" x14ac:dyDescent="0.3">
      <c r="A307" s="11"/>
      <c r="B307" s="8"/>
      <c r="C307" s="7" t="str">
        <f>IF(B307="","",IFERROR(INDEX(Vidriería!$C$2:$C$301,MATCH(B307,Vidriería!$A$2:$A$301,0))&amp;" "&amp;INDEX(Vidriería!$D$2:$D$301,MATCH(B307,Vidriería!$A$2:$A$301,0)),"ID no existe"))</f>
        <v/>
      </c>
      <c r="D307" s="8"/>
      <c r="E307" s="8"/>
      <c r="F307" s="8"/>
      <c r="G307" s="13"/>
    </row>
    <row r="308" spans="1:7" x14ac:dyDescent="0.3">
      <c r="A308" s="11"/>
      <c r="B308" s="8"/>
      <c r="C308" s="7" t="str">
        <f>IF(B308="","",IFERROR(INDEX(Vidriería!$C$2:$C$301,MATCH(B308,Vidriería!$A$2:$A$301,0))&amp;" "&amp;INDEX(Vidriería!$D$2:$D$301,MATCH(B308,Vidriería!$A$2:$A$301,0)),"ID no existe"))</f>
        <v/>
      </c>
      <c r="D308" s="8"/>
      <c r="E308" s="8"/>
      <c r="F308" s="8"/>
      <c r="G308" s="13"/>
    </row>
    <row r="309" spans="1:7" x14ac:dyDescent="0.3">
      <c r="A309" s="11"/>
      <c r="B309" s="8"/>
      <c r="C309" s="7" t="str">
        <f>IF(B309="","",IFERROR(INDEX(Vidriería!$C$2:$C$301,MATCH(B309,Vidriería!$A$2:$A$301,0))&amp;" "&amp;INDEX(Vidriería!$D$2:$D$301,MATCH(B309,Vidriería!$A$2:$A$301,0)),"ID no existe"))</f>
        <v/>
      </c>
      <c r="D309" s="8"/>
      <c r="E309" s="8"/>
      <c r="F309" s="8"/>
      <c r="G309" s="13"/>
    </row>
    <row r="310" spans="1:7" x14ac:dyDescent="0.3">
      <c r="A310" s="11"/>
      <c r="B310" s="8"/>
      <c r="C310" s="7" t="str">
        <f>IF(B310="","",IFERROR(INDEX(Vidriería!$C$2:$C$301,MATCH(B310,Vidriería!$A$2:$A$301,0))&amp;" "&amp;INDEX(Vidriería!$D$2:$D$301,MATCH(B310,Vidriería!$A$2:$A$301,0)),"ID no existe"))</f>
        <v/>
      </c>
      <c r="D310" s="8"/>
      <c r="E310" s="8"/>
      <c r="F310" s="8"/>
      <c r="G310" s="13"/>
    </row>
    <row r="311" spans="1:7" x14ac:dyDescent="0.3">
      <c r="A311" s="11"/>
      <c r="B311" s="8"/>
      <c r="C311" s="7" t="str">
        <f>IF(B311="","",IFERROR(INDEX(Vidriería!$C$2:$C$301,MATCH(B311,Vidriería!$A$2:$A$301,0))&amp;" "&amp;INDEX(Vidriería!$D$2:$D$301,MATCH(B311,Vidriería!$A$2:$A$301,0)),"ID no existe"))</f>
        <v/>
      </c>
      <c r="D311" s="8"/>
      <c r="E311" s="8"/>
      <c r="F311" s="8"/>
      <c r="G311" s="13"/>
    </row>
    <row r="312" spans="1:7" x14ac:dyDescent="0.3">
      <c r="A312" s="11"/>
      <c r="B312" s="8"/>
      <c r="C312" s="7" t="str">
        <f>IF(B312="","",IFERROR(INDEX(Vidriería!$C$2:$C$301,MATCH(B312,Vidriería!$A$2:$A$301,0))&amp;" "&amp;INDEX(Vidriería!$D$2:$D$301,MATCH(B312,Vidriería!$A$2:$A$301,0)),"ID no existe"))</f>
        <v/>
      </c>
      <c r="D312" s="8"/>
      <c r="E312" s="8"/>
      <c r="F312" s="8"/>
      <c r="G312" s="13"/>
    </row>
    <row r="313" spans="1:7" x14ac:dyDescent="0.3">
      <c r="A313" s="11"/>
      <c r="B313" s="8"/>
      <c r="C313" s="7" t="str">
        <f>IF(B313="","",IFERROR(INDEX(Vidriería!$C$2:$C$301,MATCH(B313,Vidriería!$A$2:$A$301,0))&amp;" "&amp;INDEX(Vidriería!$D$2:$D$301,MATCH(B313,Vidriería!$A$2:$A$301,0)),"ID no existe"))</f>
        <v/>
      </c>
      <c r="D313" s="8"/>
      <c r="E313" s="8"/>
      <c r="F313" s="8"/>
      <c r="G313" s="13"/>
    </row>
    <row r="314" spans="1:7" x14ac:dyDescent="0.3">
      <c r="A314" s="11"/>
      <c r="B314" s="8"/>
      <c r="C314" s="7" t="str">
        <f>IF(B314="","",IFERROR(INDEX(Vidriería!$C$2:$C$301,MATCH(B314,Vidriería!$A$2:$A$301,0))&amp;" "&amp;INDEX(Vidriería!$D$2:$D$301,MATCH(B314,Vidriería!$A$2:$A$301,0)),"ID no existe"))</f>
        <v/>
      </c>
      <c r="D314" s="8"/>
      <c r="E314" s="8"/>
      <c r="F314" s="8"/>
      <c r="G314" s="13"/>
    </row>
    <row r="315" spans="1:7" x14ac:dyDescent="0.3">
      <c r="A315" s="11"/>
      <c r="B315" s="8"/>
      <c r="C315" s="7" t="str">
        <f>IF(B315="","",IFERROR(INDEX(Vidriería!$C$2:$C$301,MATCH(B315,Vidriería!$A$2:$A$301,0))&amp;" "&amp;INDEX(Vidriería!$D$2:$D$301,MATCH(B315,Vidriería!$A$2:$A$301,0)),"ID no existe"))</f>
        <v/>
      </c>
      <c r="D315" s="8"/>
      <c r="E315" s="8"/>
      <c r="F315" s="8"/>
      <c r="G315" s="13"/>
    </row>
    <row r="316" spans="1:7" x14ac:dyDescent="0.3">
      <c r="A316" s="11"/>
      <c r="B316" s="8"/>
      <c r="C316" s="7" t="str">
        <f>IF(B316="","",IFERROR(INDEX(Vidriería!$C$2:$C$301,MATCH(B316,Vidriería!$A$2:$A$301,0))&amp;" "&amp;INDEX(Vidriería!$D$2:$D$301,MATCH(B316,Vidriería!$A$2:$A$301,0)),"ID no existe"))</f>
        <v/>
      </c>
      <c r="D316" s="8"/>
      <c r="E316" s="8"/>
      <c r="F316" s="8"/>
      <c r="G316" s="13"/>
    </row>
    <row r="317" spans="1:7" x14ac:dyDescent="0.3">
      <c r="A317" s="11"/>
      <c r="B317" s="8"/>
      <c r="C317" s="7" t="str">
        <f>IF(B317="","",IFERROR(INDEX(Vidriería!$C$2:$C$301,MATCH(B317,Vidriería!$A$2:$A$301,0))&amp;" "&amp;INDEX(Vidriería!$D$2:$D$301,MATCH(B317,Vidriería!$A$2:$A$301,0)),"ID no existe"))</f>
        <v/>
      </c>
      <c r="D317" s="8"/>
      <c r="E317" s="8"/>
      <c r="F317" s="8"/>
      <c r="G317" s="13"/>
    </row>
    <row r="318" spans="1:7" x14ac:dyDescent="0.3">
      <c r="A318" s="11"/>
      <c r="B318" s="8"/>
      <c r="C318" s="7" t="str">
        <f>IF(B318="","",IFERROR(INDEX(Vidriería!$C$2:$C$301,MATCH(B318,Vidriería!$A$2:$A$301,0))&amp;" "&amp;INDEX(Vidriería!$D$2:$D$301,MATCH(B318,Vidriería!$A$2:$A$301,0)),"ID no existe"))</f>
        <v/>
      </c>
      <c r="D318" s="8"/>
      <c r="E318" s="8"/>
      <c r="F318" s="8"/>
      <c r="G318" s="13"/>
    </row>
    <row r="319" spans="1:7" x14ac:dyDescent="0.3">
      <c r="A319" s="11"/>
      <c r="B319" s="8"/>
      <c r="C319" s="7" t="str">
        <f>IF(B319="","",IFERROR(INDEX(Vidriería!$C$2:$C$301,MATCH(B319,Vidriería!$A$2:$A$301,0))&amp;" "&amp;INDEX(Vidriería!$D$2:$D$301,MATCH(B319,Vidriería!$A$2:$A$301,0)),"ID no existe"))</f>
        <v/>
      </c>
      <c r="D319" s="8"/>
      <c r="E319" s="8"/>
      <c r="F319" s="8"/>
      <c r="G319" s="13"/>
    </row>
    <row r="320" spans="1:7" x14ac:dyDescent="0.3">
      <c r="A320" s="11"/>
      <c r="B320" s="8"/>
      <c r="C320" s="7" t="str">
        <f>IF(B320="","",IFERROR(INDEX(Vidriería!$C$2:$C$301,MATCH(B320,Vidriería!$A$2:$A$301,0))&amp;" "&amp;INDEX(Vidriería!$D$2:$D$301,MATCH(B320,Vidriería!$A$2:$A$301,0)),"ID no existe"))</f>
        <v/>
      </c>
      <c r="D320" s="8"/>
      <c r="E320" s="8"/>
      <c r="F320" s="8"/>
      <c r="G320" s="13"/>
    </row>
    <row r="321" spans="1:7" x14ac:dyDescent="0.3">
      <c r="A321" s="11"/>
      <c r="B321" s="8"/>
      <c r="C321" s="7" t="str">
        <f>IF(B321="","",IFERROR(INDEX(Vidriería!$C$2:$C$301,MATCH(B321,Vidriería!$A$2:$A$301,0))&amp;" "&amp;INDEX(Vidriería!$D$2:$D$301,MATCH(B321,Vidriería!$A$2:$A$301,0)),"ID no existe"))</f>
        <v/>
      </c>
      <c r="D321" s="8"/>
      <c r="E321" s="8"/>
      <c r="F321" s="8"/>
      <c r="G321" s="13"/>
    </row>
    <row r="322" spans="1:7" x14ac:dyDescent="0.3">
      <c r="A322" s="11"/>
      <c r="B322" s="8"/>
      <c r="C322" s="7" t="str">
        <f>IF(B322="","",IFERROR(INDEX(Vidriería!$C$2:$C$301,MATCH(B322,Vidriería!$A$2:$A$301,0))&amp;" "&amp;INDEX(Vidriería!$D$2:$D$301,MATCH(B322,Vidriería!$A$2:$A$301,0)),"ID no existe"))</f>
        <v/>
      </c>
      <c r="D322" s="8"/>
      <c r="E322" s="8"/>
      <c r="F322" s="8"/>
      <c r="G322" s="13"/>
    </row>
    <row r="323" spans="1:7" x14ac:dyDescent="0.3">
      <c r="A323" s="11"/>
      <c r="B323" s="8"/>
      <c r="C323" s="7" t="str">
        <f>IF(B323="","",IFERROR(INDEX(Vidriería!$C$2:$C$301,MATCH(B323,Vidriería!$A$2:$A$301,0))&amp;" "&amp;INDEX(Vidriería!$D$2:$D$301,MATCH(B323,Vidriería!$A$2:$A$301,0)),"ID no existe"))</f>
        <v/>
      </c>
      <c r="D323" s="8"/>
      <c r="E323" s="8"/>
      <c r="F323" s="8"/>
      <c r="G323" s="13"/>
    </row>
    <row r="324" spans="1:7" x14ac:dyDescent="0.3">
      <c r="A324" s="11"/>
      <c r="B324" s="8"/>
      <c r="C324" s="7" t="str">
        <f>IF(B324="","",IFERROR(INDEX(Vidriería!$C$2:$C$301,MATCH(B324,Vidriería!$A$2:$A$301,0))&amp;" "&amp;INDEX(Vidriería!$D$2:$D$301,MATCH(B324,Vidriería!$A$2:$A$301,0)),"ID no existe"))</f>
        <v/>
      </c>
      <c r="D324" s="8"/>
      <c r="E324" s="8"/>
      <c r="F324" s="8"/>
      <c r="G324" s="13"/>
    </row>
    <row r="325" spans="1:7" x14ac:dyDescent="0.3">
      <c r="A325" s="11"/>
      <c r="B325" s="8"/>
      <c r="C325" s="7" t="str">
        <f>IF(B325="","",IFERROR(INDEX(Vidriería!$C$2:$C$301,MATCH(B325,Vidriería!$A$2:$A$301,0))&amp;" "&amp;INDEX(Vidriería!$D$2:$D$301,MATCH(B325,Vidriería!$A$2:$A$301,0)),"ID no existe"))</f>
        <v/>
      </c>
      <c r="D325" s="8"/>
      <c r="E325" s="8"/>
      <c r="F325" s="8"/>
      <c r="G325" s="13"/>
    </row>
    <row r="326" spans="1:7" x14ac:dyDescent="0.3">
      <c r="A326" s="11"/>
      <c r="B326" s="8"/>
      <c r="C326" s="7" t="str">
        <f>IF(B326="","",IFERROR(INDEX(Vidriería!$C$2:$C$301,MATCH(B326,Vidriería!$A$2:$A$301,0))&amp;" "&amp;INDEX(Vidriería!$D$2:$D$301,MATCH(B326,Vidriería!$A$2:$A$301,0)),"ID no existe"))</f>
        <v/>
      </c>
      <c r="D326" s="8"/>
      <c r="E326" s="8"/>
      <c r="F326" s="8"/>
      <c r="G326" s="13"/>
    </row>
    <row r="327" spans="1:7" x14ac:dyDescent="0.3">
      <c r="A327" s="11"/>
      <c r="B327" s="8"/>
      <c r="C327" s="7" t="str">
        <f>IF(B327="","",IFERROR(INDEX(Vidriería!$C$2:$C$301,MATCH(B327,Vidriería!$A$2:$A$301,0))&amp;" "&amp;INDEX(Vidriería!$D$2:$D$301,MATCH(B327,Vidriería!$A$2:$A$301,0)),"ID no existe"))</f>
        <v/>
      </c>
      <c r="D327" s="8"/>
      <c r="E327" s="8"/>
      <c r="F327" s="8"/>
      <c r="G327" s="13"/>
    </row>
    <row r="328" spans="1:7" x14ac:dyDescent="0.3">
      <c r="A328" s="11"/>
      <c r="B328" s="8"/>
      <c r="C328" s="7" t="str">
        <f>IF(B328="","",IFERROR(INDEX(Vidriería!$C$2:$C$301,MATCH(B328,Vidriería!$A$2:$A$301,0))&amp;" "&amp;INDEX(Vidriería!$D$2:$D$301,MATCH(B328,Vidriería!$A$2:$A$301,0)),"ID no existe"))</f>
        <v/>
      </c>
      <c r="D328" s="8"/>
      <c r="E328" s="8"/>
      <c r="F328" s="8"/>
      <c r="G328" s="13"/>
    </row>
    <row r="329" spans="1:7" x14ac:dyDescent="0.3">
      <c r="A329" s="11"/>
      <c r="B329" s="8"/>
      <c r="C329" s="7" t="str">
        <f>IF(B329="","",IFERROR(INDEX(Vidriería!$C$2:$C$301,MATCH(B329,Vidriería!$A$2:$A$301,0))&amp;" "&amp;INDEX(Vidriería!$D$2:$D$301,MATCH(B329,Vidriería!$A$2:$A$301,0)),"ID no existe"))</f>
        <v/>
      </c>
      <c r="D329" s="8"/>
      <c r="E329" s="8"/>
      <c r="F329" s="8"/>
      <c r="G329" s="13"/>
    </row>
    <row r="330" spans="1:7" x14ac:dyDescent="0.3">
      <c r="A330" s="11"/>
      <c r="B330" s="8"/>
      <c r="C330" s="7" t="str">
        <f>IF(B330="","",IFERROR(INDEX(Vidriería!$C$2:$C$301,MATCH(B330,Vidriería!$A$2:$A$301,0))&amp;" "&amp;INDEX(Vidriería!$D$2:$D$301,MATCH(B330,Vidriería!$A$2:$A$301,0)),"ID no existe"))</f>
        <v/>
      </c>
      <c r="D330" s="8"/>
      <c r="E330" s="8"/>
      <c r="F330" s="8"/>
      <c r="G330" s="13"/>
    </row>
    <row r="331" spans="1:7" x14ac:dyDescent="0.3">
      <c r="A331" s="11"/>
      <c r="B331" s="8"/>
      <c r="C331" s="7" t="str">
        <f>IF(B331="","",IFERROR(INDEX(Vidriería!$C$2:$C$301,MATCH(B331,Vidriería!$A$2:$A$301,0))&amp;" "&amp;INDEX(Vidriería!$D$2:$D$301,MATCH(B331,Vidriería!$A$2:$A$301,0)),"ID no existe"))</f>
        <v/>
      </c>
      <c r="D331" s="8"/>
      <c r="E331" s="8"/>
      <c r="F331" s="8"/>
      <c r="G331" s="13"/>
    </row>
    <row r="332" spans="1:7" x14ac:dyDescent="0.3">
      <c r="A332" s="11"/>
      <c r="B332" s="8"/>
      <c r="C332" s="7" t="str">
        <f>IF(B332="","",IFERROR(INDEX(Vidriería!$C$2:$C$301,MATCH(B332,Vidriería!$A$2:$A$301,0))&amp;" "&amp;INDEX(Vidriería!$D$2:$D$301,MATCH(B332,Vidriería!$A$2:$A$301,0)),"ID no existe"))</f>
        <v/>
      </c>
      <c r="D332" s="8"/>
      <c r="E332" s="8"/>
      <c r="F332" s="8"/>
      <c r="G332" s="13"/>
    </row>
    <row r="333" spans="1:7" x14ac:dyDescent="0.3">
      <c r="A333" s="11"/>
      <c r="B333" s="8"/>
      <c r="C333" s="7" t="str">
        <f>IF(B333="","",IFERROR(INDEX(Vidriería!$C$2:$C$301,MATCH(B333,Vidriería!$A$2:$A$301,0))&amp;" "&amp;INDEX(Vidriería!$D$2:$D$301,MATCH(B333,Vidriería!$A$2:$A$301,0)),"ID no existe"))</f>
        <v/>
      </c>
      <c r="D333" s="8"/>
      <c r="E333" s="8"/>
      <c r="F333" s="8"/>
      <c r="G333" s="13"/>
    </row>
    <row r="334" spans="1:7" x14ac:dyDescent="0.3">
      <c r="A334" s="11"/>
      <c r="B334" s="8"/>
      <c r="C334" s="7" t="str">
        <f>IF(B334="","",IFERROR(INDEX(Vidriería!$C$2:$C$301,MATCH(B334,Vidriería!$A$2:$A$301,0))&amp;" "&amp;INDEX(Vidriería!$D$2:$D$301,MATCH(B334,Vidriería!$A$2:$A$301,0)),"ID no existe"))</f>
        <v/>
      </c>
      <c r="D334" s="8"/>
      <c r="E334" s="8"/>
      <c r="F334" s="8"/>
      <c r="G334" s="13"/>
    </row>
    <row r="335" spans="1:7" x14ac:dyDescent="0.3">
      <c r="A335" s="11"/>
      <c r="B335" s="8"/>
      <c r="C335" s="7" t="str">
        <f>IF(B335="","",IFERROR(INDEX(Vidriería!$C$2:$C$301,MATCH(B335,Vidriería!$A$2:$A$301,0))&amp;" "&amp;INDEX(Vidriería!$D$2:$D$301,MATCH(B335,Vidriería!$A$2:$A$301,0)),"ID no existe"))</f>
        <v/>
      </c>
      <c r="D335" s="8"/>
      <c r="E335" s="8"/>
      <c r="F335" s="8"/>
      <c r="G335" s="13"/>
    </row>
    <row r="336" spans="1:7" x14ac:dyDescent="0.3">
      <c r="A336" s="11"/>
      <c r="B336" s="8"/>
      <c r="C336" s="7" t="str">
        <f>IF(B336="","",IFERROR(INDEX(Vidriería!$C$2:$C$301,MATCH(B336,Vidriería!$A$2:$A$301,0))&amp;" "&amp;INDEX(Vidriería!$D$2:$D$301,MATCH(B336,Vidriería!$A$2:$A$301,0)),"ID no existe"))</f>
        <v/>
      </c>
      <c r="D336" s="8"/>
      <c r="E336" s="8"/>
      <c r="F336" s="8"/>
      <c r="G336" s="13"/>
    </row>
    <row r="337" spans="1:7" x14ac:dyDescent="0.3">
      <c r="A337" s="11"/>
      <c r="B337" s="8"/>
      <c r="C337" s="7" t="str">
        <f>IF(B337="","",IFERROR(INDEX(Vidriería!$C$2:$C$301,MATCH(B337,Vidriería!$A$2:$A$301,0))&amp;" "&amp;INDEX(Vidriería!$D$2:$D$301,MATCH(B337,Vidriería!$A$2:$A$301,0)),"ID no existe"))</f>
        <v/>
      </c>
      <c r="D337" s="8"/>
      <c r="E337" s="8"/>
      <c r="F337" s="8"/>
      <c r="G337" s="13"/>
    </row>
    <row r="338" spans="1:7" x14ac:dyDescent="0.3">
      <c r="A338" s="11"/>
      <c r="B338" s="8"/>
      <c r="C338" s="7" t="str">
        <f>IF(B338="","",IFERROR(INDEX(Vidriería!$C$2:$C$301,MATCH(B338,Vidriería!$A$2:$A$301,0))&amp;" "&amp;INDEX(Vidriería!$D$2:$D$301,MATCH(B338,Vidriería!$A$2:$A$301,0)),"ID no existe"))</f>
        <v/>
      </c>
      <c r="D338" s="8"/>
      <c r="E338" s="8"/>
      <c r="F338" s="8"/>
      <c r="G338" s="13"/>
    </row>
    <row r="339" spans="1:7" x14ac:dyDescent="0.3">
      <c r="A339" s="11"/>
      <c r="B339" s="8"/>
      <c r="C339" s="7" t="str">
        <f>IF(B339="","",IFERROR(INDEX(Vidriería!$C$2:$C$301,MATCH(B339,Vidriería!$A$2:$A$301,0))&amp;" "&amp;INDEX(Vidriería!$D$2:$D$301,MATCH(B339,Vidriería!$A$2:$A$301,0)),"ID no existe"))</f>
        <v/>
      </c>
      <c r="D339" s="8"/>
      <c r="E339" s="8"/>
      <c r="F339" s="8"/>
      <c r="G339" s="13"/>
    </row>
    <row r="340" spans="1:7" x14ac:dyDescent="0.3">
      <c r="A340" s="11"/>
      <c r="B340" s="8"/>
      <c r="C340" s="7" t="str">
        <f>IF(B340="","",IFERROR(INDEX(Vidriería!$C$2:$C$301,MATCH(B340,Vidriería!$A$2:$A$301,0))&amp;" "&amp;INDEX(Vidriería!$D$2:$D$301,MATCH(B340,Vidriería!$A$2:$A$301,0)),"ID no existe"))</f>
        <v/>
      </c>
      <c r="D340" s="8"/>
      <c r="E340" s="8"/>
      <c r="F340" s="8"/>
      <c r="G340" s="13"/>
    </row>
    <row r="341" spans="1:7" x14ac:dyDescent="0.3">
      <c r="A341" s="11"/>
      <c r="B341" s="8"/>
      <c r="C341" s="7" t="str">
        <f>IF(B341="","",IFERROR(INDEX(Vidriería!$C$2:$C$301,MATCH(B341,Vidriería!$A$2:$A$301,0))&amp;" "&amp;INDEX(Vidriería!$D$2:$D$301,MATCH(B341,Vidriería!$A$2:$A$301,0)),"ID no existe"))</f>
        <v/>
      </c>
      <c r="D341" s="8"/>
      <c r="E341" s="8"/>
      <c r="F341" s="8"/>
      <c r="G341" s="13"/>
    </row>
    <row r="342" spans="1:7" x14ac:dyDescent="0.3">
      <c r="A342" s="11"/>
      <c r="B342" s="8"/>
      <c r="C342" s="7" t="str">
        <f>IF(B342="","",IFERROR(INDEX(Vidriería!$C$2:$C$301,MATCH(B342,Vidriería!$A$2:$A$301,0))&amp;" "&amp;INDEX(Vidriería!$D$2:$D$301,MATCH(B342,Vidriería!$A$2:$A$301,0)),"ID no existe"))</f>
        <v/>
      </c>
      <c r="D342" s="8"/>
      <c r="E342" s="8"/>
      <c r="F342" s="8"/>
      <c r="G342" s="13"/>
    </row>
    <row r="343" spans="1:7" x14ac:dyDescent="0.3">
      <c r="A343" s="11"/>
      <c r="B343" s="8"/>
      <c r="C343" s="7" t="str">
        <f>IF(B343="","",IFERROR(INDEX(Vidriería!$C$2:$C$301,MATCH(B343,Vidriería!$A$2:$A$301,0))&amp;" "&amp;INDEX(Vidriería!$D$2:$D$301,MATCH(B343,Vidriería!$A$2:$A$301,0)),"ID no existe"))</f>
        <v/>
      </c>
      <c r="D343" s="8"/>
      <c r="E343" s="8"/>
      <c r="F343" s="8"/>
      <c r="G343" s="13"/>
    </row>
    <row r="344" spans="1:7" x14ac:dyDescent="0.3">
      <c r="A344" s="11"/>
      <c r="B344" s="8"/>
      <c r="C344" s="7" t="str">
        <f>IF(B344="","",IFERROR(INDEX(Vidriería!$C$2:$C$301,MATCH(B344,Vidriería!$A$2:$A$301,0))&amp;" "&amp;INDEX(Vidriería!$D$2:$D$301,MATCH(B344,Vidriería!$A$2:$A$301,0)),"ID no existe"))</f>
        <v/>
      </c>
      <c r="D344" s="8"/>
      <c r="E344" s="8"/>
      <c r="F344" s="8"/>
      <c r="G344" s="13"/>
    </row>
    <row r="345" spans="1:7" x14ac:dyDescent="0.3">
      <c r="A345" s="11"/>
      <c r="B345" s="8"/>
      <c r="C345" s="7" t="str">
        <f>IF(B345="","",IFERROR(INDEX(Vidriería!$C$2:$C$301,MATCH(B345,Vidriería!$A$2:$A$301,0))&amp;" "&amp;INDEX(Vidriería!$D$2:$D$301,MATCH(B345,Vidriería!$A$2:$A$301,0)),"ID no existe"))</f>
        <v/>
      </c>
      <c r="D345" s="8"/>
      <c r="E345" s="8"/>
      <c r="F345" s="8"/>
      <c r="G345" s="13"/>
    </row>
    <row r="346" spans="1:7" x14ac:dyDescent="0.3">
      <c r="A346" s="11"/>
      <c r="B346" s="8"/>
      <c r="C346" s="7" t="str">
        <f>IF(B346="","",IFERROR(INDEX(Vidriería!$C$2:$C$301,MATCH(B346,Vidriería!$A$2:$A$301,0))&amp;" "&amp;INDEX(Vidriería!$D$2:$D$301,MATCH(B346,Vidriería!$A$2:$A$301,0)),"ID no existe"))</f>
        <v/>
      </c>
      <c r="D346" s="8"/>
      <c r="E346" s="8"/>
      <c r="F346" s="8"/>
      <c r="G346" s="13"/>
    </row>
    <row r="347" spans="1:7" x14ac:dyDescent="0.3">
      <c r="A347" s="11"/>
      <c r="B347" s="8"/>
      <c r="C347" s="7" t="str">
        <f>IF(B347="","",IFERROR(INDEX(Vidriería!$C$2:$C$301,MATCH(B347,Vidriería!$A$2:$A$301,0))&amp;" "&amp;INDEX(Vidriería!$D$2:$D$301,MATCH(B347,Vidriería!$A$2:$A$301,0)),"ID no existe"))</f>
        <v/>
      </c>
      <c r="D347" s="8"/>
      <c r="E347" s="8"/>
      <c r="F347" s="8"/>
      <c r="G347" s="13"/>
    </row>
    <row r="348" spans="1:7" x14ac:dyDescent="0.3">
      <c r="A348" s="11"/>
      <c r="B348" s="8"/>
      <c r="C348" s="7" t="str">
        <f>IF(B348="","",IFERROR(INDEX(Vidriería!$C$2:$C$301,MATCH(B348,Vidriería!$A$2:$A$301,0))&amp;" "&amp;INDEX(Vidriería!$D$2:$D$301,MATCH(B348,Vidriería!$A$2:$A$301,0)),"ID no existe"))</f>
        <v/>
      </c>
      <c r="D348" s="8"/>
      <c r="E348" s="8"/>
      <c r="F348" s="8"/>
      <c r="G348" s="13"/>
    </row>
    <row r="349" spans="1:7" x14ac:dyDescent="0.3">
      <c r="A349" s="11"/>
      <c r="B349" s="8"/>
      <c r="C349" s="7" t="str">
        <f>IF(B349="","",IFERROR(INDEX(Vidriería!$C$2:$C$301,MATCH(B349,Vidriería!$A$2:$A$301,0))&amp;" "&amp;INDEX(Vidriería!$D$2:$D$301,MATCH(B349,Vidriería!$A$2:$A$301,0)),"ID no existe"))</f>
        <v/>
      </c>
      <c r="D349" s="8"/>
      <c r="E349" s="8"/>
      <c r="F349" s="8"/>
      <c r="G349" s="13"/>
    </row>
    <row r="350" spans="1:7" x14ac:dyDescent="0.3">
      <c r="A350" s="11"/>
      <c r="B350" s="8"/>
      <c r="C350" s="7" t="str">
        <f>IF(B350="","",IFERROR(INDEX(Vidriería!$C$2:$C$301,MATCH(B350,Vidriería!$A$2:$A$301,0))&amp;" "&amp;INDEX(Vidriería!$D$2:$D$301,MATCH(B350,Vidriería!$A$2:$A$301,0)),"ID no existe"))</f>
        <v/>
      </c>
      <c r="D350" s="8"/>
      <c r="E350" s="8"/>
      <c r="F350" s="8"/>
      <c r="G350" s="13"/>
    </row>
    <row r="351" spans="1:7" x14ac:dyDescent="0.3">
      <c r="A351" s="11"/>
      <c r="B351" s="8"/>
      <c r="C351" s="7" t="str">
        <f>IF(B351="","",IFERROR(INDEX(Vidriería!$C$2:$C$301,MATCH(B351,Vidriería!$A$2:$A$301,0))&amp;" "&amp;INDEX(Vidriería!$D$2:$D$301,MATCH(B351,Vidriería!$A$2:$A$301,0)),"ID no existe"))</f>
        <v/>
      </c>
      <c r="D351" s="8"/>
      <c r="E351" s="8"/>
      <c r="F351" s="8"/>
      <c r="G351" s="13"/>
    </row>
    <row r="352" spans="1:7" x14ac:dyDescent="0.3">
      <c r="A352" s="11"/>
      <c r="B352" s="8"/>
      <c r="C352" s="7" t="str">
        <f>IF(B352="","",IFERROR(INDEX(Vidriería!$C$2:$C$301,MATCH(B352,Vidriería!$A$2:$A$301,0))&amp;" "&amp;INDEX(Vidriería!$D$2:$D$301,MATCH(B352,Vidriería!$A$2:$A$301,0)),"ID no existe"))</f>
        <v/>
      </c>
      <c r="D352" s="8"/>
      <c r="E352" s="8"/>
      <c r="F352" s="8"/>
      <c r="G352" s="13"/>
    </row>
    <row r="353" spans="1:7" x14ac:dyDescent="0.3">
      <c r="A353" s="11"/>
      <c r="B353" s="8"/>
      <c r="C353" s="7" t="str">
        <f>IF(B353="","",IFERROR(INDEX(Vidriería!$C$2:$C$301,MATCH(B353,Vidriería!$A$2:$A$301,0))&amp;" "&amp;INDEX(Vidriería!$D$2:$D$301,MATCH(B353,Vidriería!$A$2:$A$301,0)),"ID no existe"))</f>
        <v/>
      </c>
      <c r="D353" s="8"/>
      <c r="E353" s="8"/>
      <c r="F353" s="8"/>
      <c r="G353" s="13"/>
    </row>
    <row r="354" spans="1:7" x14ac:dyDescent="0.3">
      <c r="A354" s="11"/>
      <c r="B354" s="8"/>
      <c r="C354" s="7" t="str">
        <f>IF(B354="","",IFERROR(INDEX(Vidriería!$C$2:$C$301,MATCH(B354,Vidriería!$A$2:$A$301,0))&amp;" "&amp;INDEX(Vidriería!$D$2:$D$301,MATCH(B354,Vidriería!$A$2:$A$301,0)),"ID no existe"))</f>
        <v/>
      </c>
      <c r="D354" s="8"/>
      <c r="E354" s="8"/>
      <c r="F354" s="8"/>
      <c r="G354" s="13"/>
    </row>
    <row r="355" spans="1:7" x14ac:dyDescent="0.3">
      <c r="A355" s="11"/>
      <c r="B355" s="8"/>
      <c r="C355" s="7" t="str">
        <f>IF(B355="","",IFERROR(INDEX(Vidriería!$C$2:$C$301,MATCH(B355,Vidriería!$A$2:$A$301,0))&amp;" "&amp;INDEX(Vidriería!$D$2:$D$301,MATCH(B355,Vidriería!$A$2:$A$301,0)),"ID no existe"))</f>
        <v/>
      </c>
      <c r="D355" s="8"/>
      <c r="E355" s="8"/>
      <c r="F355" s="8"/>
      <c r="G355" s="13"/>
    </row>
    <row r="356" spans="1:7" x14ac:dyDescent="0.3">
      <c r="A356" s="11"/>
      <c r="B356" s="8"/>
      <c r="C356" s="7" t="str">
        <f>IF(B356="","",IFERROR(INDEX(Vidriería!$C$2:$C$301,MATCH(B356,Vidriería!$A$2:$A$301,0))&amp;" "&amp;INDEX(Vidriería!$D$2:$D$301,MATCH(B356,Vidriería!$A$2:$A$301,0)),"ID no existe"))</f>
        <v/>
      </c>
      <c r="D356" s="8"/>
      <c r="E356" s="8"/>
      <c r="F356" s="8"/>
      <c r="G356" s="13"/>
    </row>
    <row r="357" spans="1:7" x14ac:dyDescent="0.3">
      <c r="A357" s="11"/>
      <c r="B357" s="8"/>
      <c r="C357" s="7" t="str">
        <f>IF(B357="","",IFERROR(INDEX(Vidriería!$C$2:$C$301,MATCH(B357,Vidriería!$A$2:$A$301,0))&amp;" "&amp;INDEX(Vidriería!$D$2:$D$301,MATCH(B357,Vidriería!$A$2:$A$301,0)),"ID no existe"))</f>
        <v/>
      </c>
      <c r="D357" s="8"/>
      <c r="E357" s="8"/>
      <c r="F357" s="8"/>
      <c r="G357" s="13"/>
    </row>
    <row r="358" spans="1:7" x14ac:dyDescent="0.3">
      <c r="A358" s="11"/>
      <c r="B358" s="8"/>
      <c r="C358" s="7" t="str">
        <f>IF(B358="","",IFERROR(INDEX(Vidriería!$C$2:$C$301,MATCH(B358,Vidriería!$A$2:$A$301,0))&amp;" "&amp;INDEX(Vidriería!$D$2:$D$301,MATCH(B358,Vidriería!$A$2:$A$301,0)),"ID no existe"))</f>
        <v/>
      </c>
      <c r="D358" s="8"/>
      <c r="E358" s="8"/>
      <c r="F358" s="8"/>
      <c r="G358" s="13"/>
    </row>
    <row r="359" spans="1:7" x14ac:dyDescent="0.3">
      <c r="A359" s="11"/>
      <c r="B359" s="8"/>
      <c r="C359" s="7" t="str">
        <f>IF(B359="","",IFERROR(INDEX(Vidriería!$C$2:$C$301,MATCH(B359,Vidriería!$A$2:$A$301,0))&amp;" "&amp;INDEX(Vidriería!$D$2:$D$301,MATCH(B359,Vidriería!$A$2:$A$301,0)),"ID no existe"))</f>
        <v/>
      </c>
      <c r="D359" s="8"/>
      <c r="E359" s="8"/>
      <c r="F359" s="8"/>
      <c r="G359" s="13"/>
    </row>
    <row r="360" spans="1:7" x14ac:dyDescent="0.3">
      <c r="A360" s="11"/>
      <c r="B360" s="8"/>
      <c r="C360" s="7" t="str">
        <f>IF(B360="","",IFERROR(INDEX(Vidriería!$C$2:$C$301,MATCH(B360,Vidriería!$A$2:$A$301,0))&amp;" "&amp;INDEX(Vidriería!$D$2:$D$301,MATCH(B360,Vidriería!$A$2:$A$301,0)),"ID no existe"))</f>
        <v/>
      </c>
      <c r="D360" s="8"/>
      <c r="E360" s="8"/>
      <c r="F360" s="8"/>
      <c r="G360" s="13"/>
    </row>
    <row r="361" spans="1:7" x14ac:dyDescent="0.3">
      <c r="A361" s="11"/>
      <c r="B361" s="8"/>
      <c r="C361" s="7" t="str">
        <f>IF(B361="","",IFERROR(INDEX(Vidriería!$C$2:$C$301,MATCH(B361,Vidriería!$A$2:$A$301,0))&amp;" "&amp;INDEX(Vidriería!$D$2:$D$301,MATCH(B361,Vidriería!$A$2:$A$301,0)),"ID no existe"))</f>
        <v/>
      </c>
      <c r="D361" s="8"/>
      <c r="E361" s="8"/>
      <c r="F361" s="8"/>
      <c r="G361" s="13"/>
    </row>
    <row r="362" spans="1:7" x14ac:dyDescent="0.3">
      <c r="A362" s="11"/>
      <c r="B362" s="8"/>
      <c r="C362" s="7" t="str">
        <f>IF(B362="","",IFERROR(INDEX(Vidriería!$C$2:$C$301,MATCH(B362,Vidriería!$A$2:$A$301,0))&amp;" "&amp;INDEX(Vidriería!$D$2:$D$301,MATCH(B362,Vidriería!$A$2:$A$301,0)),"ID no existe"))</f>
        <v/>
      </c>
      <c r="D362" s="8"/>
      <c r="E362" s="8"/>
      <c r="F362" s="8"/>
      <c r="G362" s="13"/>
    </row>
    <row r="363" spans="1:7" x14ac:dyDescent="0.3">
      <c r="A363" s="11"/>
      <c r="B363" s="8"/>
      <c r="C363" s="7" t="str">
        <f>IF(B363="","",IFERROR(INDEX(Vidriería!$C$2:$C$301,MATCH(B363,Vidriería!$A$2:$A$301,0))&amp;" "&amp;INDEX(Vidriería!$D$2:$D$301,MATCH(B363,Vidriería!$A$2:$A$301,0)),"ID no existe"))</f>
        <v/>
      </c>
      <c r="D363" s="8"/>
      <c r="E363" s="8"/>
      <c r="F363" s="8"/>
      <c r="G363" s="13"/>
    </row>
    <row r="364" spans="1:7" x14ac:dyDescent="0.3">
      <c r="A364" s="11"/>
      <c r="B364" s="8"/>
      <c r="C364" s="7" t="str">
        <f>IF(B364="","",IFERROR(INDEX(Vidriería!$C$2:$C$301,MATCH(B364,Vidriería!$A$2:$A$301,0))&amp;" "&amp;INDEX(Vidriería!$D$2:$D$301,MATCH(B364,Vidriería!$A$2:$A$301,0)),"ID no existe"))</f>
        <v/>
      </c>
      <c r="D364" s="8"/>
      <c r="E364" s="8"/>
      <c r="F364" s="8"/>
      <c r="G364" s="13"/>
    </row>
    <row r="365" spans="1:7" x14ac:dyDescent="0.3">
      <c r="A365" s="11"/>
      <c r="B365" s="8"/>
      <c r="C365" s="7" t="str">
        <f>IF(B365="","",IFERROR(INDEX(Vidriería!$C$2:$C$301,MATCH(B365,Vidriería!$A$2:$A$301,0))&amp;" "&amp;INDEX(Vidriería!$D$2:$D$301,MATCH(B365,Vidriería!$A$2:$A$301,0)),"ID no existe"))</f>
        <v/>
      </c>
      <c r="D365" s="8"/>
      <c r="E365" s="8"/>
      <c r="F365" s="8"/>
      <c r="G365" s="13"/>
    </row>
    <row r="366" spans="1:7" x14ac:dyDescent="0.3">
      <c r="A366" s="11"/>
      <c r="B366" s="8"/>
      <c r="C366" s="7" t="str">
        <f>IF(B366="","",IFERROR(INDEX(Vidriería!$C$2:$C$301,MATCH(B366,Vidriería!$A$2:$A$301,0))&amp;" "&amp;INDEX(Vidriería!$D$2:$D$301,MATCH(B366,Vidriería!$A$2:$A$301,0)),"ID no existe"))</f>
        <v/>
      </c>
      <c r="D366" s="8"/>
      <c r="E366" s="8"/>
      <c r="F366" s="8"/>
      <c r="G366" s="13"/>
    </row>
    <row r="367" spans="1:7" x14ac:dyDescent="0.3">
      <c r="A367" s="11"/>
      <c r="B367" s="8"/>
      <c r="C367" s="7" t="str">
        <f>IF(B367="","",IFERROR(INDEX(Vidriería!$C$2:$C$301,MATCH(B367,Vidriería!$A$2:$A$301,0))&amp;" "&amp;INDEX(Vidriería!$D$2:$D$301,MATCH(B367,Vidriería!$A$2:$A$301,0)),"ID no existe"))</f>
        <v/>
      </c>
      <c r="D367" s="8"/>
      <c r="E367" s="8"/>
      <c r="F367" s="8"/>
      <c r="G367" s="13"/>
    </row>
    <row r="368" spans="1:7" x14ac:dyDescent="0.3">
      <c r="A368" s="11"/>
      <c r="B368" s="8"/>
      <c r="C368" s="7" t="str">
        <f>IF(B368="","",IFERROR(INDEX(Vidriería!$C$2:$C$301,MATCH(B368,Vidriería!$A$2:$A$301,0))&amp;" "&amp;INDEX(Vidriería!$D$2:$D$301,MATCH(B368,Vidriería!$A$2:$A$301,0)),"ID no existe"))</f>
        <v/>
      </c>
      <c r="D368" s="8"/>
      <c r="E368" s="8"/>
      <c r="F368" s="8"/>
      <c r="G368" s="13"/>
    </row>
    <row r="369" spans="1:7" x14ac:dyDescent="0.3">
      <c r="A369" s="11"/>
      <c r="B369" s="8"/>
      <c r="C369" s="7" t="str">
        <f>IF(B369="","",IFERROR(INDEX(Vidriería!$C$2:$C$301,MATCH(B369,Vidriería!$A$2:$A$301,0))&amp;" "&amp;INDEX(Vidriería!$D$2:$D$301,MATCH(B369,Vidriería!$A$2:$A$301,0)),"ID no existe"))</f>
        <v/>
      </c>
      <c r="D369" s="8"/>
      <c r="E369" s="8"/>
      <c r="F369" s="8"/>
      <c r="G369" s="13"/>
    </row>
    <row r="370" spans="1:7" x14ac:dyDescent="0.3">
      <c r="A370" s="11"/>
      <c r="B370" s="8"/>
      <c r="C370" s="7" t="str">
        <f>IF(B370="","",IFERROR(INDEX(Vidriería!$C$2:$C$301,MATCH(B370,Vidriería!$A$2:$A$301,0))&amp;" "&amp;INDEX(Vidriería!$D$2:$D$301,MATCH(B370,Vidriería!$A$2:$A$301,0)),"ID no existe"))</f>
        <v/>
      </c>
      <c r="D370" s="8"/>
      <c r="E370" s="8"/>
      <c r="F370" s="8"/>
      <c r="G370" s="13"/>
    </row>
    <row r="371" spans="1:7" x14ac:dyDescent="0.3">
      <c r="A371" s="11"/>
      <c r="B371" s="8"/>
      <c r="C371" s="7" t="str">
        <f>IF(B371="","",IFERROR(INDEX(Vidriería!$C$2:$C$301,MATCH(B371,Vidriería!$A$2:$A$301,0))&amp;" "&amp;INDEX(Vidriería!$D$2:$D$301,MATCH(B371,Vidriería!$A$2:$A$301,0)),"ID no existe"))</f>
        <v/>
      </c>
      <c r="D371" s="8"/>
      <c r="E371" s="8"/>
      <c r="F371" s="8"/>
      <c r="G371" s="13"/>
    </row>
    <row r="372" spans="1:7" x14ac:dyDescent="0.3">
      <c r="A372" s="11"/>
      <c r="B372" s="8"/>
      <c r="C372" s="7" t="str">
        <f>IF(B372="","",IFERROR(INDEX(Vidriería!$C$2:$C$301,MATCH(B372,Vidriería!$A$2:$A$301,0))&amp;" "&amp;INDEX(Vidriería!$D$2:$D$301,MATCH(B372,Vidriería!$A$2:$A$301,0)),"ID no existe"))</f>
        <v/>
      </c>
      <c r="D372" s="8"/>
      <c r="E372" s="8"/>
      <c r="F372" s="8"/>
      <c r="G372" s="13"/>
    </row>
    <row r="373" spans="1:7" x14ac:dyDescent="0.3">
      <c r="A373" s="11"/>
      <c r="B373" s="8"/>
      <c r="C373" s="7" t="str">
        <f>IF(B373="","",IFERROR(INDEX(Vidriería!$C$2:$C$301,MATCH(B373,Vidriería!$A$2:$A$301,0))&amp;" "&amp;INDEX(Vidriería!$D$2:$D$301,MATCH(B373,Vidriería!$A$2:$A$301,0)),"ID no existe"))</f>
        <v/>
      </c>
      <c r="D373" s="8"/>
      <c r="E373" s="8"/>
      <c r="F373" s="8"/>
      <c r="G373" s="13"/>
    </row>
    <row r="374" spans="1:7" x14ac:dyDescent="0.3">
      <c r="A374" s="11"/>
      <c r="B374" s="8"/>
      <c r="C374" s="7" t="str">
        <f>IF(B374="","",IFERROR(INDEX(Vidriería!$C$2:$C$301,MATCH(B374,Vidriería!$A$2:$A$301,0))&amp;" "&amp;INDEX(Vidriería!$D$2:$D$301,MATCH(B374,Vidriería!$A$2:$A$301,0)),"ID no existe"))</f>
        <v/>
      </c>
      <c r="D374" s="8"/>
      <c r="E374" s="8"/>
      <c r="F374" s="8"/>
      <c r="G374" s="13"/>
    </row>
    <row r="375" spans="1:7" x14ac:dyDescent="0.3">
      <c r="A375" s="11"/>
      <c r="B375" s="8"/>
      <c r="C375" s="7" t="str">
        <f>IF(B375="","",IFERROR(INDEX(Vidriería!$C$2:$C$301,MATCH(B375,Vidriería!$A$2:$A$301,0))&amp;" "&amp;INDEX(Vidriería!$D$2:$D$301,MATCH(B375,Vidriería!$A$2:$A$301,0)),"ID no existe"))</f>
        <v/>
      </c>
      <c r="D375" s="8"/>
      <c r="E375" s="8"/>
      <c r="F375" s="8"/>
      <c r="G375" s="13"/>
    </row>
    <row r="376" spans="1:7" x14ac:dyDescent="0.3">
      <c r="A376" s="11"/>
      <c r="B376" s="8"/>
      <c r="C376" s="7" t="str">
        <f>IF(B376="","",IFERROR(INDEX(Vidriería!$C$2:$C$301,MATCH(B376,Vidriería!$A$2:$A$301,0))&amp;" "&amp;INDEX(Vidriería!$D$2:$D$301,MATCH(B376,Vidriería!$A$2:$A$301,0)),"ID no existe"))</f>
        <v/>
      </c>
      <c r="D376" s="8"/>
      <c r="E376" s="8"/>
      <c r="F376" s="8"/>
      <c r="G376" s="13"/>
    </row>
    <row r="377" spans="1:7" x14ac:dyDescent="0.3">
      <c r="A377" s="11"/>
      <c r="B377" s="8"/>
      <c r="C377" s="7" t="str">
        <f>IF(B377="","",IFERROR(INDEX(Vidriería!$C$2:$C$301,MATCH(B377,Vidriería!$A$2:$A$301,0))&amp;" "&amp;INDEX(Vidriería!$D$2:$D$301,MATCH(B377,Vidriería!$A$2:$A$301,0)),"ID no existe"))</f>
        <v/>
      </c>
      <c r="D377" s="8"/>
      <c r="E377" s="8"/>
      <c r="F377" s="8"/>
      <c r="G377" s="13"/>
    </row>
    <row r="378" spans="1:7" x14ac:dyDescent="0.3">
      <c r="A378" s="11"/>
      <c r="B378" s="8"/>
      <c r="C378" s="7" t="str">
        <f>IF(B378="","",IFERROR(INDEX(Vidriería!$C$2:$C$301,MATCH(B378,Vidriería!$A$2:$A$301,0))&amp;" "&amp;INDEX(Vidriería!$D$2:$D$301,MATCH(B378,Vidriería!$A$2:$A$301,0)),"ID no existe"))</f>
        <v/>
      </c>
      <c r="D378" s="8"/>
      <c r="E378" s="8"/>
      <c r="F378" s="8"/>
      <c r="G378" s="13"/>
    </row>
    <row r="379" spans="1:7" x14ac:dyDescent="0.3">
      <c r="A379" s="11"/>
      <c r="B379" s="8"/>
      <c r="C379" s="7" t="str">
        <f>IF(B379="","",IFERROR(INDEX(Vidriería!$C$2:$C$301,MATCH(B379,Vidriería!$A$2:$A$301,0))&amp;" "&amp;INDEX(Vidriería!$D$2:$D$301,MATCH(B379,Vidriería!$A$2:$A$301,0)),"ID no existe"))</f>
        <v/>
      </c>
      <c r="D379" s="8"/>
      <c r="E379" s="8"/>
      <c r="F379" s="8"/>
      <c r="G379" s="13"/>
    </row>
    <row r="380" spans="1:7" x14ac:dyDescent="0.3">
      <c r="A380" s="11"/>
      <c r="B380" s="8"/>
      <c r="C380" s="7" t="str">
        <f>IF(B380="","",IFERROR(INDEX(Vidriería!$C$2:$C$301,MATCH(B380,Vidriería!$A$2:$A$301,0))&amp;" "&amp;INDEX(Vidriería!$D$2:$D$301,MATCH(B380,Vidriería!$A$2:$A$301,0)),"ID no existe"))</f>
        <v/>
      </c>
      <c r="D380" s="8"/>
      <c r="E380" s="8"/>
      <c r="F380" s="8"/>
      <c r="G380" s="13"/>
    </row>
    <row r="381" spans="1:7" x14ac:dyDescent="0.3">
      <c r="A381" s="11"/>
      <c r="B381" s="8"/>
      <c r="C381" s="7" t="str">
        <f>IF(B381="","",IFERROR(INDEX(Vidriería!$C$2:$C$301,MATCH(B381,Vidriería!$A$2:$A$301,0))&amp;" "&amp;INDEX(Vidriería!$D$2:$D$301,MATCH(B381,Vidriería!$A$2:$A$301,0)),"ID no existe"))</f>
        <v/>
      </c>
      <c r="D381" s="8"/>
      <c r="E381" s="8"/>
      <c r="F381" s="8"/>
      <c r="G381" s="13"/>
    </row>
    <row r="382" spans="1:7" x14ac:dyDescent="0.3">
      <c r="A382" s="11"/>
      <c r="B382" s="8"/>
      <c r="C382" s="7" t="str">
        <f>IF(B382="","",IFERROR(INDEX(Vidriería!$C$2:$C$301,MATCH(B382,Vidriería!$A$2:$A$301,0))&amp;" "&amp;INDEX(Vidriería!$D$2:$D$301,MATCH(B382,Vidriería!$A$2:$A$301,0)),"ID no existe"))</f>
        <v/>
      </c>
      <c r="D382" s="8"/>
      <c r="E382" s="8"/>
      <c r="F382" s="8"/>
      <c r="G382" s="13"/>
    </row>
    <row r="383" spans="1:7" x14ac:dyDescent="0.3">
      <c r="A383" s="11"/>
      <c r="B383" s="8"/>
      <c r="C383" s="7" t="str">
        <f>IF(B383="","",IFERROR(INDEX(Vidriería!$C$2:$C$301,MATCH(B383,Vidriería!$A$2:$A$301,0))&amp;" "&amp;INDEX(Vidriería!$D$2:$D$301,MATCH(B383,Vidriería!$A$2:$A$301,0)),"ID no existe"))</f>
        <v/>
      </c>
      <c r="D383" s="8"/>
      <c r="E383" s="8"/>
      <c r="F383" s="8"/>
      <c r="G383" s="13"/>
    </row>
    <row r="384" spans="1:7" x14ac:dyDescent="0.3">
      <c r="A384" s="11"/>
      <c r="B384" s="8"/>
      <c r="C384" s="7" t="str">
        <f>IF(B384="","",IFERROR(INDEX(Vidriería!$C$2:$C$301,MATCH(B384,Vidriería!$A$2:$A$301,0))&amp;" "&amp;INDEX(Vidriería!$D$2:$D$301,MATCH(B384,Vidriería!$A$2:$A$301,0)),"ID no existe"))</f>
        <v/>
      </c>
      <c r="D384" s="8"/>
      <c r="E384" s="8"/>
      <c r="F384" s="8"/>
      <c r="G384" s="13"/>
    </row>
    <row r="385" spans="1:7" x14ac:dyDescent="0.3">
      <c r="A385" s="11"/>
      <c r="B385" s="8"/>
      <c r="C385" s="7" t="str">
        <f>IF(B385="","",IFERROR(INDEX(Vidriería!$C$2:$C$301,MATCH(B385,Vidriería!$A$2:$A$301,0))&amp;" "&amp;INDEX(Vidriería!$D$2:$D$301,MATCH(B385,Vidriería!$A$2:$A$301,0)),"ID no existe"))</f>
        <v/>
      </c>
      <c r="D385" s="8"/>
      <c r="E385" s="8"/>
      <c r="F385" s="8"/>
      <c r="G385" s="13"/>
    </row>
    <row r="386" spans="1:7" x14ac:dyDescent="0.3">
      <c r="A386" s="11"/>
      <c r="B386" s="8"/>
      <c r="C386" s="7" t="str">
        <f>IF(B386="","",IFERROR(INDEX(Vidriería!$C$2:$C$301,MATCH(B386,Vidriería!$A$2:$A$301,0))&amp;" "&amp;INDEX(Vidriería!$D$2:$D$301,MATCH(B386,Vidriería!$A$2:$A$301,0)),"ID no existe"))</f>
        <v/>
      </c>
      <c r="D386" s="8"/>
      <c r="E386" s="8"/>
      <c r="F386" s="8"/>
      <c r="G386" s="13"/>
    </row>
    <row r="387" spans="1:7" x14ac:dyDescent="0.3">
      <c r="A387" s="11"/>
      <c r="B387" s="8"/>
      <c r="C387" s="7" t="str">
        <f>IF(B387="","",IFERROR(INDEX(Vidriería!$C$2:$C$301,MATCH(B387,Vidriería!$A$2:$A$301,0))&amp;" "&amp;INDEX(Vidriería!$D$2:$D$301,MATCH(B387,Vidriería!$A$2:$A$301,0)),"ID no existe"))</f>
        <v/>
      </c>
      <c r="D387" s="8"/>
      <c r="E387" s="8"/>
      <c r="F387" s="8"/>
      <c r="G387" s="13"/>
    </row>
    <row r="388" spans="1:7" x14ac:dyDescent="0.3">
      <c r="A388" s="11"/>
      <c r="B388" s="8"/>
      <c r="C388" s="7" t="str">
        <f>IF(B388="","",IFERROR(INDEX(Vidriería!$C$2:$C$301,MATCH(B388,Vidriería!$A$2:$A$301,0))&amp;" "&amp;INDEX(Vidriería!$D$2:$D$301,MATCH(B388,Vidriería!$A$2:$A$301,0)),"ID no existe"))</f>
        <v/>
      </c>
      <c r="D388" s="8"/>
      <c r="E388" s="8"/>
      <c r="F388" s="8"/>
      <c r="G388" s="13"/>
    </row>
    <row r="389" spans="1:7" x14ac:dyDescent="0.3">
      <c r="A389" s="11"/>
      <c r="B389" s="8"/>
      <c r="C389" s="7" t="str">
        <f>IF(B389="","",IFERROR(INDEX(Vidriería!$C$2:$C$301,MATCH(B389,Vidriería!$A$2:$A$301,0))&amp;" "&amp;INDEX(Vidriería!$D$2:$D$301,MATCH(B389,Vidriería!$A$2:$A$301,0)),"ID no existe"))</f>
        <v/>
      </c>
      <c r="D389" s="8"/>
      <c r="E389" s="8"/>
      <c r="F389" s="8"/>
      <c r="G389" s="13"/>
    </row>
    <row r="390" spans="1:7" x14ac:dyDescent="0.3">
      <c r="A390" s="11"/>
      <c r="B390" s="8"/>
      <c r="C390" s="7" t="str">
        <f>IF(B390="","",IFERROR(INDEX(Vidriería!$C$2:$C$301,MATCH(B390,Vidriería!$A$2:$A$301,0))&amp;" "&amp;INDEX(Vidriería!$D$2:$D$301,MATCH(B390,Vidriería!$A$2:$A$301,0)),"ID no existe"))</f>
        <v/>
      </c>
      <c r="D390" s="8"/>
      <c r="E390" s="8"/>
      <c r="F390" s="8"/>
      <c r="G390" s="13"/>
    </row>
    <row r="391" spans="1:7" x14ac:dyDescent="0.3">
      <c r="A391" s="11"/>
      <c r="B391" s="8"/>
      <c r="C391" s="7" t="str">
        <f>IF(B391="","",IFERROR(INDEX(Vidriería!$C$2:$C$301,MATCH(B391,Vidriería!$A$2:$A$301,0))&amp;" "&amp;INDEX(Vidriería!$D$2:$D$301,MATCH(B391,Vidriería!$A$2:$A$301,0)),"ID no existe"))</f>
        <v/>
      </c>
      <c r="D391" s="8"/>
      <c r="E391" s="8"/>
      <c r="F391" s="8"/>
      <c r="G391" s="13"/>
    </row>
    <row r="392" spans="1:7" x14ac:dyDescent="0.3">
      <c r="A392" s="11"/>
      <c r="B392" s="8"/>
      <c r="C392" s="7" t="str">
        <f>IF(B392="","",IFERROR(INDEX(Vidriería!$C$2:$C$301,MATCH(B392,Vidriería!$A$2:$A$301,0))&amp;" "&amp;INDEX(Vidriería!$D$2:$D$301,MATCH(B392,Vidriería!$A$2:$A$301,0)),"ID no existe"))</f>
        <v/>
      </c>
      <c r="D392" s="8"/>
      <c r="E392" s="8"/>
      <c r="F392" s="8"/>
      <c r="G392" s="13"/>
    </row>
    <row r="393" spans="1:7" x14ac:dyDescent="0.3">
      <c r="A393" s="11"/>
      <c r="B393" s="8"/>
      <c r="C393" s="7" t="str">
        <f>IF(B393="","",IFERROR(INDEX(Vidriería!$C$2:$C$301,MATCH(B393,Vidriería!$A$2:$A$301,0))&amp;" "&amp;INDEX(Vidriería!$D$2:$D$301,MATCH(B393,Vidriería!$A$2:$A$301,0)),"ID no existe"))</f>
        <v/>
      </c>
      <c r="D393" s="8"/>
      <c r="E393" s="8"/>
      <c r="F393" s="8"/>
      <c r="G393" s="13"/>
    </row>
    <row r="394" spans="1:7" x14ac:dyDescent="0.3">
      <c r="A394" s="11"/>
      <c r="B394" s="8"/>
      <c r="C394" s="7" t="str">
        <f>IF(B394="","",IFERROR(INDEX(Vidriería!$C$2:$C$301,MATCH(B394,Vidriería!$A$2:$A$301,0))&amp;" "&amp;INDEX(Vidriería!$D$2:$D$301,MATCH(B394,Vidriería!$A$2:$A$301,0)),"ID no existe"))</f>
        <v/>
      </c>
      <c r="D394" s="8"/>
      <c r="E394" s="8"/>
      <c r="F394" s="8"/>
      <c r="G394" s="13"/>
    </row>
    <row r="395" spans="1:7" x14ac:dyDescent="0.3">
      <c r="A395" s="11"/>
      <c r="B395" s="8"/>
      <c r="C395" s="7" t="str">
        <f>IF(B395="","",IFERROR(INDEX(Vidriería!$C$2:$C$301,MATCH(B395,Vidriería!$A$2:$A$301,0))&amp;" "&amp;INDEX(Vidriería!$D$2:$D$301,MATCH(B395,Vidriería!$A$2:$A$301,0)),"ID no existe"))</f>
        <v/>
      </c>
      <c r="D395" s="8"/>
      <c r="E395" s="8"/>
      <c r="F395" s="8"/>
      <c r="G395" s="13"/>
    </row>
    <row r="396" spans="1:7" x14ac:dyDescent="0.3">
      <c r="A396" s="11"/>
      <c r="B396" s="8"/>
      <c r="C396" s="7" t="str">
        <f>IF(B396="","",IFERROR(INDEX(Vidriería!$C$2:$C$301,MATCH(B396,Vidriería!$A$2:$A$301,0))&amp;" "&amp;INDEX(Vidriería!$D$2:$D$301,MATCH(B396,Vidriería!$A$2:$A$301,0)),"ID no existe"))</f>
        <v/>
      </c>
      <c r="D396" s="8"/>
      <c r="E396" s="8"/>
      <c r="F396" s="8"/>
      <c r="G396" s="13"/>
    </row>
    <row r="397" spans="1:7" x14ac:dyDescent="0.3">
      <c r="A397" s="11"/>
      <c r="B397" s="8"/>
      <c r="C397" s="7" t="str">
        <f>IF(B397="","",IFERROR(INDEX(Vidriería!$C$2:$C$301,MATCH(B397,Vidriería!$A$2:$A$301,0))&amp;" "&amp;INDEX(Vidriería!$D$2:$D$301,MATCH(B397,Vidriería!$A$2:$A$301,0)),"ID no existe"))</f>
        <v/>
      </c>
      <c r="D397" s="8"/>
      <c r="E397" s="8"/>
      <c r="F397" s="8"/>
      <c r="G397" s="13"/>
    </row>
    <row r="398" spans="1:7" x14ac:dyDescent="0.3">
      <c r="A398" s="11"/>
      <c r="B398" s="8"/>
      <c r="C398" s="7" t="str">
        <f>IF(B398="","",IFERROR(INDEX(Vidriería!$C$2:$C$301,MATCH(B398,Vidriería!$A$2:$A$301,0))&amp;" "&amp;INDEX(Vidriería!$D$2:$D$301,MATCH(B398,Vidriería!$A$2:$A$301,0)),"ID no existe"))</f>
        <v/>
      </c>
      <c r="D398" s="8"/>
      <c r="E398" s="8"/>
      <c r="F398" s="8"/>
      <c r="G398" s="13"/>
    </row>
    <row r="399" spans="1:7" x14ac:dyDescent="0.3">
      <c r="A399" s="11"/>
      <c r="B399" s="8"/>
      <c r="C399" s="7" t="str">
        <f>IF(B399="","",IFERROR(INDEX(Vidriería!$C$2:$C$301,MATCH(B399,Vidriería!$A$2:$A$301,0))&amp;" "&amp;INDEX(Vidriería!$D$2:$D$301,MATCH(B399,Vidriería!$A$2:$A$301,0)),"ID no existe"))</f>
        <v/>
      </c>
      <c r="D399" s="8"/>
      <c r="E399" s="8"/>
      <c r="F399" s="8"/>
      <c r="G399" s="13"/>
    </row>
    <row r="400" spans="1:7" x14ac:dyDescent="0.3">
      <c r="A400" s="11"/>
      <c r="B400" s="8"/>
      <c r="C400" s="7" t="str">
        <f>IF(B400="","",IFERROR(INDEX(Vidriería!$C$2:$C$301,MATCH(B400,Vidriería!$A$2:$A$301,0))&amp;" "&amp;INDEX(Vidriería!$D$2:$D$301,MATCH(B400,Vidriería!$A$2:$A$301,0)),"ID no existe"))</f>
        <v/>
      </c>
      <c r="D400" s="8"/>
      <c r="E400" s="8"/>
      <c r="F400" s="8"/>
      <c r="G400" s="13"/>
    </row>
    <row r="401" spans="1:7" x14ac:dyDescent="0.3">
      <c r="A401" s="11"/>
      <c r="B401" s="8"/>
      <c r="C401" s="7" t="str">
        <f>IF(B401="","",IFERROR(INDEX(Vidriería!$C$2:$C$301,MATCH(B401,Vidriería!$A$2:$A$301,0))&amp;" "&amp;INDEX(Vidriería!$D$2:$D$301,MATCH(B401,Vidriería!$A$2:$A$301,0)),"ID no existe"))</f>
        <v/>
      </c>
      <c r="D401" s="8"/>
      <c r="E401" s="8"/>
      <c r="F401" s="8"/>
      <c r="G401" s="13"/>
    </row>
    <row r="402" spans="1:7" x14ac:dyDescent="0.3">
      <c r="A402" s="11"/>
      <c r="B402" s="8"/>
      <c r="C402" s="7" t="str">
        <f>IF(B402="","",IFERROR(INDEX(Vidriería!$C$2:$C$301,MATCH(B402,Vidriería!$A$2:$A$301,0))&amp;" "&amp;INDEX(Vidriería!$D$2:$D$301,MATCH(B402,Vidriería!$A$2:$A$301,0)),"ID no existe"))</f>
        <v/>
      </c>
      <c r="D402" s="8"/>
      <c r="E402" s="8"/>
      <c r="F402" s="8"/>
      <c r="G402" s="13"/>
    </row>
    <row r="403" spans="1:7" x14ac:dyDescent="0.3">
      <c r="A403" s="11"/>
      <c r="B403" s="8"/>
      <c r="C403" s="7" t="str">
        <f>IF(B403="","",IFERROR(INDEX(Vidriería!$C$2:$C$301,MATCH(B403,Vidriería!$A$2:$A$301,0))&amp;" "&amp;INDEX(Vidriería!$D$2:$D$301,MATCH(B403,Vidriería!$A$2:$A$301,0)),"ID no existe"))</f>
        <v/>
      </c>
      <c r="D403" s="8"/>
      <c r="E403" s="8"/>
      <c r="F403" s="8"/>
      <c r="G403" s="13"/>
    </row>
    <row r="404" spans="1:7" x14ac:dyDescent="0.3">
      <c r="A404" s="11"/>
      <c r="B404" s="8"/>
      <c r="C404" s="7" t="str">
        <f>IF(B404="","",IFERROR(INDEX(Vidriería!$C$2:$C$301,MATCH(B404,Vidriería!$A$2:$A$301,0))&amp;" "&amp;INDEX(Vidriería!$D$2:$D$301,MATCH(B404,Vidriería!$A$2:$A$301,0)),"ID no existe"))</f>
        <v/>
      </c>
      <c r="D404" s="8"/>
      <c r="E404" s="8"/>
      <c r="F404" s="8"/>
      <c r="G404" s="13"/>
    </row>
    <row r="405" spans="1:7" x14ac:dyDescent="0.3">
      <c r="A405" s="11"/>
      <c r="B405" s="8"/>
      <c r="C405" s="7" t="str">
        <f>IF(B405="","",IFERROR(INDEX(Vidriería!$C$2:$C$301,MATCH(B405,Vidriería!$A$2:$A$301,0))&amp;" "&amp;INDEX(Vidriería!$D$2:$D$301,MATCH(B405,Vidriería!$A$2:$A$301,0)),"ID no existe"))</f>
        <v/>
      </c>
      <c r="D405" s="8"/>
      <c r="E405" s="8"/>
      <c r="F405" s="8"/>
      <c r="G405" s="13"/>
    </row>
    <row r="406" spans="1:7" x14ac:dyDescent="0.3">
      <c r="A406" s="11"/>
      <c r="B406" s="8"/>
      <c r="C406" s="7" t="str">
        <f>IF(B406="","",IFERROR(INDEX(Vidriería!$C$2:$C$301,MATCH(B406,Vidriería!$A$2:$A$301,0))&amp;" "&amp;INDEX(Vidriería!$D$2:$D$301,MATCH(B406,Vidriería!$A$2:$A$301,0)),"ID no existe"))</f>
        <v/>
      </c>
      <c r="D406" s="8"/>
      <c r="E406" s="8"/>
      <c r="F406" s="8"/>
      <c r="G406" s="13"/>
    </row>
    <row r="407" spans="1:7" x14ac:dyDescent="0.3">
      <c r="A407" s="11"/>
      <c r="B407" s="8"/>
      <c r="C407" s="7" t="str">
        <f>IF(B407="","",IFERROR(INDEX(Vidriería!$C$2:$C$301,MATCH(B407,Vidriería!$A$2:$A$301,0))&amp;" "&amp;INDEX(Vidriería!$D$2:$D$301,MATCH(B407,Vidriería!$A$2:$A$301,0)),"ID no existe"))</f>
        <v/>
      </c>
      <c r="D407" s="8"/>
      <c r="E407" s="8"/>
      <c r="F407" s="8"/>
      <c r="G407" s="13"/>
    </row>
    <row r="408" spans="1:7" x14ac:dyDescent="0.3">
      <c r="A408" s="11"/>
      <c r="B408" s="8"/>
      <c r="C408" s="7" t="str">
        <f>IF(B408="","",IFERROR(INDEX(Vidriería!$C$2:$C$301,MATCH(B408,Vidriería!$A$2:$A$301,0))&amp;" "&amp;INDEX(Vidriería!$D$2:$D$301,MATCH(B408,Vidriería!$A$2:$A$301,0)),"ID no existe"))</f>
        <v/>
      </c>
      <c r="D408" s="8"/>
      <c r="E408" s="8"/>
      <c r="F408" s="8"/>
      <c r="G408" s="13"/>
    </row>
    <row r="409" spans="1:7" x14ac:dyDescent="0.3">
      <c r="A409" s="11"/>
      <c r="B409" s="8"/>
      <c r="C409" s="7" t="str">
        <f>IF(B409="","",IFERROR(INDEX(Vidriería!$C$2:$C$301,MATCH(B409,Vidriería!$A$2:$A$301,0))&amp;" "&amp;INDEX(Vidriería!$D$2:$D$301,MATCH(B409,Vidriería!$A$2:$A$301,0)),"ID no existe"))</f>
        <v/>
      </c>
      <c r="D409" s="8"/>
      <c r="E409" s="8"/>
      <c r="F409" s="8"/>
      <c r="G409" s="13"/>
    </row>
    <row r="410" spans="1:7" x14ac:dyDescent="0.3">
      <c r="A410" s="11"/>
      <c r="B410" s="8"/>
      <c r="C410" s="7" t="str">
        <f>IF(B410="","",IFERROR(INDEX(Vidriería!$C$2:$C$301,MATCH(B410,Vidriería!$A$2:$A$301,0))&amp;" "&amp;INDEX(Vidriería!$D$2:$D$301,MATCH(B410,Vidriería!$A$2:$A$301,0)),"ID no existe"))</f>
        <v/>
      </c>
      <c r="D410" s="8"/>
      <c r="E410" s="8"/>
      <c r="F410" s="8"/>
      <c r="G410" s="13"/>
    </row>
    <row r="411" spans="1:7" x14ac:dyDescent="0.3">
      <c r="A411" s="11"/>
      <c r="B411" s="8"/>
      <c r="C411" s="7" t="str">
        <f>IF(B411="","",IFERROR(INDEX(Vidriería!$C$2:$C$301,MATCH(B411,Vidriería!$A$2:$A$301,0))&amp;" "&amp;INDEX(Vidriería!$D$2:$D$301,MATCH(B411,Vidriería!$A$2:$A$301,0)),"ID no existe"))</f>
        <v/>
      </c>
      <c r="D411" s="8"/>
      <c r="E411" s="8"/>
      <c r="F411" s="8"/>
      <c r="G411" s="13"/>
    </row>
    <row r="412" spans="1:7" x14ac:dyDescent="0.3">
      <c r="A412" s="11"/>
      <c r="B412" s="8"/>
      <c r="C412" s="7" t="str">
        <f>IF(B412="","",IFERROR(INDEX(Vidriería!$C$2:$C$301,MATCH(B412,Vidriería!$A$2:$A$301,0))&amp;" "&amp;INDEX(Vidriería!$D$2:$D$301,MATCH(B412,Vidriería!$A$2:$A$301,0)),"ID no existe"))</f>
        <v/>
      </c>
      <c r="D412" s="8"/>
      <c r="E412" s="8"/>
      <c r="F412" s="8"/>
      <c r="G412" s="13"/>
    </row>
    <row r="413" spans="1:7" x14ac:dyDescent="0.3">
      <c r="A413" s="11"/>
      <c r="B413" s="8"/>
      <c r="C413" s="7" t="str">
        <f>IF(B413="","",IFERROR(INDEX(Vidriería!$C$2:$C$301,MATCH(B413,Vidriería!$A$2:$A$301,0))&amp;" "&amp;INDEX(Vidriería!$D$2:$D$301,MATCH(B413,Vidriería!$A$2:$A$301,0)),"ID no existe"))</f>
        <v/>
      </c>
      <c r="D413" s="8"/>
      <c r="E413" s="8"/>
      <c r="F413" s="8"/>
      <c r="G413" s="13"/>
    </row>
    <row r="414" spans="1:7" x14ac:dyDescent="0.3">
      <c r="A414" s="11"/>
      <c r="B414" s="8"/>
      <c r="C414" s="7" t="str">
        <f>IF(B414="","",IFERROR(INDEX(Vidriería!$C$2:$C$301,MATCH(B414,Vidriería!$A$2:$A$301,0))&amp;" "&amp;INDEX(Vidriería!$D$2:$D$301,MATCH(B414,Vidriería!$A$2:$A$301,0)),"ID no existe"))</f>
        <v/>
      </c>
      <c r="D414" s="8"/>
      <c r="E414" s="8"/>
      <c r="F414" s="8"/>
      <c r="G414" s="13"/>
    </row>
    <row r="415" spans="1:7" x14ac:dyDescent="0.3">
      <c r="A415" s="11"/>
      <c r="B415" s="8"/>
      <c r="C415" s="7" t="str">
        <f>IF(B415="","",IFERROR(INDEX(Vidriería!$C$2:$C$301,MATCH(B415,Vidriería!$A$2:$A$301,0))&amp;" "&amp;INDEX(Vidriería!$D$2:$D$301,MATCH(B415,Vidriería!$A$2:$A$301,0)),"ID no existe"))</f>
        <v/>
      </c>
      <c r="D415" s="8"/>
      <c r="E415" s="8"/>
      <c r="F415" s="8"/>
      <c r="G415" s="13"/>
    </row>
    <row r="416" spans="1:7" x14ac:dyDescent="0.3">
      <c r="A416" s="11"/>
      <c r="B416" s="8"/>
      <c r="C416" s="7" t="str">
        <f>IF(B416="","",IFERROR(INDEX(Vidriería!$C$2:$C$301,MATCH(B416,Vidriería!$A$2:$A$301,0))&amp;" "&amp;INDEX(Vidriería!$D$2:$D$301,MATCH(B416,Vidriería!$A$2:$A$301,0)),"ID no existe"))</f>
        <v/>
      </c>
      <c r="D416" s="8"/>
      <c r="E416" s="8"/>
      <c r="F416" s="8"/>
      <c r="G416" s="13"/>
    </row>
    <row r="417" spans="1:7" x14ac:dyDescent="0.3">
      <c r="A417" s="11"/>
      <c r="B417" s="8"/>
      <c r="C417" s="7" t="str">
        <f>IF(B417="","",IFERROR(INDEX(Vidriería!$C$2:$C$301,MATCH(B417,Vidriería!$A$2:$A$301,0))&amp;" "&amp;INDEX(Vidriería!$D$2:$D$301,MATCH(B417,Vidriería!$A$2:$A$301,0)),"ID no existe"))</f>
        <v/>
      </c>
      <c r="D417" s="8"/>
      <c r="E417" s="8"/>
      <c r="F417" s="8"/>
      <c r="G417" s="13"/>
    </row>
    <row r="418" spans="1:7" x14ac:dyDescent="0.3">
      <c r="A418" s="11"/>
      <c r="B418" s="8"/>
      <c r="C418" s="7" t="str">
        <f>IF(B418="","",IFERROR(INDEX(Vidriería!$C$2:$C$301,MATCH(B418,Vidriería!$A$2:$A$301,0))&amp;" "&amp;INDEX(Vidriería!$D$2:$D$301,MATCH(B418,Vidriería!$A$2:$A$301,0)),"ID no existe"))</f>
        <v/>
      </c>
      <c r="D418" s="8"/>
      <c r="E418" s="8"/>
      <c r="F418" s="8"/>
      <c r="G418" s="13"/>
    </row>
    <row r="419" spans="1:7" x14ac:dyDescent="0.3">
      <c r="A419" s="11"/>
      <c r="B419" s="8"/>
      <c r="C419" s="7" t="str">
        <f>IF(B419="","",IFERROR(INDEX(Vidriería!$C$2:$C$301,MATCH(B419,Vidriería!$A$2:$A$301,0))&amp;" "&amp;INDEX(Vidriería!$D$2:$D$301,MATCH(B419,Vidriería!$A$2:$A$301,0)),"ID no existe"))</f>
        <v/>
      </c>
      <c r="D419" s="8"/>
      <c r="E419" s="8"/>
      <c r="F419" s="8"/>
      <c r="G419" s="13"/>
    </row>
    <row r="420" spans="1:7" x14ac:dyDescent="0.3">
      <c r="A420" s="11"/>
      <c r="B420" s="8"/>
      <c r="C420" s="7" t="str">
        <f>IF(B420="","",IFERROR(INDEX(Vidriería!$C$2:$C$301,MATCH(B420,Vidriería!$A$2:$A$301,0))&amp;" "&amp;INDEX(Vidriería!$D$2:$D$301,MATCH(B420,Vidriería!$A$2:$A$301,0)),"ID no existe"))</f>
        <v/>
      </c>
      <c r="D420" s="8"/>
      <c r="E420" s="8"/>
      <c r="F420" s="8"/>
      <c r="G420" s="13"/>
    </row>
    <row r="421" spans="1:7" x14ac:dyDescent="0.3">
      <c r="A421" s="11"/>
      <c r="B421" s="8"/>
      <c r="C421" s="7" t="str">
        <f>IF(B421="","",IFERROR(INDEX(Vidriería!$C$2:$C$301,MATCH(B421,Vidriería!$A$2:$A$301,0))&amp;" "&amp;INDEX(Vidriería!$D$2:$D$301,MATCH(B421,Vidriería!$A$2:$A$301,0)),"ID no existe"))</f>
        <v/>
      </c>
      <c r="D421" s="8"/>
      <c r="E421" s="8"/>
      <c r="F421" s="8"/>
      <c r="G421" s="13"/>
    </row>
    <row r="422" spans="1:7" x14ac:dyDescent="0.3">
      <c r="A422" s="11"/>
      <c r="B422" s="8"/>
      <c r="C422" s="7" t="str">
        <f>IF(B422="","",IFERROR(INDEX(Vidriería!$C$2:$C$301,MATCH(B422,Vidriería!$A$2:$A$301,0))&amp;" "&amp;INDEX(Vidriería!$D$2:$D$301,MATCH(B422,Vidriería!$A$2:$A$301,0)),"ID no existe"))</f>
        <v/>
      </c>
      <c r="D422" s="8"/>
      <c r="E422" s="8"/>
      <c r="F422" s="8"/>
      <c r="G422" s="13"/>
    </row>
    <row r="423" spans="1:7" x14ac:dyDescent="0.3">
      <c r="A423" s="11"/>
      <c r="B423" s="8"/>
      <c r="C423" s="7" t="str">
        <f>IF(B423="","",IFERROR(INDEX(Vidriería!$C$2:$C$301,MATCH(B423,Vidriería!$A$2:$A$301,0))&amp;" "&amp;INDEX(Vidriería!$D$2:$D$301,MATCH(B423,Vidriería!$A$2:$A$301,0)),"ID no existe"))</f>
        <v/>
      </c>
      <c r="D423" s="8"/>
      <c r="E423" s="8"/>
      <c r="F423" s="8"/>
      <c r="G423" s="13"/>
    </row>
    <row r="424" spans="1:7" x14ac:dyDescent="0.3">
      <c r="A424" s="11"/>
      <c r="B424" s="8"/>
      <c r="C424" s="7" t="str">
        <f>IF(B424="","",IFERROR(INDEX(Vidriería!$C$2:$C$301,MATCH(B424,Vidriería!$A$2:$A$301,0))&amp;" "&amp;INDEX(Vidriería!$D$2:$D$301,MATCH(B424,Vidriería!$A$2:$A$301,0)),"ID no existe"))</f>
        <v/>
      </c>
      <c r="D424" s="8"/>
      <c r="E424" s="8"/>
      <c r="F424" s="8"/>
      <c r="G424" s="13"/>
    </row>
    <row r="425" spans="1:7" x14ac:dyDescent="0.3">
      <c r="A425" s="11"/>
      <c r="B425" s="8"/>
      <c r="C425" s="7" t="str">
        <f>IF(B425="","",IFERROR(INDEX(Vidriería!$C$2:$C$301,MATCH(B425,Vidriería!$A$2:$A$301,0))&amp;" "&amp;INDEX(Vidriería!$D$2:$D$301,MATCH(B425,Vidriería!$A$2:$A$301,0)),"ID no existe"))</f>
        <v/>
      </c>
      <c r="D425" s="8"/>
      <c r="E425" s="8"/>
      <c r="F425" s="8"/>
      <c r="G425" s="13"/>
    </row>
    <row r="426" spans="1:7" x14ac:dyDescent="0.3">
      <c r="A426" s="11"/>
      <c r="B426" s="8"/>
      <c r="C426" s="7" t="str">
        <f>IF(B426="","",IFERROR(INDEX(Vidriería!$C$2:$C$301,MATCH(B426,Vidriería!$A$2:$A$301,0))&amp;" "&amp;INDEX(Vidriería!$D$2:$D$301,MATCH(B426,Vidriería!$A$2:$A$301,0)),"ID no existe"))</f>
        <v/>
      </c>
      <c r="D426" s="8"/>
      <c r="E426" s="8"/>
      <c r="F426" s="8"/>
      <c r="G426" s="13"/>
    </row>
    <row r="427" spans="1:7" x14ac:dyDescent="0.3">
      <c r="A427" s="11"/>
      <c r="B427" s="8"/>
      <c r="C427" s="7" t="str">
        <f>IF(B427="","",IFERROR(INDEX(Vidriería!$C$2:$C$301,MATCH(B427,Vidriería!$A$2:$A$301,0))&amp;" "&amp;INDEX(Vidriería!$D$2:$D$301,MATCH(B427,Vidriería!$A$2:$A$301,0)),"ID no existe"))</f>
        <v/>
      </c>
      <c r="D427" s="8"/>
      <c r="E427" s="8"/>
      <c r="F427" s="8"/>
      <c r="G427" s="13"/>
    </row>
    <row r="428" spans="1:7" x14ac:dyDescent="0.3">
      <c r="A428" s="11"/>
      <c r="B428" s="8"/>
      <c r="C428" s="7" t="str">
        <f>IF(B428="","",IFERROR(INDEX(Vidriería!$C$2:$C$301,MATCH(B428,Vidriería!$A$2:$A$301,0))&amp;" "&amp;INDEX(Vidriería!$D$2:$D$301,MATCH(B428,Vidriería!$A$2:$A$301,0)),"ID no existe"))</f>
        <v/>
      </c>
      <c r="D428" s="8"/>
      <c r="E428" s="8"/>
      <c r="F428" s="8"/>
      <c r="G428" s="13"/>
    </row>
    <row r="429" spans="1:7" x14ac:dyDescent="0.3">
      <c r="A429" s="11"/>
      <c r="B429" s="8"/>
      <c r="C429" s="7" t="str">
        <f>IF(B429="","",IFERROR(INDEX(Vidriería!$C$2:$C$301,MATCH(B429,Vidriería!$A$2:$A$301,0))&amp;" "&amp;INDEX(Vidriería!$D$2:$D$301,MATCH(B429,Vidriería!$A$2:$A$301,0)),"ID no existe"))</f>
        <v/>
      </c>
      <c r="D429" s="8"/>
      <c r="E429" s="8"/>
      <c r="F429" s="8"/>
      <c r="G429" s="13"/>
    </row>
    <row r="430" spans="1:7" x14ac:dyDescent="0.3">
      <c r="A430" s="11"/>
      <c r="B430" s="8"/>
      <c r="C430" s="7" t="str">
        <f>IF(B430="","",IFERROR(INDEX(Vidriería!$C$2:$C$301,MATCH(B430,Vidriería!$A$2:$A$301,0))&amp;" "&amp;INDEX(Vidriería!$D$2:$D$301,MATCH(B430,Vidriería!$A$2:$A$301,0)),"ID no existe"))</f>
        <v/>
      </c>
      <c r="D430" s="8"/>
      <c r="E430" s="8"/>
      <c r="F430" s="8"/>
      <c r="G430" s="13"/>
    </row>
    <row r="431" spans="1:7" x14ac:dyDescent="0.3">
      <c r="A431" s="11"/>
      <c r="B431" s="8"/>
      <c r="C431" s="7" t="str">
        <f>IF(B431="","",IFERROR(INDEX(Vidriería!$C$2:$C$301,MATCH(B431,Vidriería!$A$2:$A$301,0))&amp;" "&amp;INDEX(Vidriería!$D$2:$D$301,MATCH(B431,Vidriería!$A$2:$A$301,0)),"ID no existe"))</f>
        <v/>
      </c>
      <c r="D431" s="8"/>
      <c r="E431" s="8"/>
      <c r="F431" s="8"/>
      <c r="G431" s="13"/>
    </row>
    <row r="432" spans="1:7" x14ac:dyDescent="0.3">
      <c r="A432" s="11"/>
      <c r="B432" s="8"/>
      <c r="C432" s="7" t="str">
        <f>IF(B432="","",IFERROR(INDEX(Vidriería!$C$2:$C$301,MATCH(B432,Vidriería!$A$2:$A$301,0))&amp;" "&amp;INDEX(Vidriería!$D$2:$D$301,MATCH(B432,Vidriería!$A$2:$A$301,0)),"ID no existe"))</f>
        <v/>
      </c>
      <c r="D432" s="8"/>
      <c r="E432" s="8"/>
      <c r="F432" s="8"/>
      <c r="G432" s="13"/>
    </row>
    <row r="433" spans="1:7" x14ac:dyDescent="0.3">
      <c r="A433" s="11"/>
      <c r="B433" s="8"/>
      <c r="C433" s="7" t="str">
        <f>IF(B433="","",IFERROR(INDEX(Vidriería!$C$2:$C$301,MATCH(B433,Vidriería!$A$2:$A$301,0))&amp;" "&amp;INDEX(Vidriería!$D$2:$D$301,MATCH(B433,Vidriería!$A$2:$A$301,0)),"ID no existe"))</f>
        <v/>
      </c>
      <c r="D433" s="8"/>
      <c r="E433" s="8"/>
      <c r="F433" s="8"/>
      <c r="G433" s="13"/>
    </row>
    <row r="434" spans="1:7" x14ac:dyDescent="0.3">
      <c r="A434" s="11"/>
      <c r="B434" s="8"/>
      <c r="C434" s="7" t="str">
        <f>IF(B434="","",IFERROR(INDEX(Vidriería!$C$2:$C$301,MATCH(B434,Vidriería!$A$2:$A$301,0))&amp;" "&amp;INDEX(Vidriería!$D$2:$D$301,MATCH(B434,Vidriería!$A$2:$A$301,0)),"ID no existe"))</f>
        <v/>
      </c>
      <c r="D434" s="8"/>
      <c r="E434" s="8"/>
      <c r="F434" s="8"/>
      <c r="G434" s="13"/>
    </row>
    <row r="435" spans="1:7" x14ac:dyDescent="0.3">
      <c r="A435" s="11"/>
      <c r="B435" s="8"/>
      <c r="C435" s="7" t="str">
        <f>IF(B435="","",IFERROR(INDEX(Vidriería!$C$2:$C$301,MATCH(B435,Vidriería!$A$2:$A$301,0))&amp;" "&amp;INDEX(Vidriería!$D$2:$D$301,MATCH(B435,Vidriería!$A$2:$A$301,0)),"ID no existe"))</f>
        <v/>
      </c>
      <c r="D435" s="8"/>
      <c r="E435" s="8"/>
      <c r="F435" s="8"/>
      <c r="G435" s="13"/>
    </row>
    <row r="436" spans="1:7" x14ac:dyDescent="0.3">
      <c r="A436" s="11"/>
      <c r="B436" s="8"/>
      <c r="C436" s="7" t="str">
        <f>IF(B436="","",IFERROR(INDEX(Vidriería!$C$2:$C$301,MATCH(B436,Vidriería!$A$2:$A$301,0))&amp;" "&amp;INDEX(Vidriería!$D$2:$D$301,MATCH(B436,Vidriería!$A$2:$A$301,0)),"ID no existe"))</f>
        <v/>
      </c>
      <c r="D436" s="8"/>
      <c r="E436" s="8"/>
      <c r="F436" s="8"/>
      <c r="G436" s="13"/>
    </row>
    <row r="437" spans="1:7" x14ac:dyDescent="0.3">
      <c r="A437" s="11"/>
      <c r="B437" s="8"/>
      <c r="C437" s="7" t="str">
        <f>IF(B437="","",IFERROR(INDEX(Vidriería!$C$2:$C$301,MATCH(B437,Vidriería!$A$2:$A$301,0))&amp;" "&amp;INDEX(Vidriería!$D$2:$D$301,MATCH(B437,Vidriería!$A$2:$A$301,0)),"ID no existe"))</f>
        <v/>
      </c>
      <c r="D437" s="8"/>
      <c r="E437" s="8"/>
      <c r="F437" s="8"/>
      <c r="G437" s="13"/>
    </row>
    <row r="438" spans="1:7" x14ac:dyDescent="0.3">
      <c r="A438" s="11"/>
      <c r="B438" s="8"/>
      <c r="C438" s="7" t="str">
        <f>IF(B438="","",IFERROR(INDEX(Vidriería!$C$2:$C$301,MATCH(B438,Vidriería!$A$2:$A$301,0))&amp;" "&amp;INDEX(Vidriería!$D$2:$D$301,MATCH(B438,Vidriería!$A$2:$A$301,0)),"ID no existe"))</f>
        <v/>
      </c>
      <c r="D438" s="8"/>
      <c r="E438" s="8"/>
      <c r="F438" s="8"/>
      <c r="G438" s="13"/>
    </row>
    <row r="439" spans="1:7" x14ac:dyDescent="0.3">
      <c r="A439" s="11"/>
      <c r="B439" s="8"/>
      <c r="C439" s="7" t="str">
        <f>IF(B439="","",IFERROR(INDEX(Vidriería!$C$2:$C$301,MATCH(B439,Vidriería!$A$2:$A$301,0))&amp;" "&amp;INDEX(Vidriería!$D$2:$D$301,MATCH(B439,Vidriería!$A$2:$A$301,0)),"ID no existe"))</f>
        <v/>
      </c>
      <c r="D439" s="8"/>
      <c r="E439" s="8"/>
      <c r="F439" s="8"/>
      <c r="G439" s="13"/>
    </row>
    <row r="440" spans="1:7" x14ac:dyDescent="0.3">
      <c r="A440" s="11"/>
      <c r="B440" s="8"/>
      <c r="C440" s="7" t="str">
        <f>IF(B440="","",IFERROR(INDEX(Vidriería!$C$2:$C$301,MATCH(B440,Vidriería!$A$2:$A$301,0))&amp;" "&amp;INDEX(Vidriería!$D$2:$D$301,MATCH(B440,Vidriería!$A$2:$A$301,0)),"ID no existe"))</f>
        <v/>
      </c>
      <c r="D440" s="8"/>
      <c r="E440" s="8"/>
      <c r="F440" s="8"/>
      <c r="G440" s="13"/>
    </row>
    <row r="441" spans="1:7" x14ac:dyDescent="0.3">
      <c r="A441" s="11"/>
      <c r="B441" s="8"/>
      <c r="C441" s="7" t="str">
        <f>IF(B441="","",IFERROR(INDEX(Vidriería!$C$2:$C$301,MATCH(B441,Vidriería!$A$2:$A$301,0))&amp;" "&amp;INDEX(Vidriería!$D$2:$D$301,MATCH(B441,Vidriería!$A$2:$A$301,0)),"ID no existe"))</f>
        <v/>
      </c>
      <c r="D441" s="8"/>
      <c r="E441" s="8"/>
      <c r="F441" s="8"/>
      <c r="G441" s="13"/>
    </row>
    <row r="442" spans="1:7" x14ac:dyDescent="0.3">
      <c r="A442" s="11"/>
      <c r="B442" s="8"/>
      <c r="C442" s="7" t="str">
        <f>IF(B442="","",IFERROR(INDEX(Vidriería!$C$2:$C$301,MATCH(B442,Vidriería!$A$2:$A$301,0))&amp;" "&amp;INDEX(Vidriería!$D$2:$D$301,MATCH(B442,Vidriería!$A$2:$A$301,0)),"ID no existe"))</f>
        <v/>
      </c>
      <c r="D442" s="8"/>
      <c r="E442" s="8"/>
      <c r="F442" s="8"/>
      <c r="G442" s="13"/>
    </row>
    <row r="443" spans="1:7" x14ac:dyDescent="0.3">
      <c r="A443" s="11"/>
      <c r="B443" s="8"/>
      <c r="C443" s="7" t="str">
        <f>IF(B443="","",IFERROR(INDEX(Vidriería!$C$2:$C$301,MATCH(B443,Vidriería!$A$2:$A$301,0))&amp;" "&amp;INDEX(Vidriería!$D$2:$D$301,MATCH(B443,Vidriería!$A$2:$A$301,0)),"ID no existe"))</f>
        <v/>
      </c>
      <c r="D443" s="8"/>
      <c r="E443" s="8"/>
      <c r="F443" s="8"/>
      <c r="G443" s="13"/>
    </row>
    <row r="444" spans="1:7" x14ac:dyDescent="0.3">
      <c r="A444" s="11"/>
      <c r="B444" s="8"/>
      <c r="C444" s="7" t="str">
        <f>IF(B444="","",IFERROR(INDEX(Vidriería!$C$2:$C$301,MATCH(B444,Vidriería!$A$2:$A$301,0))&amp;" "&amp;INDEX(Vidriería!$D$2:$D$301,MATCH(B444,Vidriería!$A$2:$A$301,0)),"ID no existe"))</f>
        <v/>
      </c>
      <c r="D444" s="8"/>
      <c r="E444" s="8"/>
      <c r="F444" s="8"/>
      <c r="G444" s="13"/>
    </row>
    <row r="445" spans="1:7" x14ac:dyDescent="0.3">
      <c r="A445" s="11"/>
      <c r="B445" s="8"/>
      <c r="C445" s="7" t="str">
        <f>IF(B445="","",IFERROR(INDEX(Vidriería!$C$2:$C$301,MATCH(B445,Vidriería!$A$2:$A$301,0))&amp;" "&amp;INDEX(Vidriería!$D$2:$D$301,MATCH(B445,Vidriería!$A$2:$A$301,0)),"ID no existe"))</f>
        <v/>
      </c>
      <c r="D445" s="8"/>
      <c r="E445" s="8"/>
      <c r="F445" s="8"/>
      <c r="G445" s="13"/>
    </row>
    <row r="446" spans="1:7" x14ac:dyDescent="0.3">
      <c r="A446" s="11"/>
      <c r="B446" s="8"/>
      <c r="C446" s="7" t="str">
        <f>IF(B446="","",IFERROR(INDEX(Vidriería!$C$2:$C$301,MATCH(B446,Vidriería!$A$2:$A$301,0))&amp;" "&amp;INDEX(Vidriería!$D$2:$D$301,MATCH(B446,Vidriería!$A$2:$A$301,0)),"ID no existe"))</f>
        <v/>
      </c>
      <c r="D446" s="8"/>
      <c r="E446" s="8"/>
      <c r="F446" s="8"/>
      <c r="G446" s="13"/>
    </row>
    <row r="447" spans="1:7" x14ac:dyDescent="0.3">
      <c r="A447" s="11"/>
      <c r="B447" s="8"/>
      <c r="C447" s="7" t="str">
        <f>IF(B447="","",IFERROR(INDEX(Vidriería!$C$2:$C$301,MATCH(B447,Vidriería!$A$2:$A$301,0))&amp;" "&amp;INDEX(Vidriería!$D$2:$D$301,MATCH(B447,Vidriería!$A$2:$A$301,0)),"ID no existe"))</f>
        <v/>
      </c>
      <c r="D447" s="8"/>
      <c r="E447" s="8"/>
      <c r="F447" s="8"/>
      <c r="G447" s="13"/>
    </row>
    <row r="448" spans="1:7" x14ac:dyDescent="0.3">
      <c r="A448" s="11"/>
      <c r="B448" s="8"/>
      <c r="C448" s="7" t="str">
        <f>IF(B448="","",IFERROR(INDEX(Vidriería!$C$2:$C$301,MATCH(B448,Vidriería!$A$2:$A$301,0))&amp;" "&amp;INDEX(Vidriería!$D$2:$D$301,MATCH(B448,Vidriería!$A$2:$A$301,0)),"ID no existe"))</f>
        <v/>
      </c>
      <c r="D448" s="8"/>
      <c r="E448" s="8"/>
      <c r="F448" s="8"/>
      <c r="G448" s="13"/>
    </row>
    <row r="449" spans="1:7" x14ac:dyDescent="0.3">
      <c r="A449" s="11"/>
      <c r="B449" s="8"/>
      <c r="C449" s="7" t="str">
        <f>IF(B449="","",IFERROR(INDEX(Vidriería!$C$2:$C$301,MATCH(B449,Vidriería!$A$2:$A$301,0))&amp;" "&amp;INDEX(Vidriería!$D$2:$D$301,MATCH(B449,Vidriería!$A$2:$A$301,0)),"ID no existe"))</f>
        <v/>
      </c>
      <c r="D449" s="8"/>
      <c r="E449" s="8"/>
      <c r="F449" s="8"/>
      <c r="G449" s="13"/>
    </row>
    <row r="450" spans="1:7" x14ac:dyDescent="0.3">
      <c r="A450" s="11"/>
      <c r="B450" s="8"/>
      <c r="C450" s="7" t="str">
        <f>IF(B450="","",IFERROR(INDEX(Vidriería!$C$2:$C$301,MATCH(B450,Vidriería!$A$2:$A$301,0))&amp;" "&amp;INDEX(Vidriería!$D$2:$D$301,MATCH(B450,Vidriería!$A$2:$A$301,0)),"ID no existe"))</f>
        <v/>
      </c>
      <c r="D450" s="8"/>
      <c r="E450" s="8"/>
      <c r="F450" s="8"/>
      <c r="G450" s="13"/>
    </row>
    <row r="451" spans="1:7" x14ac:dyDescent="0.3">
      <c r="A451" s="11"/>
      <c r="B451" s="8"/>
      <c r="C451" s="7" t="str">
        <f>IF(B451="","",IFERROR(INDEX(Vidriería!$C$2:$C$301,MATCH(B451,Vidriería!$A$2:$A$301,0))&amp;" "&amp;INDEX(Vidriería!$D$2:$D$301,MATCH(B451,Vidriería!$A$2:$A$301,0)),"ID no existe"))</f>
        <v/>
      </c>
      <c r="D451" s="8"/>
      <c r="E451" s="8"/>
      <c r="F451" s="8"/>
      <c r="G451" s="13"/>
    </row>
    <row r="452" spans="1:7" x14ac:dyDescent="0.3">
      <c r="A452" s="11"/>
      <c r="B452" s="8"/>
      <c r="C452" s="7" t="str">
        <f>IF(B452="","",IFERROR(INDEX(Vidriería!$C$2:$C$301,MATCH(B452,Vidriería!$A$2:$A$301,0))&amp;" "&amp;INDEX(Vidriería!$D$2:$D$301,MATCH(B452,Vidriería!$A$2:$A$301,0)),"ID no existe"))</f>
        <v/>
      </c>
      <c r="D452" s="8"/>
      <c r="E452" s="8"/>
      <c r="F452" s="8"/>
      <c r="G452" s="13"/>
    </row>
    <row r="453" spans="1:7" x14ac:dyDescent="0.3">
      <c r="A453" s="11"/>
      <c r="B453" s="8"/>
      <c r="C453" s="7" t="str">
        <f>IF(B453="","",IFERROR(INDEX(Vidriería!$C$2:$C$301,MATCH(B453,Vidriería!$A$2:$A$301,0))&amp;" "&amp;INDEX(Vidriería!$D$2:$D$301,MATCH(B453,Vidriería!$A$2:$A$301,0)),"ID no existe"))</f>
        <v/>
      </c>
      <c r="D453" s="8"/>
      <c r="E453" s="8"/>
      <c r="F453" s="8"/>
      <c r="G453" s="13"/>
    </row>
    <row r="454" spans="1:7" x14ac:dyDescent="0.3">
      <c r="A454" s="11"/>
      <c r="B454" s="8"/>
      <c r="C454" s="7" t="str">
        <f>IF(B454="","",IFERROR(INDEX(Vidriería!$C$2:$C$301,MATCH(B454,Vidriería!$A$2:$A$301,0))&amp;" "&amp;INDEX(Vidriería!$D$2:$D$301,MATCH(B454,Vidriería!$A$2:$A$301,0)),"ID no existe"))</f>
        <v/>
      </c>
      <c r="D454" s="8"/>
      <c r="E454" s="8"/>
      <c r="F454" s="8"/>
      <c r="G454" s="13"/>
    </row>
    <row r="455" spans="1:7" x14ac:dyDescent="0.3">
      <c r="A455" s="11"/>
      <c r="B455" s="8"/>
      <c r="C455" s="7" t="str">
        <f>IF(B455="","",IFERROR(INDEX(Vidriería!$C$2:$C$301,MATCH(B455,Vidriería!$A$2:$A$301,0))&amp;" "&amp;INDEX(Vidriería!$D$2:$D$301,MATCH(B455,Vidriería!$A$2:$A$301,0)),"ID no existe"))</f>
        <v/>
      </c>
      <c r="D455" s="8"/>
      <c r="E455" s="8"/>
      <c r="F455" s="8"/>
      <c r="G455" s="13"/>
    </row>
    <row r="456" spans="1:7" x14ac:dyDescent="0.3">
      <c r="A456" s="11"/>
      <c r="B456" s="8"/>
      <c r="C456" s="7" t="str">
        <f>IF(B456="","",IFERROR(INDEX(Vidriería!$C$2:$C$301,MATCH(B456,Vidriería!$A$2:$A$301,0))&amp;" "&amp;INDEX(Vidriería!$D$2:$D$301,MATCH(B456,Vidriería!$A$2:$A$301,0)),"ID no existe"))</f>
        <v/>
      </c>
      <c r="D456" s="8"/>
      <c r="E456" s="8"/>
      <c r="F456" s="8"/>
      <c r="G456" s="13"/>
    </row>
    <row r="457" spans="1:7" x14ac:dyDescent="0.3">
      <c r="A457" s="11"/>
      <c r="B457" s="8"/>
      <c r="C457" s="7" t="str">
        <f>IF(B457="","",IFERROR(INDEX(Vidriería!$C$2:$C$301,MATCH(B457,Vidriería!$A$2:$A$301,0))&amp;" "&amp;INDEX(Vidriería!$D$2:$D$301,MATCH(B457,Vidriería!$A$2:$A$301,0)),"ID no existe"))</f>
        <v/>
      </c>
      <c r="D457" s="8"/>
      <c r="E457" s="8"/>
      <c r="F457" s="8"/>
      <c r="G457" s="13"/>
    </row>
    <row r="458" spans="1:7" x14ac:dyDescent="0.3">
      <c r="A458" s="11"/>
      <c r="B458" s="8"/>
      <c r="C458" s="7" t="str">
        <f>IF(B458="","",IFERROR(INDEX(Vidriería!$C$2:$C$301,MATCH(B458,Vidriería!$A$2:$A$301,0))&amp;" "&amp;INDEX(Vidriería!$D$2:$D$301,MATCH(B458,Vidriería!$A$2:$A$301,0)),"ID no existe"))</f>
        <v/>
      </c>
      <c r="D458" s="8"/>
      <c r="E458" s="8"/>
      <c r="F458" s="8"/>
      <c r="G458" s="13"/>
    </row>
    <row r="459" spans="1:7" x14ac:dyDescent="0.3">
      <c r="A459" s="11"/>
      <c r="B459" s="8"/>
      <c r="C459" s="7" t="str">
        <f>IF(B459="","",IFERROR(INDEX(Vidriería!$C$2:$C$301,MATCH(B459,Vidriería!$A$2:$A$301,0))&amp;" "&amp;INDEX(Vidriería!$D$2:$D$301,MATCH(B459,Vidriería!$A$2:$A$301,0)),"ID no existe"))</f>
        <v/>
      </c>
      <c r="D459" s="8"/>
      <c r="E459" s="8"/>
      <c r="F459" s="8"/>
      <c r="G459" s="13"/>
    </row>
    <row r="460" spans="1:7" x14ac:dyDescent="0.3">
      <c r="A460" s="11"/>
      <c r="B460" s="8"/>
      <c r="C460" s="7" t="str">
        <f>IF(B460="","",IFERROR(INDEX(Vidriería!$C$2:$C$301,MATCH(B460,Vidriería!$A$2:$A$301,0))&amp;" "&amp;INDEX(Vidriería!$D$2:$D$301,MATCH(B460,Vidriería!$A$2:$A$301,0)),"ID no existe"))</f>
        <v/>
      </c>
      <c r="D460" s="8"/>
      <c r="E460" s="8"/>
      <c r="F460" s="8"/>
      <c r="G460" s="13"/>
    </row>
    <row r="461" spans="1:7" x14ac:dyDescent="0.3">
      <c r="A461" s="11"/>
      <c r="B461" s="8"/>
      <c r="C461" s="7" t="str">
        <f>IF(B461="","",IFERROR(INDEX(Vidriería!$C$2:$C$301,MATCH(B461,Vidriería!$A$2:$A$301,0))&amp;" "&amp;INDEX(Vidriería!$D$2:$D$301,MATCH(B461,Vidriería!$A$2:$A$301,0)),"ID no existe"))</f>
        <v/>
      </c>
      <c r="D461" s="8"/>
      <c r="E461" s="8"/>
      <c r="F461" s="8"/>
      <c r="G461" s="13"/>
    </row>
    <row r="462" spans="1:7" x14ac:dyDescent="0.3">
      <c r="A462" s="11"/>
      <c r="B462" s="8"/>
      <c r="C462" s="7" t="str">
        <f>IF(B462="","",IFERROR(INDEX(Vidriería!$C$2:$C$301,MATCH(B462,Vidriería!$A$2:$A$301,0))&amp;" "&amp;INDEX(Vidriería!$D$2:$D$301,MATCH(B462,Vidriería!$A$2:$A$301,0)),"ID no existe"))</f>
        <v/>
      </c>
      <c r="D462" s="8"/>
      <c r="E462" s="8"/>
      <c r="F462" s="8"/>
      <c r="G462" s="13"/>
    </row>
    <row r="463" spans="1:7" x14ac:dyDescent="0.3">
      <c r="A463" s="11"/>
      <c r="B463" s="8"/>
      <c r="C463" s="7" t="str">
        <f>IF(B463="","",IFERROR(INDEX(Vidriería!$C$2:$C$301,MATCH(B463,Vidriería!$A$2:$A$301,0))&amp;" "&amp;INDEX(Vidriería!$D$2:$D$301,MATCH(B463,Vidriería!$A$2:$A$301,0)),"ID no existe"))</f>
        <v/>
      </c>
      <c r="D463" s="8"/>
      <c r="E463" s="8"/>
      <c r="F463" s="8"/>
      <c r="G463" s="13"/>
    </row>
    <row r="464" spans="1:7" x14ac:dyDescent="0.3">
      <c r="A464" s="11"/>
      <c r="B464" s="8"/>
      <c r="C464" s="7" t="str">
        <f>IF(B464="","",IFERROR(INDEX(Vidriería!$C$2:$C$301,MATCH(B464,Vidriería!$A$2:$A$301,0))&amp;" "&amp;INDEX(Vidriería!$D$2:$D$301,MATCH(B464,Vidriería!$A$2:$A$301,0)),"ID no existe"))</f>
        <v/>
      </c>
      <c r="D464" s="8"/>
      <c r="E464" s="8"/>
      <c r="F464" s="8"/>
      <c r="G464" s="13"/>
    </row>
    <row r="465" spans="1:7" x14ac:dyDescent="0.3">
      <c r="A465" s="11"/>
      <c r="B465" s="8"/>
      <c r="C465" s="7" t="str">
        <f>IF(B465="","",IFERROR(INDEX(Vidriería!$C$2:$C$301,MATCH(B465,Vidriería!$A$2:$A$301,0))&amp;" "&amp;INDEX(Vidriería!$D$2:$D$301,MATCH(B465,Vidriería!$A$2:$A$301,0)),"ID no existe"))</f>
        <v/>
      </c>
      <c r="D465" s="8"/>
      <c r="E465" s="8"/>
      <c r="F465" s="8"/>
      <c r="G465" s="13"/>
    </row>
    <row r="466" spans="1:7" x14ac:dyDescent="0.3">
      <c r="A466" s="11"/>
      <c r="B466" s="8"/>
      <c r="C466" s="7" t="str">
        <f>IF(B466="","",IFERROR(INDEX(Vidriería!$C$2:$C$301,MATCH(B466,Vidriería!$A$2:$A$301,0))&amp;" "&amp;INDEX(Vidriería!$D$2:$D$301,MATCH(B466,Vidriería!$A$2:$A$301,0)),"ID no existe"))</f>
        <v/>
      </c>
      <c r="D466" s="8"/>
      <c r="E466" s="8"/>
      <c r="F466" s="8"/>
      <c r="G466" s="13"/>
    </row>
    <row r="467" spans="1:7" x14ac:dyDescent="0.3">
      <c r="A467" s="11"/>
      <c r="B467" s="8"/>
      <c r="C467" s="7" t="str">
        <f>IF(B467="","",IFERROR(INDEX(Vidriería!$C$2:$C$301,MATCH(B467,Vidriería!$A$2:$A$301,0))&amp;" "&amp;INDEX(Vidriería!$D$2:$D$301,MATCH(B467,Vidriería!$A$2:$A$301,0)),"ID no existe"))</f>
        <v/>
      </c>
      <c r="D467" s="8"/>
      <c r="E467" s="8"/>
      <c r="F467" s="8"/>
      <c r="G467" s="13"/>
    </row>
    <row r="468" spans="1:7" x14ac:dyDescent="0.3">
      <c r="A468" s="11"/>
      <c r="B468" s="8"/>
      <c r="C468" s="7" t="str">
        <f>IF(B468="","",IFERROR(INDEX(Vidriería!$C$2:$C$301,MATCH(B468,Vidriería!$A$2:$A$301,0))&amp;" "&amp;INDEX(Vidriería!$D$2:$D$301,MATCH(B468,Vidriería!$A$2:$A$301,0)),"ID no existe"))</f>
        <v/>
      </c>
      <c r="D468" s="8"/>
      <c r="E468" s="8"/>
      <c r="F468" s="8"/>
      <c r="G468" s="13"/>
    </row>
    <row r="469" spans="1:7" x14ac:dyDescent="0.3">
      <c r="A469" s="11"/>
      <c r="B469" s="8"/>
      <c r="C469" s="7" t="str">
        <f>IF(B469="","",IFERROR(INDEX(Vidriería!$C$2:$C$301,MATCH(B469,Vidriería!$A$2:$A$301,0))&amp;" "&amp;INDEX(Vidriería!$D$2:$D$301,MATCH(B469,Vidriería!$A$2:$A$301,0)),"ID no existe"))</f>
        <v/>
      </c>
      <c r="D469" s="8"/>
      <c r="E469" s="8"/>
      <c r="F469" s="8"/>
      <c r="G469" s="13"/>
    </row>
    <row r="470" spans="1:7" x14ac:dyDescent="0.3">
      <c r="A470" s="11"/>
      <c r="B470" s="8"/>
      <c r="C470" s="7" t="str">
        <f>IF(B470="","",IFERROR(INDEX(Vidriería!$C$2:$C$301,MATCH(B470,Vidriería!$A$2:$A$301,0))&amp;" "&amp;INDEX(Vidriería!$D$2:$D$301,MATCH(B470,Vidriería!$A$2:$A$301,0)),"ID no existe"))</f>
        <v/>
      </c>
      <c r="D470" s="8"/>
      <c r="E470" s="8"/>
      <c r="F470" s="8"/>
      <c r="G470" s="13"/>
    </row>
    <row r="471" spans="1:7" x14ac:dyDescent="0.3">
      <c r="A471" s="11"/>
      <c r="B471" s="8"/>
      <c r="C471" s="7" t="str">
        <f>IF(B471="","",IFERROR(INDEX(Vidriería!$C$2:$C$301,MATCH(B471,Vidriería!$A$2:$A$301,0))&amp;" "&amp;INDEX(Vidriería!$D$2:$D$301,MATCH(B471,Vidriería!$A$2:$A$301,0)),"ID no existe"))</f>
        <v/>
      </c>
      <c r="D471" s="8"/>
      <c r="E471" s="8"/>
      <c r="F471" s="8"/>
      <c r="G471" s="13"/>
    </row>
    <row r="472" spans="1:7" x14ac:dyDescent="0.3">
      <c r="A472" s="11"/>
      <c r="B472" s="8"/>
      <c r="C472" s="7" t="str">
        <f>IF(B472="","",IFERROR(INDEX(Vidriería!$C$2:$C$301,MATCH(B472,Vidriería!$A$2:$A$301,0))&amp;" "&amp;INDEX(Vidriería!$D$2:$D$301,MATCH(B472,Vidriería!$A$2:$A$301,0)),"ID no existe"))</f>
        <v/>
      </c>
      <c r="D472" s="8"/>
      <c r="E472" s="8"/>
      <c r="F472" s="8"/>
      <c r="G472" s="13"/>
    </row>
    <row r="473" spans="1:7" x14ac:dyDescent="0.3">
      <c r="A473" s="11"/>
      <c r="B473" s="8"/>
      <c r="C473" s="7" t="str">
        <f>IF(B473="","",IFERROR(INDEX(Vidriería!$C$2:$C$301,MATCH(B473,Vidriería!$A$2:$A$301,0))&amp;" "&amp;INDEX(Vidriería!$D$2:$D$301,MATCH(B473,Vidriería!$A$2:$A$301,0)),"ID no existe"))</f>
        <v/>
      </c>
      <c r="D473" s="8"/>
      <c r="E473" s="8"/>
      <c r="F473" s="8"/>
      <c r="G473" s="13"/>
    </row>
    <row r="474" spans="1:7" x14ac:dyDescent="0.3">
      <c r="A474" s="11"/>
      <c r="B474" s="8"/>
      <c r="C474" s="7" t="str">
        <f>IF(B474="","",IFERROR(INDEX(Vidriería!$C$2:$C$301,MATCH(B474,Vidriería!$A$2:$A$301,0))&amp;" "&amp;INDEX(Vidriería!$D$2:$D$301,MATCH(B474,Vidriería!$A$2:$A$301,0)),"ID no existe"))</f>
        <v/>
      </c>
      <c r="D474" s="8"/>
      <c r="E474" s="8"/>
      <c r="F474" s="8"/>
      <c r="G474" s="13"/>
    </row>
    <row r="475" spans="1:7" x14ac:dyDescent="0.3">
      <c r="A475" s="11"/>
      <c r="B475" s="8"/>
      <c r="C475" s="7" t="str">
        <f>IF(B475="","",IFERROR(INDEX(Vidriería!$C$2:$C$301,MATCH(B475,Vidriería!$A$2:$A$301,0))&amp;" "&amp;INDEX(Vidriería!$D$2:$D$301,MATCH(B475,Vidriería!$A$2:$A$301,0)),"ID no existe"))</f>
        <v/>
      </c>
      <c r="D475" s="8"/>
      <c r="E475" s="8"/>
      <c r="F475" s="8"/>
      <c r="G475" s="13"/>
    </row>
    <row r="476" spans="1:7" x14ac:dyDescent="0.3">
      <c r="A476" s="11"/>
      <c r="B476" s="8"/>
      <c r="C476" s="7" t="str">
        <f>IF(B476="","",IFERROR(INDEX(Vidriería!$C$2:$C$301,MATCH(B476,Vidriería!$A$2:$A$301,0))&amp;" "&amp;INDEX(Vidriería!$D$2:$D$301,MATCH(B476,Vidriería!$A$2:$A$301,0)),"ID no existe"))</f>
        <v/>
      </c>
      <c r="D476" s="8"/>
      <c r="E476" s="8"/>
      <c r="F476" s="8"/>
      <c r="G476" s="13"/>
    </row>
    <row r="477" spans="1:7" x14ac:dyDescent="0.3">
      <c r="A477" s="11"/>
      <c r="B477" s="8"/>
      <c r="C477" s="7" t="str">
        <f>IF(B477="","",IFERROR(INDEX(Vidriería!$C$2:$C$301,MATCH(B477,Vidriería!$A$2:$A$301,0))&amp;" "&amp;INDEX(Vidriería!$D$2:$D$301,MATCH(B477,Vidriería!$A$2:$A$301,0)),"ID no existe"))</f>
        <v/>
      </c>
      <c r="D477" s="8"/>
      <c r="E477" s="8"/>
      <c r="F477" s="8"/>
      <c r="G477" s="13"/>
    </row>
    <row r="478" spans="1:7" x14ac:dyDescent="0.3">
      <c r="A478" s="11"/>
      <c r="B478" s="8"/>
      <c r="C478" s="7" t="str">
        <f>IF(B478="","",IFERROR(INDEX(Vidriería!$C$2:$C$301,MATCH(B478,Vidriería!$A$2:$A$301,0))&amp;" "&amp;INDEX(Vidriería!$D$2:$D$301,MATCH(B478,Vidriería!$A$2:$A$301,0)),"ID no existe"))</f>
        <v/>
      </c>
      <c r="D478" s="8"/>
      <c r="E478" s="8"/>
      <c r="F478" s="8"/>
      <c r="G478" s="13"/>
    </row>
    <row r="479" spans="1:7" x14ac:dyDescent="0.3">
      <c r="A479" s="11"/>
      <c r="B479" s="8"/>
      <c r="C479" s="7" t="str">
        <f>IF(B479="","",IFERROR(INDEX(Vidriería!$C$2:$C$301,MATCH(B479,Vidriería!$A$2:$A$301,0))&amp;" "&amp;INDEX(Vidriería!$D$2:$D$301,MATCH(B479,Vidriería!$A$2:$A$301,0)),"ID no existe"))</f>
        <v/>
      </c>
      <c r="D479" s="8"/>
      <c r="E479" s="8"/>
      <c r="F479" s="8"/>
      <c r="G479" s="13"/>
    </row>
    <row r="480" spans="1:7" x14ac:dyDescent="0.3">
      <c r="A480" s="11"/>
      <c r="B480" s="8"/>
      <c r="C480" s="7" t="str">
        <f>IF(B480="","",IFERROR(INDEX(Vidriería!$C$2:$C$301,MATCH(B480,Vidriería!$A$2:$A$301,0))&amp;" "&amp;INDEX(Vidriería!$D$2:$D$301,MATCH(B480,Vidriería!$A$2:$A$301,0)),"ID no existe"))</f>
        <v/>
      </c>
      <c r="D480" s="8"/>
      <c r="E480" s="8"/>
      <c r="F480" s="8"/>
      <c r="G480" s="13"/>
    </row>
    <row r="481" spans="1:7" x14ac:dyDescent="0.3">
      <c r="A481" s="11"/>
      <c r="B481" s="8"/>
      <c r="C481" s="7" t="str">
        <f>IF(B481="","",IFERROR(INDEX(Vidriería!$C$2:$C$301,MATCH(B481,Vidriería!$A$2:$A$301,0))&amp;" "&amp;INDEX(Vidriería!$D$2:$D$301,MATCH(B481,Vidriería!$A$2:$A$301,0)),"ID no existe"))</f>
        <v/>
      </c>
      <c r="D481" s="8"/>
      <c r="E481" s="8"/>
      <c r="F481" s="8"/>
      <c r="G481" s="13"/>
    </row>
    <row r="482" spans="1:7" x14ac:dyDescent="0.3">
      <c r="A482" s="11"/>
      <c r="B482" s="8"/>
      <c r="C482" s="7" t="str">
        <f>IF(B482="","",IFERROR(INDEX(Vidriería!$C$2:$C$301,MATCH(B482,Vidriería!$A$2:$A$301,0))&amp;" "&amp;INDEX(Vidriería!$D$2:$D$301,MATCH(B482,Vidriería!$A$2:$A$301,0)),"ID no existe"))</f>
        <v/>
      </c>
      <c r="D482" s="8"/>
      <c r="E482" s="8"/>
      <c r="F482" s="8"/>
      <c r="G482" s="13"/>
    </row>
    <row r="483" spans="1:7" x14ac:dyDescent="0.3">
      <c r="A483" s="11"/>
      <c r="B483" s="8"/>
      <c r="C483" s="7" t="str">
        <f>IF(B483="","",IFERROR(INDEX(Vidriería!$C$2:$C$301,MATCH(B483,Vidriería!$A$2:$A$301,0))&amp;" "&amp;INDEX(Vidriería!$D$2:$D$301,MATCH(B483,Vidriería!$A$2:$A$301,0)),"ID no existe"))</f>
        <v/>
      </c>
      <c r="D483" s="8"/>
      <c r="E483" s="8"/>
      <c r="F483" s="8"/>
      <c r="G483" s="13"/>
    </row>
    <row r="484" spans="1:7" x14ac:dyDescent="0.3">
      <c r="A484" s="11"/>
      <c r="B484" s="8"/>
      <c r="C484" s="7" t="str">
        <f>IF(B484="","",IFERROR(INDEX(Vidriería!$C$2:$C$301,MATCH(B484,Vidriería!$A$2:$A$301,0))&amp;" "&amp;INDEX(Vidriería!$D$2:$D$301,MATCH(B484,Vidriería!$A$2:$A$301,0)),"ID no existe"))</f>
        <v/>
      </c>
      <c r="D484" s="8"/>
      <c r="E484" s="8"/>
      <c r="F484" s="8"/>
      <c r="G484" s="13"/>
    </row>
    <row r="485" spans="1:7" x14ac:dyDescent="0.3">
      <c r="A485" s="11"/>
      <c r="B485" s="8"/>
      <c r="C485" s="7" t="str">
        <f>IF(B485="","",IFERROR(INDEX(Vidriería!$C$2:$C$301,MATCH(B485,Vidriería!$A$2:$A$301,0))&amp;" "&amp;INDEX(Vidriería!$D$2:$D$301,MATCH(B485,Vidriería!$A$2:$A$301,0)),"ID no existe"))</f>
        <v/>
      </c>
      <c r="D485" s="8"/>
      <c r="E485" s="8"/>
      <c r="F485" s="8"/>
      <c r="G485" s="13"/>
    </row>
    <row r="486" spans="1:7" x14ac:dyDescent="0.3">
      <c r="A486" s="11"/>
      <c r="B486" s="8"/>
      <c r="C486" s="7" t="str">
        <f>IF(B486="","",IFERROR(INDEX(Vidriería!$C$2:$C$301,MATCH(B486,Vidriería!$A$2:$A$301,0))&amp;" "&amp;INDEX(Vidriería!$D$2:$D$301,MATCH(B486,Vidriería!$A$2:$A$301,0)),"ID no existe"))</f>
        <v/>
      </c>
      <c r="D486" s="8"/>
      <c r="E486" s="8"/>
      <c r="F486" s="8"/>
      <c r="G486" s="13"/>
    </row>
    <row r="487" spans="1:7" x14ac:dyDescent="0.3">
      <c r="A487" s="11"/>
      <c r="B487" s="8"/>
      <c r="C487" s="7" t="str">
        <f>IF(B487="","",IFERROR(INDEX(Vidriería!$C$2:$C$301,MATCH(B487,Vidriería!$A$2:$A$301,0))&amp;" "&amp;INDEX(Vidriería!$D$2:$D$301,MATCH(B487,Vidriería!$A$2:$A$301,0)),"ID no existe"))</f>
        <v/>
      </c>
      <c r="D487" s="8"/>
      <c r="E487" s="8"/>
      <c r="F487" s="8"/>
      <c r="G487" s="13"/>
    </row>
    <row r="488" spans="1:7" x14ac:dyDescent="0.3">
      <c r="A488" s="11"/>
      <c r="B488" s="8"/>
      <c r="C488" s="7" t="str">
        <f>IF(B488="","",IFERROR(INDEX(Vidriería!$C$2:$C$301,MATCH(B488,Vidriería!$A$2:$A$301,0))&amp;" "&amp;INDEX(Vidriería!$D$2:$D$301,MATCH(B488,Vidriería!$A$2:$A$301,0)),"ID no existe"))</f>
        <v/>
      </c>
      <c r="D488" s="8"/>
      <c r="E488" s="8"/>
      <c r="F488" s="8"/>
      <c r="G488" s="13"/>
    </row>
    <row r="489" spans="1:7" x14ac:dyDescent="0.3">
      <c r="A489" s="11"/>
      <c r="B489" s="8"/>
      <c r="C489" s="7" t="str">
        <f>IF(B489="","",IFERROR(INDEX(Vidriería!$C$2:$C$301,MATCH(B489,Vidriería!$A$2:$A$301,0))&amp;" "&amp;INDEX(Vidriería!$D$2:$D$301,MATCH(B489,Vidriería!$A$2:$A$301,0)),"ID no existe"))</f>
        <v/>
      </c>
      <c r="D489" s="8"/>
      <c r="E489" s="8"/>
      <c r="F489" s="8"/>
      <c r="G489" s="13"/>
    </row>
    <row r="490" spans="1:7" x14ac:dyDescent="0.3">
      <c r="A490" s="11"/>
      <c r="B490" s="8"/>
      <c r="C490" s="7" t="str">
        <f>IF(B490="","",IFERROR(INDEX(Vidriería!$C$2:$C$301,MATCH(B490,Vidriería!$A$2:$A$301,0))&amp;" "&amp;INDEX(Vidriería!$D$2:$D$301,MATCH(B490,Vidriería!$A$2:$A$301,0)),"ID no existe"))</f>
        <v/>
      </c>
      <c r="D490" s="8"/>
      <c r="E490" s="8"/>
      <c r="F490" s="8"/>
      <c r="G490" s="13"/>
    </row>
    <row r="491" spans="1:7" x14ac:dyDescent="0.3">
      <c r="A491" s="11"/>
      <c r="B491" s="8"/>
      <c r="C491" s="7" t="str">
        <f>IF(B491="","",IFERROR(INDEX(Vidriería!$C$2:$C$301,MATCH(B491,Vidriería!$A$2:$A$301,0))&amp;" "&amp;INDEX(Vidriería!$D$2:$D$301,MATCH(B491,Vidriería!$A$2:$A$301,0)),"ID no existe"))</f>
        <v/>
      </c>
      <c r="D491" s="8"/>
      <c r="E491" s="8"/>
      <c r="F491" s="8"/>
      <c r="G491" s="13"/>
    </row>
    <row r="492" spans="1:7" x14ac:dyDescent="0.3">
      <c r="A492" s="11"/>
      <c r="B492" s="8"/>
      <c r="C492" s="7" t="str">
        <f>IF(B492="","",IFERROR(INDEX(Vidriería!$C$2:$C$301,MATCH(B492,Vidriería!$A$2:$A$301,0))&amp;" "&amp;INDEX(Vidriería!$D$2:$D$301,MATCH(B492,Vidriería!$A$2:$A$301,0)),"ID no existe"))</f>
        <v/>
      </c>
      <c r="D492" s="8"/>
      <c r="E492" s="8"/>
      <c r="F492" s="8"/>
      <c r="G492" s="13"/>
    </row>
    <row r="493" spans="1:7" x14ac:dyDescent="0.3">
      <c r="A493" s="11"/>
      <c r="B493" s="8"/>
      <c r="C493" s="7" t="str">
        <f>IF(B493="","",IFERROR(INDEX(Vidriería!$C$2:$C$301,MATCH(B493,Vidriería!$A$2:$A$301,0))&amp;" "&amp;INDEX(Vidriería!$D$2:$D$301,MATCH(B493,Vidriería!$A$2:$A$301,0)),"ID no existe"))</f>
        <v/>
      </c>
      <c r="D493" s="8"/>
      <c r="E493" s="8"/>
      <c r="F493" s="8"/>
      <c r="G493" s="13"/>
    </row>
    <row r="494" spans="1:7" x14ac:dyDescent="0.3">
      <c r="A494" s="11"/>
      <c r="B494" s="8"/>
      <c r="C494" s="7" t="str">
        <f>IF(B494="","",IFERROR(INDEX(Vidriería!$C$2:$C$301,MATCH(B494,Vidriería!$A$2:$A$301,0))&amp;" "&amp;INDEX(Vidriería!$D$2:$D$301,MATCH(B494,Vidriería!$A$2:$A$301,0)),"ID no existe"))</f>
        <v/>
      </c>
      <c r="D494" s="8"/>
      <c r="E494" s="8"/>
      <c r="F494" s="8"/>
      <c r="G494" s="13"/>
    </row>
    <row r="495" spans="1:7" x14ac:dyDescent="0.3">
      <c r="A495" s="11"/>
      <c r="B495" s="8"/>
      <c r="C495" s="7" t="str">
        <f>IF(B495="","",IFERROR(INDEX(Vidriería!$C$2:$C$301,MATCH(B495,Vidriería!$A$2:$A$301,0))&amp;" "&amp;INDEX(Vidriería!$D$2:$D$301,MATCH(B495,Vidriería!$A$2:$A$301,0)),"ID no existe"))</f>
        <v/>
      </c>
      <c r="D495" s="8"/>
      <c r="E495" s="8"/>
      <c r="F495" s="8"/>
      <c r="G495" s="13"/>
    </row>
    <row r="496" spans="1:7" x14ac:dyDescent="0.3">
      <c r="A496" s="11"/>
      <c r="B496" s="8"/>
      <c r="C496" s="7" t="str">
        <f>IF(B496="","",IFERROR(INDEX(Vidriería!$C$2:$C$301,MATCH(B496,Vidriería!$A$2:$A$301,0))&amp;" "&amp;INDEX(Vidriería!$D$2:$D$301,MATCH(B496,Vidriería!$A$2:$A$301,0)),"ID no existe"))</f>
        <v/>
      </c>
      <c r="D496" s="8"/>
      <c r="E496" s="8"/>
      <c r="F496" s="8"/>
      <c r="G496" s="13"/>
    </row>
    <row r="497" spans="1:7" x14ac:dyDescent="0.3">
      <c r="A497" s="11"/>
      <c r="B497" s="8"/>
      <c r="C497" s="7" t="str">
        <f>IF(B497="","",IFERROR(INDEX(Vidriería!$C$2:$C$301,MATCH(B497,Vidriería!$A$2:$A$301,0))&amp;" "&amp;INDEX(Vidriería!$D$2:$D$301,MATCH(B497,Vidriería!$A$2:$A$301,0)),"ID no existe"))</f>
        <v/>
      </c>
      <c r="D497" s="8"/>
      <c r="E497" s="8"/>
      <c r="F497" s="8"/>
      <c r="G497" s="13"/>
    </row>
    <row r="498" spans="1:7" x14ac:dyDescent="0.3">
      <c r="A498" s="11"/>
      <c r="B498" s="8"/>
      <c r="C498" s="7" t="str">
        <f>IF(B498="","",IFERROR(INDEX(Vidriería!$C$2:$C$301,MATCH(B498,Vidriería!$A$2:$A$301,0))&amp;" "&amp;INDEX(Vidriería!$D$2:$D$301,MATCH(B498,Vidriería!$A$2:$A$301,0)),"ID no existe"))</f>
        <v/>
      </c>
      <c r="D498" s="8"/>
      <c r="E498" s="8"/>
      <c r="F498" s="8"/>
      <c r="G498" s="13"/>
    </row>
    <row r="499" spans="1:7" x14ac:dyDescent="0.3">
      <c r="A499" s="11"/>
      <c r="B499" s="8"/>
      <c r="C499" s="7" t="str">
        <f>IF(B499="","",IFERROR(INDEX(Vidriería!$C$2:$C$301,MATCH(B499,Vidriería!$A$2:$A$301,0))&amp;" "&amp;INDEX(Vidriería!$D$2:$D$301,MATCH(B499,Vidriería!$A$2:$A$301,0)),"ID no existe"))</f>
        <v/>
      </c>
      <c r="D499" s="8"/>
      <c r="E499" s="8"/>
      <c r="F499" s="8"/>
      <c r="G499" s="13"/>
    </row>
    <row r="500" spans="1:7" x14ac:dyDescent="0.3">
      <c r="A500" s="11"/>
      <c r="B500" s="8"/>
      <c r="C500" s="7" t="str">
        <f>IF(B500="","",IFERROR(INDEX(Vidriería!$C$2:$C$301,MATCH(B500,Vidriería!$A$2:$A$301,0))&amp;" "&amp;INDEX(Vidriería!$D$2:$D$301,MATCH(B500,Vidriería!$A$2:$A$301,0)),"ID no existe"))</f>
        <v/>
      </c>
      <c r="D500" s="8"/>
      <c r="E500" s="8"/>
      <c r="F500" s="8"/>
      <c r="G500" s="13"/>
    </row>
    <row r="501" spans="1:7" x14ac:dyDescent="0.3">
      <c r="A501" s="11"/>
      <c r="B501" s="8"/>
      <c r="C501" s="7" t="str">
        <f>IF(B501="","",IFERROR(INDEX(Vidriería!$C$2:$C$301,MATCH(B501,Vidriería!$A$2:$A$301,0))&amp;" "&amp;INDEX(Vidriería!$D$2:$D$301,MATCH(B501,Vidriería!$A$2:$A$301,0)),"ID no existe"))</f>
        <v/>
      </c>
      <c r="D501" s="8"/>
      <c r="E501" s="8"/>
      <c r="F501" s="8"/>
      <c r="G501" s="13"/>
    </row>
    <row r="502" spans="1:7" x14ac:dyDescent="0.3">
      <c r="A502" s="11"/>
      <c r="B502" s="8"/>
      <c r="C502" s="7" t="str">
        <f>IF(B502="","",IFERROR(INDEX(Vidriería!$C$2:$C$301,MATCH(B502,Vidriería!$A$2:$A$301,0))&amp;" "&amp;INDEX(Vidriería!$D$2:$D$301,MATCH(B502,Vidriería!$A$2:$A$301,0)),"ID no existe"))</f>
        <v/>
      </c>
      <c r="D502" s="8"/>
      <c r="E502" s="8"/>
      <c r="F502" s="8"/>
      <c r="G502" s="13"/>
    </row>
    <row r="503" spans="1:7" x14ac:dyDescent="0.3">
      <c r="A503" s="11"/>
      <c r="B503" s="8"/>
      <c r="C503" s="7" t="str">
        <f>IF(B503="","",IFERROR(INDEX(Vidriería!$C$2:$C$301,MATCH(B503,Vidriería!$A$2:$A$301,0))&amp;" "&amp;INDEX(Vidriería!$D$2:$D$301,MATCH(B503,Vidriería!$A$2:$A$301,0)),"ID no existe"))</f>
        <v/>
      </c>
      <c r="D503" s="8"/>
      <c r="E503" s="8"/>
      <c r="F503" s="8"/>
      <c r="G503" s="13"/>
    </row>
    <row r="504" spans="1:7" x14ac:dyDescent="0.3">
      <c r="A504" s="11"/>
      <c r="B504" s="8"/>
      <c r="C504" s="7" t="str">
        <f>IF(B504="","",IFERROR(INDEX(Vidriería!$C$2:$C$301,MATCH(B504,Vidriería!$A$2:$A$301,0))&amp;" "&amp;INDEX(Vidriería!$D$2:$D$301,MATCH(B504,Vidriería!$A$2:$A$301,0)),"ID no existe"))</f>
        <v/>
      </c>
      <c r="D504" s="8"/>
      <c r="E504" s="8"/>
      <c r="F504" s="8"/>
      <c r="G504" s="13"/>
    </row>
    <row r="505" spans="1:7" x14ac:dyDescent="0.3">
      <c r="A505" s="11"/>
      <c r="B505" s="8"/>
      <c r="C505" s="7" t="str">
        <f>IF(B505="","",IFERROR(INDEX(Vidriería!$C$2:$C$301,MATCH(B505,Vidriería!$A$2:$A$301,0))&amp;" "&amp;INDEX(Vidriería!$D$2:$D$301,MATCH(B505,Vidriería!$A$2:$A$301,0)),"ID no existe"))</f>
        <v/>
      </c>
      <c r="D505" s="8"/>
      <c r="E505" s="8"/>
      <c r="F505" s="8"/>
      <c r="G505" s="13"/>
    </row>
    <row r="506" spans="1:7" x14ac:dyDescent="0.3">
      <c r="A506" s="11"/>
      <c r="B506" s="8"/>
      <c r="C506" s="7" t="str">
        <f>IF(B506="","",IFERROR(INDEX(Vidriería!$C$2:$C$301,MATCH(B506,Vidriería!$A$2:$A$301,0))&amp;" "&amp;INDEX(Vidriería!$D$2:$D$301,MATCH(B506,Vidriería!$A$2:$A$301,0)),"ID no existe"))</f>
        <v/>
      </c>
      <c r="D506" s="8"/>
      <c r="E506" s="8"/>
      <c r="F506" s="8"/>
      <c r="G506" s="13"/>
    </row>
    <row r="507" spans="1:7" x14ac:dyDescent="0.3">
      <c r="A507" s="11"/>
      <c r="B507" s="8"/>
      <c r="C507" s="7" t="str">
        <f>IF(B507="","",IFERROR(INDEX(Vidriería!$C$2:$C$301,MATCH(B507,Vidriería!$A$2:$A$301,0))&amp;" "&amp;INDEX(Vidriería!$D$2:$D$301,MATCH(B507,Vidriería!$A$2:$A$301,0)),"ID no existe"))</f>
        <v/>
      </c>
      <c r="D507" s="8"/>
      <c r="E507" s="8"/>
      <c r="F507" s="8"/>
      <c r="G507" s="13"/>
    </row>
    <row r="508" spans="1:7" x14ac:dyDescent="0.3">
      <c r="A508" s="11"/>
      <c r="B508" s="8"/>
      <c r="C508" s="7" t="str">
        <f>IF(B508="","",IFERROR(INDEX(Vidriería!$C$2:$C$301,MATCH(B508,Vidriería!$A$2:$A$301,0))&amp;" "&amp;INDEX(Vidriería!$D$2:$D$301,MATCH(B508,Vidriería!$A$2:$A$301,0)),"ID no existe"))</f>
        <v/>
      </c>
      <c r="D508" s="8"/>
      <c r="E508" s="8"/>
      <c r="F508" s="8"/>
      <c r="G508" s="13"/>
    </row>
    <row r="509" spans="1:7" x14ac:dyDescent="0.3">
      <c r="A509" s="11"/>
      <c r="B509" s="8"/>
      <c r="C509" s="7" t="str">
        <f>IF(B509="","",IFERROR(INDEX(Vidriería!$C$2:$C$301,MATCH(B509,Vidriería!$A$2:$A$301,0))&amp;" "&amp;INDEX(Vidriería!$D$2:$D$301,MATCH(B509,Vidriería!$A$2:$A$301,0)),"ID no existe"))</f>
        <v/>
      </c>
      <c r="D509" s="8"/>
      <c r="E509" s="8"/>
      <c r="F509" s="8"/>
      <c r="G509" s="13"/>
    </row>
    <row r="510" spans="1:7" x14ac:dyDescent="0.3">
      <c r="A510" s="11"/>
      <c r="B510" s="8"/>
      <c r="C510" s="7" t="str">
        <f>IF(B510="","",IFERROR(INDEX(Vidriería!$C$2:$C$301,MATCH(B510,Vidriería!$A$2:$A$301,0))&amp;" "&amp;INDEX(Vidriería!$D$2:$D$301,MATCH(B510,Vidriería!$A$2:$A$301,0)),"ID no existe"))</f>
        <v/>
      </c>
      <c r="D510" s="8"/>
      <c r="E510" s="8"/>
      <c r="F510" s="8"/>
      <c r="G510" s="13"/>
    </row>
    <row r="511" spans="1:7" x14ac:dyDescent="0.3">
      <c r="A511" s="11"/>
      <c r="B511" s="8"/>
      <c r="C511" s="7" t="str">
        <f>IF(B511="","",IFERROR(INDEX(Vidriería!$C$2:$C$301,MATCH(B511,Vidriería!$A$2:$A$301,0))&amp;" "&amp;INDEX(Vidriería!$D$2:$D$301,MATCH(B511,Vidriería!$A$2:$A$301,0)),"ID no existe"))</f>
        <v/>
      </c>
      <c r="D511" s="8"/>
      <c r="E511" s="8"/>
      <c r="F511" s="8"/>
      <c r="G511" s="13"/>
    </row>
    <row r="512" spans="1:7" x14ac:dyDescent="0.3">
      <c r="A512" s="11"/>
      <c r="B512" s="8"/>
      <c r="C512" s="7" t="str">
        <f>IF(B512="","",IFERROR(INDEX(Vidriería!$C$2:$C$301,MATCH(B512,Vidriería!$A$2:$A$301,0))&amp;" "&amp;INDEX(Vidriería!$D$2:$D$301,MATCH(B512,Vidriería!$A$2:$A$301,0)),"ID no existe"))</f>
        <v/>
      </c>
      <c r="D512" s="8"/>
      <c r="E512" s="8"/>
      <c r="F512" s="8"/>
      <c r="G512" s="13"/>
    </row>
    <row r="513" spans="1:7" x14ac:dyDescent="0.3">
      <c r="A513" s="11"/>
      <c r="B513" s="8"/>
      <c r="C513" s="7" t="str">
        <f>IF(B513="","",IFERROR(INDEX(Vidriería!$C$2:$C$301,MATCH(B513,Vidriería!$A$2:$A$301,0))&amp;" "&amp;INDEX(Vidriería!$D$2:$D$301,MATCH(B513,Vidriería!$A$2:$A$301,0)),"ID no existe"))</f>
        <v/>
      </c>
      <c r="D513" s="8"/>
      <c r="E513" s="8"/>
      <c r="F513" s="8"/>
      <c r="G513" s="13"/>
    </row>
    <row r="514" spans="1:7" x14ac:dyDescent="0.3">
      <c r="A514" s="11"/>
      <c r="B514" s="8"/>
      <c r="C514" s="7" t="str">
        <f>IF(B514="","",IFERROR(INDEX(Vidriería!$C$2:$C$301,MATCH(B514,Vidriería!$A$2:$A$301,0))&amp;" "&amp;INDEX(Vidriería!$D$2:$D$301,MATCH(B514,Vidriería!$A$2:$A$301,0)),"ID no existe"))</f>
        <v/>
      </c>
      <c r="D514" s="8"/>
      <c r="E514" s="8"/>
      <c r="F514" s="8"/>
      <c r="G514" s="13"/>
    </row>
    <row r="515" spans="1:7" x14ac:dyDescent="0.3">
      <c r="A515" s="11"/>
      <c r="B515" s="8"/>
      <c r="C515" s="7" t="str">
        <f>IF(B515="","",IFERROR(INDEX(Vidriería!$C$2:$C$301,MATCH(B515,Vidriería!$A$2:$A$301,0))&amp;" "&amp;INDEX(Vidriería!$D$2:$D$301,MATCH(B515,Vidriería!$A$2:$A$301,0)),"ID no existe"))</f>
        <v/>
      </c>
      <c r="D515" s="8"/>
      <c r="E515" s="8"/>
      <c r="F515" s="8"/>
      <c r="G515" s="13"/>
    </row>
    <row r="516" spans="1:7" x14ac:dyDescent="0.3">
      <c r="A516" s="11"/>
      <c r="B516" s="8"/>
      <c r="C516" s="7" t="str">
        <f>IF(B516="","",IFERROR(INDEX(Vidriería!$C$2:$C$301,MATCH(B516,Vidriería!$A$2:$A$301,0))&amp;" "&amp;INDEX(Vidriería!$D$2:$D$301,MATCH(B516,Vidriería!$A$2:$A$301,0)),"ID no existe"))</f>
        <v/>
      </c>
      <c r="D516" s="8"/>
      <c r="E516" s="8"/>
      <c r="F516" s="8"/>
      <c r="G516" s="13"/>
    </row>
    <row r="517" spans="1:7" x14ac:dyDescent="0.3">
      <c r="A517" s="11"/>
      <c r="B517" s="8"/>
      <c r="C517" s="7" t="str">
        <f>IF(B517="","",IFERROR(INDEX(Vidriería!$C$2:$C$301,MATCH(B517,Vidriería!$A$2:$A$301,0))&amp;" "&amp;INDEX(Vidriería!$D$2:$D$301,MATCH(B517,Vidriería!$A$2:$A$301,0)),"ID no existe"))</f>
        <v/>
      </c>
      <c r="D517" s="8"/>
      <c r="E517" s="8"/>
      <c r="F517" s="8"/>
      <c r="G517" s="13"/>
    </row>
    <row r="518" spans="1:7" x14ac:dyDescent="0.3">
      <c r="A518" s="11"/>
      <c r="B518" s="8"/>
      <c r="C518" s="7" t="str">
        <f>IF(B518="","",IFERROR(INDEX(Vidriería!$C$2:$C$301,MATCH(B518,Vidriería!$A$2:$A$301,0))&amp;" "&amp;INDEX(Vidriería!$D$2:$D$301,MATCH(B518,Vidriería!$A$2:$A$301,0)),"ID no existe"))</f>
        <v/>
      </c>
      <c r="D518" s="8"/>
      <c r="E518" s="8"/>
      <c r="F518" s="8"/>
      <c r="G518" s="13"/>
    </row>
    <row r="519" spans="1:7" x14ac:dyDescent="0.3">
      <c r="A519" s="11"/>
      <c r="B519" s="8"/>
      <c r="C519" s="7" t="str">
        <f>IF(B519="","",IFERROR(INDEX(Vidriería!$C$2:$C$301,MATCH(B519,Vidriería!$A$2:$A$301,0))&amp;" "&amp;INDEX(Vidriería!$D$2:$D$301,MATCH(B519,Vidriería!$A$2:$A$301,0)),"ID no existe"))</f>
        <v/>
      </c>
      <c r="D519" s="8"/>
      <c r="E519" s="8"/>
      <c r="F519" s="8"/>
      <c r="G519" s="13"/>
    </row>
    <row r="520" spans="1:7" x14ac:dyDescent="0.3">
      <c r="A520" s="11"/>
      <c r="B520" s="8"/>
      <c r="C520" s="7" t="str">
        <f>IF(B520="","",IFERROR(INDEX(Vidriería!$C$2:$C$301,MATCH(B520,Vidriería!$A$2:$A$301,0))&amp;" "&amp;INDEX(Vidriería!$D$2:$D$301,MATCH(B520,Vidriería!$A$2:$A$301,0)),"ID no existe"))</f>
        <v/>
      </c>
      <c r="D520" s="8"/>
      <c r="E520" s="8"/>
      <c r="F520" s="8"/>
      <c r="G520" s="13"/>
    </row>
    <row r="521" spans="1:7" x14ac:dyDescent="0.3">
      <c r="A521" s="11"/>
      <c r="B521" s="8"/>
      <c r="C521" s="7" t="str">
        <f>IF(B521="","",IFERROR(INDEX(Vidriería!$C$2:$C$301,MATCH(B521,Vidriería!$A$2:$A$301,0))&amp;" "&amp;INDEX(Vidriería!$D$2:$D$301,MATCH(B521,Vidriería!$A$2:$A$301,0)),"ID no existe"))</f>
        <v/>
      </c>
      <c r="D521" s="8"/>
      <c r="E521" s="8"/>
      <c r="F521" s="8"/>
      <c r="G521" s="13"/>
    </row>
    <row r="522" spans="1:7" x14ac:dyDescent="0.3">
      <c r="A522" s="11"/>
      <c r="B522" s="8"/>
      <c r="C522" s="7" t="str">
        <f>IF(B522="","",IFERROR(INDEX(Vidriería!$C$2:$C$301,MATCH(B522,Vidriería!$A$2:$A$301,0))&amp;" "&amp;INDEX(Vidriería!$D$2:$D$301,MATCH(B522,Vidriería!$A$2:$A$301,0)),"ID no existe"))</f>
        <v/>
      </c>
      <c r="D522" s="8"/>
      <c r="E522" s="8"/>
      <c r="F522" s="8"/>
      <c r="G522" s="13"/>
    </row>
    <row r="523" spans="1:7" x14ac:dyDescent="0.3">
      <c r="A523" s="11"/>
      <c r="B523" s="8"/>
      <c r="C523" s="7" t="str">
        <f>IF(B523="","",IFERROR(INDEX(Vidriería!$C$2:$C$301,MATCH(B523,Vidriería!$A$2:$A$301,0))&amp;" "&amp;INDEX(Vidriería!$D$2:$D$301,MATCH(B523,Vidriería!$A$2:$A$301,0)),"ID no existe"))</f>
        <v/>
      </c>
      <c r="D523" s="8"/>
      <c r="E523" s="8"/>
      <c r="F523" s="8"/>
      <c r="G523" s="13"/>
    </row>
    <row r="524" spans="1:7" x14ac:dyDescent="0.3">
      <c r="A524" s="11"/>
      <c r="B524" s="8"/>
      <c r="C524" s="7" t="str">
        <f>IF(B524="","",IFERROR(INDEX(Vidriería!$C$2:$C$301,MATCH(B524,Vidriería!$A$2:$A$301,0))&amp;" "&amp;INDEX(Vidriería!$D$2:$D$301,MATCH(B524,Vidriería!$A$2:$A$301,0)),"ID no existe"))</f>
        <v/>
      </c>
      <c r="D524" s="8"/>
      <c r="E524" s="8"/>
      <c r="F524" s="8"/>
      <c r="G524" s="13"/>
    </row>
    <row r="525" spans="1:7" x14ac:dyDescent="0.3">
      <c r="A525" s="11"/>
      <c r="B525" s="8"/>
      <c r="C525" s="7" t="str">
        <f>IF(B525="","",IFERROR(INDEX(Vidriería!$C$2:$C$301,MATCH(B525,Vidriería!$A$2:$A$301,0))&amp;" "&amp;INDEX(Vidriería!$D$2:$D$301,MATCH(B525,Vidriería!$A$2:$A$301,0)),"ID no existe"))</f>
        <v/>
      </c>
      <c r="D525" s="8"/>
      <c r="E525" s="8"/>
      <c r="F525" s="8"/>
      <c r="G525" s="13"/>
    </row>
    <row r="526" spans="1:7" x14ac:dyDescent="0.3">
      <c r="A526" s="11"/>
      <c r="B526" s="8"/>
      <c r="C526" s="7" t="str">
        <f>IF(B526="","",IFERROR(INDEX(Vidriería!$C$2:$C$301,MATCH(B526,Vidriería!$A$2:$A$301,0))&amp;" "&amp;INDEX(Vidriería!$D$2:$D$301,MATCH(B526,Vidriería!$A$2:$A$301,0)),"ID no existe"))</f>
        <v/>
      </c>
      <c r="D526" s="8"/>
      <c r="E526" s="8"/>
      <c r="F526" s="8"/>
      <c r="G526" s="13"/>
    </row>
    <row r="527" spans="1:7" x14ac:dyDescent="0.3">
      <c r="A527" s="11"/>
      <c r="B527" s="8"/>
      <c r="C527" s="7" t="str">
        <f>IF(B527="","",IFERROR(INDEX(Vidriería!$C$2:$C$301,MATCH(B527,Vidriería!$A$2:$A$301,0))&amp;" "&amp;INDEX(Vidriería!$D$2:$D$301,MATCH(B527,Vidriería!$A$2:$A$301,0)),"ID no existe"))</f>
        <v/>
      </c>
      <c r="D527" s="8"/>
      <c r="E527" s="8"/>
      <c r="F527" s="8"/>
      <c r="G527" s="13"/>
    </row>
    <row r="528" spans="1:7" x14ac:dyDescent="0.3">
      <c r="A528" s="11"/>
      <c r="B528" s="8"/>
      <c r="C528" s="7" t="str">
        <f>IF(B528="","",IFERROR(INDEX(Vidriería!$C$2:$C$301,MATCH(B528,Vidriería!$A$2:$A$301,0))&amp;" "&amp;INDEX(Vidriería!$D$2:$D$301,MATCH(B528,Vidriería!$A$2:$A$301,0)),"ID no existe"))</f>
        <v/>
      </c>
      <c r="D528" s="8"/>
      <c r="E528" s="8"/>
      <c r="F528" s="8"/>
      <c r="G528" s="13"/>
    </row>
    <row r="529" spans="1:7" x14ac:dyDescent="0.3">
      <c r="A529" s="11"/>
      <c r="B529" s="8"/>
      <c r="C529" s="7" t="str">
        <f>IF(B529="","",IFERROR(INDEX(Vidriería!$C$2:$C$301,MATCH(B529,Vidriería!$A$2:$A$301,0))&amp;" "&amp;INDEX(Vidriería!$D$2:$D$301,MATCH(B529,Vidriería!$A$2:$A$301,0)),"ID no existe"))</f>
        <v/>
      </c>
      <c r="D529" s="8"/>
      <c r="E529" s="8"/>
      <c r="F529" s="8"/>
      <c r="G529" s="13"/>
    </row>
    <row r="530" spans="1:7" x14ac:dyDescent="0.3">
      <c r="A530" s="11"/>
      <c r="B530" s="8"/>
      <c r="C530" s="7" t="str">
        <f>IF(B530="","",IFERROR(INDEX(Vidriería!$C$2:$C$301,MATCH(B530,Vidriería!$A$2:$A$301,0))&amp;" "&amp;INDEX(Vidriería!$D$2:$D$301,MATCH(B530,Vidriería!$A$2:$A$301,0)),"ID no existe"))</f>
        <v/>
      </c>
      <c r="D530" s="8"/>
      <c r="E530" s="8"/>
      <c r="F530" s="8"/>
      <c r="G530" s="13"/>
    </row>
    <row r="531" spans="1:7" x14ac:dyDescent="0.3">
      <c r="A531" s="11"/>
      <c r="B531" s="8"/>
      <c r="C531" s="7" t="str">
        <f>IF(B531="","",IFERROR(INDEX(Vidriería!$C$2:$C$301,MATCH(B531,Vidriería!$A$2:$A$301,0))&amp;" "&amp;INDEX(Vidriería!$D$2:$D$301,MATCH(B531,Vidriería!$A$2:$A$301,0)),"ID no existe"))</f>
        <v/>
      </c>
      <c r="D531" s="8"/>
      <c r="E531" s="8"/>
      <c r="F531" s="8"/>
      <c r="G531" s="13"/>
    </row>
    <row r="532" spans="1:7" x14ac:dyDescent="0.3">
      <c r="A532" s="11"/>
      <c r="B532" s="8"/>
      <c r="C532" s="7" t="str">
        <f>IF(B532="","",IFERROR(INDEX(Vidriería!$C$2:$C$301,MATCH(B532,Vidriería!$A$2:$A$301,0))&amp;" "&amp;INDEX(Vidriería!$D$2:$D$301,MATCH(B532,Vidriería!$A$2:$A$301,0)),"ID no existe"))</f>
        <v/>
      </c>
      <c r="D532" s="8"/>
      <c r="E532" s="8"/>
      <c r="F532" s="8"/>
      <c r="G532" s="13"/>
    </row>
    <row r="533" spans="1:7" x14ac:dyDescent="0.3">
      <c r="A533" s="11"/>
      <c r="B533" s="8"/>
      <c r="C533" s="7" t="str">
        <f>IF(B533="","",IFERROR(INDEX(Vidriería!$C$2:$C$301,MATCH(B533,Vidriería!$A$2:$A$301,0))&amp;" "&amp;INDEX(Vidriería!$D$2:$D$301,MATCH(B533,Vidriería!$A$2:$A$301,0)),"ID no existe"))</f>
        <v/>
      </c>
      <c r="D533" s="8"/>
      <c r="E533" s="8"/>
      <c r="F533" s="8"/>
      <c r="G533" s="13"/>
    </row>
    <row r="534" spans="1:7" x14ac:dyDescent="0.3">
      <c r="A534" s="11"/>
      <c r="B534" s="8"/>
      <c r="C534" s="7" t="str">
        <f>IF(B534="","",IFERROR(INDEX(Vidriería!$C$2:$C$301,MATCH(B534,Vidriería!$A$2:$A$301,0))&amp;" "&amp;INDEX(Vidriería!$D$2:$D$301,MATCH(B534,Vidriería!$A$2:$A$301,0)),"ID no existe"))</f>
        <v/>
      </c>
      <c r="D534" s="8"/>
      <c r="E534" s="8"/>
      <c r="F534" s="8"/>
      <c r="G534" s="13"/>
    </row>
    <row r="535" spans="1:7" x14ac:dyDescent="0.3">
      <c r="A535" s="11"/>
      <c r="B535" s="8"/>
      <c r="C535" s="7" t="str">
        <f>IF(B535="","",IFERROR(INDEX(Vidriería!$C$2:$C$301,MATCH(B535,Vidriería!$A$2:$A$301,0))&amp;" "&amp;INDEX(Vidriería!$D$2:$D$301,MATCH(B535,Vidriería!$A$2:$A$301,0)),"ID no existe"))</f>
        <v/>
      </c>
      <c r="D535" s="8"/>
      <c r="E535" s="8"/>
      <c r="F535" s="8"/>
      <c r="G535" s="13"/>
    </row>
    <row r="536" spans="1:7" x14ac:dyDescent="0.3">
      <c r="A536" s="11"/>
      <c r="B536" s="8"/>
      <c r="C536" s="7" t="str">
        <f>IF(B536="","",IFERROR(INDEX(Vidriería!$C$2:$C$301,MATCH(B536,Vidriería!$A$2:$A$301,0))&amp;" "&amp;INDEX(Vidriería!$D$2:$D$301,MATCH(B536,Vidriería!$A$2:$A$301,0)),"ID no existe"))</f>
        <v/>
      </c>
      <c r="D536" s="8"/>
      <c r="E536" s="8"/>
      <c r="F536" s="8"/>
      <c r="G536" s="13"/>
    </row>
    <row r="537" spans="1:7" x14ac:dyDescent="0.3">
      <c r="A537" s="11"/>
      <c r="B537" s="8"/>
      <c r="C537" s="7" t="str">
        <f>IF(B537="","",IFERROR(INDEX(Vidriería!$C$2:$C$301,MATCH(B537,Vidriería!$A$2:$A$301,0))&amp;" "&amp;INDEX(Vidriería!$D$2:$D$301,MATCH(B537,Vidriería!$A$2:$A$301,0)),"ID no existe"))</f>
        <v/>
      </c>
      <c r="D537" s="8"/>
      <c r="E537" s="8"/>
      <c r="F537" s="8"/>
      <c r="G537" s="13"/>
    </row>
    <row r="538" spans="1:7" x14ac:dyDescent="0.3">
      <c r="A538" s="11"/>
      <c r="B538" s="8"/>
      <c r="C538" s="7" t="str">
        <f>IF(B538="","",IFERROR(INDEX(Vidriería!$C$2:$C$301,MATCH(B538,Vidriería!$A$2:$A$301,0))&amp;" "&amp;INDEX(Vidriería!$D$2:$D$301,MATCH(B538,Vidriería!$A$2:$A$301,0)),"ID no existe"))</f>
        <v/>
      </c>
      <c r="D538" s="8"/>
      <c r="E538" s="8"/>
      <c r="F538" s="8"/>
      <c r="G538" s="13"/>
    </row>
    <row r="539" spans="1:7" x14ac:dyDescent="0.3">
      <c r="A539" s="11"/>
      <c r="B539" s="8"/>
      <c r="C539" s="7" t="str">
        <f>IF(B539="","",IFERROR(INDEX(Vidriería!$C$2:$C$301,MATCH(B539,Vidriería!$A$2:$A$301,0))&amp;" "&amp;INDEX(Vidriería!$D$2:$D$301,MATCH(B539,Vidriería!$A$2:$A$301,0)),"ID no existe"))</f>
        <v/>
      </c>
      <c r="D539" s="8"/>
      <c r="E539" s="8"/>
      <c r="F539" s="8"/>
      <c r="G539" s="13"/>
    </row>
    <row r="540" spans="1:7" x14ac:dyDescent="0.3">
      <c r="A540" s="11"/>
      <c r="B540" s="8"/>
      <c r="C540" s="7" t="str">
        <f>IF(B540="","",IFERROR(INDEX(Vidriería!$C$2:$C$301,MATCH(B540,Vidriería!$A$2:$A$301,0))&amp;" "&amp;INDEX(Vidriería!$D$2:$D$301,MATCH(B540,Vidriería!$A$2:$A$301,0)),"ID no existe"))</f>
        <v/>
      </c>
      <c r="D540" s="8"/>
      <c r="E540" s="8"/>
      <c r="F540" s="8"/>
      <c r="G540" s="13"/>
    </row>
    <row r="541" spans="1:7" x14ac:dyDescent="0.3">
      <c r="A541" s="11"/>
      <c r="B541" s="8"/>
      <c r="C541" s="7" t="str">
        <f>IF(B541="","",IFERROR(INDEX(Vidriería!$C$2:$C$301,MATCH(B541,Vidriería!$A$2:$A$301,0))&amp;" "&amp;INDEX(Vidriería!$D$2:$D$301,MATCH(B541,Vidriería!$A$2:$A$301,0)),"ID no existe"))</f>
        <v/>
      </c>
      <c r="D541" s="8"/>
      <c r="E541" s="8"/>
      <c r="F541" s="8"/>
      <c r="G541" s="13"/>
    </row>
    <row r="542" spans="1:7" x14ac:dyDescent="0.3">
      <c r="A542" s="11"/>
      <c r="B542" s="8"/>
      <c r="C542" s="7" t="str">
        <f>IF(B542="","",IFERROR(INDEX(Vidriería!$C$2:$C$301,MATCH(B542,Vidriería!$A$2:$A$301,0))&amp;" "&amp;INDEX(Vidriería!$D$2:$D$301,MATCH(B542,Vidriería!$A$2:$A$301,0)),"ID no existe"))</f>
        <v/>
      </c>
      <c r="D542" s="8"/>
      <c r="E542" s="8"/>
      <c r="F542" s="8"/>
      <c r="G542" s="13"/>
    </row>
    <row r="543" spans="1:7" x14ac:dyDescent="0.3">
      <c r="A543" s="11"/>
      <c r="B543" s="8"/>
      <c r="C543" s="7" t="str">
        <f>IF(B543="","",IFERROR(INDEX(Vidriería!$C$2:$C$301,MATCH(B543,Vidriería!$A$2:$A$301,0))&amp;" "&amp;INDEX(Vidriería!$D$2:$D$301,MATCH(B543,Vidriería!$A$2:$A$301,0)),"ID no existe"))</f>
        <v/>
      </c>
      <c r="D543" s="8"/>
      <c r="E543" s="8"/>
      <c r="F543" s="8"/>
      <c r="G543" s="13"/>
    </row>
    <row r="544" spans="1:7" x14ac:dyDescent="0.3">
      <c r="A544" s="11"/>
      <c r="B544" s="8"/>
      <c r="C544" s="7" t="str">
        <f>IF(B544="","",IFERROR(INDEX(Vidriería!$C$2:$C$301,MATCH(B544,Vidriería!$A$2:$A$301,0))&amp;" "&amp;INDEX(Vidriería!$D$2:$D$301,MATCH(B544,Vidriería!$A$2:$A$301,0)),"ID no existe"))</f>
        <v/>
      </c>
      <c r="D544" s="8"/>
      <c r="E544" s="8"/>
      <c r="F544" s="8"/>
      <c r="G544" s="13"/>
    </row>
    <row r="545" spans="1:7" x14ac:dyDescent="0.3">
      <c r="A545" s="11"/>
      <c r="B545" s="8"/>
      <c r="C545" s="7" t="str">
        <f>IF(B545="","",IFERROR(INDEX(Vidriería!$C$2:$C$301,MATCH(B545,Vidriería!$A$2:$A$301,0))&amp;" "&amp;INDEX(Vidriería!$D$2:$D$301,MATCH(B545,Vidriería!$A$2:$A$301,0)),"ID no existe"))</f>
        <v/>
      </c>
      <c r="D545" s="8"/>
      <c r="E545" s="8"/>
      <c r="F545" s="8"/>
      <c r="G545" s="13"/>
    </row>
    <row r="546" spans="1:7" x14ac:dyDescent="0.3">
      <c r="A546" s="11"/>
      <c r="B546" s="8"/>
      <c r="C546" s="7" t="str">
        <f>IF(B546="","",IFERROR(INDEX(Vidriería!$C$2:$C$301,MATCH(B546,Vidriería!$A$2:$A$301,0))&amp;" "&amp;INDEX(Vidriería!$D$2:$D$301,MATCH(B546,Vidriería!$A$2:$A$301,0)),"ID no existe"))</f>
        <v/>
      </c>
      <c r="D546" s="8"/>
      <c r="E546" s="8"/>
      <c r="F546" s="8"/>
      <c r="G546" s="13"/>
    </row>
    <row r="547" spans="1:7" x14ac:dyDescent="0.3">
      <c r="A547" s="11"/>
      <c r="B547" s="8"/>
      <c r="C547" s="7" t="str">
        <f>IF(B547="","",IFERROR(INDEX(Vidriería!$C$2:$C$301,MATCH(B547,Vidriería!$A$2:$A$301,0))&amp;" "&amp;INDEX(Vidriería!$D$2:$D$301,MATCH(B547,Vidriería!$A$2:$A$301,0)),"ID no existe"))</f>
        <v/>
      </c>
      <c r="D547" s="8"/>
      <c r="E547" s="8"/>
      <c r="F547" s="8"/>
      <c r="G547" s="13"/>
    </row>
    <row r="548" spans="1:7" x14ac:dyDescent="0.3">
      <c r="A548" s="11"/>
      <c r="B548" s="8"/>
      <c r="C548" s="7" t="str">
        <f>IF(B548="","",IFERROR(INDEX(Vidriería!$C$2:$C$301,MATCH(B548,Vidriería!$A$2:$A$301,0))&amp;" "&amp;INDEX(Vidriería!$D$2:$D$301,MATCH(B548,Vidriería!$A$2:$A$301,0)),"ID no existe"))</f>
        <v/>
      </c>
      <c r="D548" s="8"/>
      <c r="E548" s="8"/>
      <c r="F548" s="8"/>
      <c r="G548" s="13"/>
    </row>
    <row r="549" spans="1:7" x14ac:dyDescent="0.3">
      <c r="A549" s="11"/>
      <c r="B549" s="8"/>
      <c r="C549" s="7" t="str">
        <f>IF(B549="","",IFERROR(INDEX(Vidriería!$C$2:$C$301,MATCH(B549,Vidriería!$A$2:$A$301,0))&amp;" "&amp;INDEX(Vidriería!$D$2:$D$301,MATCH(B549,Vidriería!$A$2:$A$301,0)),"ID no existe"))</f>
        <v/>
      </c>
      <c r="D549" s="8"/>
      <c r="E549" s="8"/>
      <c r="F549" s="8"/>
      <c r="G549" s="13"/>
    </row>
    <row r="550" spans="1:7" x14ac:dyDescent="0.3">
      <c r="A550" s="11"/>
      <c r="B550" s="8"/>
      <c r="C550" s="7" t="str">
        <f>IF(B550="","",IFERROR(INDEX(Vidriería!$C$2:$C$301,MATCH(B550,Vidriería!$A$2:$A$301,0))&amp;" "&amp;INDEX(Vidriería!$D$2:$D$301,MATCH(B550,Vidriería!$A$2:$A$301,0)),"ID no existe"))</f>
        <v/>
      </c>
      <c r="D550" s="8"/>
      <c r="E550" s="8"/>
      <c r="F550" s="8"/>
      <c r="G550" s="13"/>
    </row>
    <row r="551" spans="1:7" x14ac:dyDescent="0.3">
      <c r="A551" s="11"/>
      <c r="B551" s="8"/>
      <c r="C551" s="7" t="str">
        <f>IF(B551="","",IFERROR(INDEX(Vidriería!$C$2:$C$301,MATCH(B551,Vidriería!$A$2:$A$301,0))&amp;" "&amp;INDEX(Vidriería!$D$2:$D$301,MATCH(B551,Vidriería!$A$2:$A$301,0)),"ID no existe"))</f>
        <v/>
      </c>
      <c r="D551" s="8"/>
      <c r="E551" s="8"/>
      <c r="F551" s="8"/>
      <c r="G551" s="13"/>
    </row>
    <row r="552" spans="1:7" x14ac:dyDescent="0.3">
      <c r="A552" s="11"/>
      <c r="B552" s="8"/>
      <c r="C552" s="7" t="str">
        <f>IF(B552="","",IFERROR(INDEX(Vidriería!$C$2:$C$301,MATCH(B552,Vidriería!$A$2:$A$301,0))&amp;" "&amp;INDEX(Vidriería!$D$2:$D$301,MATCH(B552,Vidriería!$A$2:$A$301,0)),"ID no existe"))</f>
        <v/>
      </c>
      <c r="D552" s="8"/>
      <c r="E552" s="8"/>
      <c r="F552" s="8"/>
      <c r="G552" s="13"/>
    </row>
    <row r="553" spans="1:7" x14ac:dyDescent="0.3">
      <c r="A553" s="11"/>
      <c r="B553" s="8"/>
      <c r="C553" s="7" t="str">
        <f>IF(B553="","",IFERROR(INDEX(Vidriería!$C$2:$C$301,MATCH(B553,Vidriería!$A$2:$A$301,0))&amp;" "&amp;INDEX(Vidriería!$D$2:$D$301,MATCH(B553,Vidriería!$A$2:$A$301,0)),"ID no existe"))</f>
        <v/>
      </c>
      <c r="D553" s="8"/>
      <c r="E553" s="8"/>
      <c r="F553" s="8"/>
      <c r="G553" s="13"/>
    </row>
    <row r="554" spans="1:7" x14ac:dyDescent="0.3">
      <c r="A554" s="11"/>
      <c r="B554" s="8"/>
      <c r="C554" s="7" t="str">
        <f>IF(B554="","",IFERROR(INDEX(Vidriería!$C$2:$C$301,MATCH(B554,Vidriería!$A$2:$A$301,0))&amp;" "&amp;INDEX(Vidriería!$D$2:$D$301,MATCH(B554,Vidriería!$A$2:$A$301,0)),"ID no existe"))</f>
        <v/>
      </c>
      <c r="D554" s="8"/>
      <c r="E554" s="8"/>
      <c r="F554" s="8"/>
      <c r="G554" s="13"/>
    </row>
    <row r="555" spans="1:7" x14ac:dyDescent="0.3">
      <c r="A555" s="11"/>
      <c r="B555" s="8"/>
      <c r="C555" s="7" t="str">
        <f>IF(B555="","",IFERROR(INDEX(Vidriería!$C$2:$C$301,MATCH(B555,Vidriería!$A$2:$A$301,0))&amp;" "&amp;INDEX(Vidriería!$D$2:$D$301,MATCH(B555,Vidriería!$A$2:$A$301,0)),"ID no existe"))</f>
        <v/>
      </c>
      <c r="D555" s="8"/>
      <c r="E555" s="8"/>
      <c r="F555" s="8"/>
      <c r="G555" s="13"/>
    </row>
    <row r="556" spans="1:7" x14ac:dyDescent="0.3">
      <c r="A556" s="11"/>
      <c r="B556" s="8"/>
      <c r="C556" s="7" t="str">
        <f>IF(B556="","",IFERROR(INDEX(Vidriería!$C$2:$C$301,MATCH(B556,Vidriería!$A$2:$A$301,0))&amp;" "&amp;INDEX(Vidriería!$D$2:$D$301,MATCH(B556,Vidriería!$A$2:$A$301,0)),"ID no existe"))</f>
        <v/>
      </c>
      <c r="D556" s="8"/>
      <c r="E556" s="8"/>
      <c r="F556" s="8"/>
      <c r="G556" s="13"/>
    </row>
    <row r="557" spans="1:7" x14ac:dyDescent="0.3">
      <c r="A557" s="11"/>
      <c r="B557" s="8"/>
      <c r="C557" s="7" t="str">
        <f>IF(B557="","",IFERROR(INDEX(Vidriería!$C$2:$C$301,MATCH(B557,Vidriería!$A$2:$A$301,0))&amp;" "&amp;INDEX(Vidriería!$D$2:$D$301,MATCH(B557,Vidriería!$A$2:$A$301,0)),"ID no existe"))</f>
        <v/>
      </c>
      <c r="D557" s="8"/>
      <c r="E557" s="8"/>
      <c r="F557" s="8"/>
      <c r="G557" s="13"/>
    </row>
    <row r="558" spans="1:7" x14ac:dyDescent="0.3">
      <c r="A558" s="11"/>
      <c r="B558" s="8"/>
      <c r="C558" s="7" t="str">
        <f>IF(B558="","",IFERROR(INDEX(Vidriería!$C$2:$C$301,MATCH(B558,Vidriería!$A$2:$A$301,0))&amp;" "&amp;INDEX(Vidriería!$D$2:$D$301,MATCH(B558,Vidriería!$A$2:$A$301,0)),"ID no existe"))</f>
        <v/>
      </c>
      <c r="D558" s="8"/>
      <c r="E558" s="8"/>
      <c r="F558" s="8"/>
      <c r="G558" s="13"/>
    </row>
    <row r="559" spans="1:7" x14ac:dyDescent="0.3">
      <c r="A559" s="11"/>
      <c r="B559" s="8"/>
      <c r="C559" s="7" t="str">
        <f>IF(B559="","",IFERROR(INDEX(Vidriería!$C$2:$C$301,MATCH(B559,Vidriería!$A$2:$A$301,0))&amp;" "&amp;INDEX(Vidriería!$D$2:$D$301,MATCH(B559,Vidriería!$A$2:$A$301,0)),"ID no existe"))</f>
        <v/>
      </c>
      <c r="D559" s="8"/>
      <c r="E559" s="8"/>
      <c r="F559" s="8"/>
      <c r="G559" s="13"/>
    </row>
    <row r="560" spans="1:7" x14ac:dyDescent="0.3">
      <c r="A560" s="11"/>
      <c r="B560" s="8"/>
      <c r="C560" s="7" t="str">
        <f>IF(B560="","",IFERROR(INDEX(Vidriería!$C$2:$C$301,MATCH(B560,Vidriería!$A$2:$A$301,0))&amp;" "&amp;INDEX(Vidriería!$D$2:$D$301,MATCH(B560,Vidriería!$A$2:$A$301,0)),"ID no existe"))</f>
        <v/>
      </c>
      <c r="D560" s="8"/>
      <c r="E560" s="8"/>
      <c r="F560" s="8"/>
      <c r="G560" s="13"/>
    </row>
    <row r="561" spans="1:7" x14ac:dyDescent="0.3">
      <c r="A561" s="11"/>
      <c r="B561" s="8"/>
      <c r="C561" s="7" t="str">
        <f>IF(B561="","",IFERROR(INDEX(Vidriería!$C$2:$C$301,MATCH(B561,Vidriería!$A$2:$A$301,0))&amp;" "&amp;INDEX(Vidriería!$D$2:$D$301,MATCH(B561,Vidriería!$A$2:$A$301,0)),"ID no existe"))</f>
        <v/>
      </c>
      <c r="D561" s="8"/>
      <c r="E561" s="8"/>
      <c r="F561" s="8"/>
      <c r="G561" s="13"/>
    </row>
    <row r="562" spans="1:7" x14ac:dyDescent="0.3">
      <c r="A562" s="11"/>
      <c r="B562" s="8"/>
      <c r="C562" s="7" t="str">
        <f>IF(B562="","",IFERROR(INDEX(Vidriería!$C$2:$C$301,MATCH(B562,Vidriería!$A$2:$A$301,0))&amp;" "&amp;INDEX(Vidriería!$D$2:$D$301,MATCH(B562,Vidriería!$A$2:$A$301,0)),"ID no existe"))</f>
        <v/>
      </c>
      <c r="D562" s="8"/>
      <c r="E562" s="8"/>
      <c r="F562" s="8"/>
      <c r="G562" s="13"/>
    </row>
    <row r="563" spans="1:7" x14ac:dyDescent="0.3">
      <c r="A563" s="11"/>
      <c r="B563" s="8"/>
      <c r="C563" s="7" t="str">
        <f>IF(B563="","",IFERROR(INDEX(Vidriería!$C$2:$C$301,MATCH(B563,Vidriería!$A$2:$A$301,0))&amp;" "&amp;INDEX(Vidriería!$D$2:$D$301,MATCH(B563,Vidriería!$A$2:$A$301,0)),"ID no existe"))</f>
        <v/>
      </c>
      <c r="D563" s="8"/>
      <c r="E563" s="8"/>
      <c r="F563" s="8"/>
      <c r="G563" s="13"/>
    </row>
    <row r="564" spans="1:7" x14ac:dyDescent="0.3">
      <c r="A564" s="11"/>
      <c r="B564" s="8"/>
      <c r="C564" s="7" t="str">
        <f>IF(B564="","",IFERROR(INDEX(Vidriería!$C$2:$C$301,MATCH(B564,Vidriería!$A$2:$A$301,0))&amp;" "&amp;INDEX(Vidriería!$D$2:$D$301,MATCH(B564,Vidriería!$A$2:$A$301,0)),"ID no existe"))</f>
        <v/>
      </c>
      <c r="D564" s="8"/>
      <c r="E564" s="8"/>
      <c r="F564" s="8"/>
      <c r="G564" s="13"/>
    </row>
    <row r="565" spans="1:7" x14ac:dyDescent="0.3">
      <c r="A565" s="11"/>
      <c r="B565" s="8"/>
      <c r="C565" s="7" t="str">
        <f>IF(B565="","",IFERROR(INDEX(Vidriería!$C$2:$C$301,MATCH(B565,Vidriería!$A$2:$A$301,0))&amp;" "&amp;INDEX(Vidriería!$D$2:$D$301,MATCH(B565,Vidriería!$A$2:$A$301,0)),"ID no existe"))</f>
        <v/>
      </c>
      <c r="D565" s="8"/>
      <c r="E565" s="8"/>
      <c r="F565" s="8"/>
      <c r="G565" s="13"/>
    </row>
    <row r="566" spans="1:7" x14ac:dyDescent="0.3">
      <c r="A566" s="11"/>
      <c r="B566" s="8"/>
      <c r="C566" s="7" t="str">
        <f>IF(B566="","",IFERROR(INDEX(Vidriería!$C$2:$C$301,MATCH(B566,Vidriería!$A$2:$A$301,0))&amp;" "&amp;INDEX(Vidriería!$D$2:$D$301,MATCH(B566,Vidriería!$A$2:$A$301,0)),"ID no existe"))</f>
        <v/>
      </c>
      <c r="D566" s="8"/>
      <c r="E566" s="8"/>
      <c r="F566" s="8"/>
      <c r="G566" s="13"/>
    </row>
    <row r="567" spans="1:7" x14ac:dyDescent="0.3">
      <c r="A567" s="11"/>
      <c r="B567" s="8"/>
      <c r="C567" s="7" t="str">
        <f>IF(B567="","",IFERROR(INDEX(Vidriería!$C$2:$C$301,MATCH(B567,Vidriería!$A$2:$A$301,0))&amp;" "&amp;INDEX(Vidriería!$D$2:$D$301,MATCH(B567,Vidriería!$A$2:$A$301,0)),"ID no existe"))</f>
        <v/>
      </c>
      <c r="D567" s="8"/>
      <c r="E567" s="8"/>
      <c r="F567" s="8"/>
      <c r="G567" s="13"/>
    </row>
    <row r="568" spans="1:7" x14ac:dyDescent="0.3">
      <c r="A568" s="11"/>
      <c r="B568" s="8"/>
      <c r="C568" s="7" t="str">
        <f>IF(B568="","",IFERROR(INDEX(Vidriería!$C$2:$C$301,MATCH(B568,Vidriería!$A$2:$A$301,0))&amp;" "&amp;INDEX(Vidriería!$D$2:$D$301,MATCH(B568,Vidriería!$A$2:$A$301,0)),"ID no existe"))</f>
        <v/>
      </c>
      <c r="D568" s="8"/>
      <c r="E568" s="8"/>
      <c r="F568" s="8"/>
      <c r="G568" s="13"/>
    </row>
    <row r="569" spans="1:7" x14ac:dyDescent="0.3">
      <c r="A569" s="11"/>
      <c r="B569" s="8"/>
      <c r="C569" s="7" t="str">
        <f>IF(B569="","",IFERROR(INDEX(Vidriería!$C$2:$C$301,MATCH(B569,Vidriería!$A$2:$A$301,0))&amp;" "&amp;INDEX(Vidriería!$D$2:$D$301,MATCH(B569,Vidriería!$A$2:$A$301,0)),"ID no existe"))</f>
        <v/>
      </c>
      <c r="D569" s="8"/>
      <c r="E569" s="8"/>
      <c r="F569" s="8"/>
      <c r="G569" s="13"/>
    </row>
    <row r="570" spans="1:7" x14ac:dyDescent="0.3">
      <c r="A570" s="11"/>
      <c r="B570" s="8"/>
      <c r="C570" s="7" t="str">
        <f>IF(B570="","",IFERROR(INDEX(Vidriería!$C$2:$C$301,MATCH(B570,Vidriería!$A$2:$A$301,0))&amp;" "&amp;INDEX(Vidriería!$D$2:$D$301,MATCH(B570,Vidriería!$A$2:$A$301,0)),"ID no existe"))</f>
        <v/>
      </c>
      <c r="D570" s="8"/>
      <c r="E570" s="8"/>
      <c r="F570" s="8"/>
      <c r="G570" s="13"/>
    </row>
    <row r="571" spans="1:7" x14ac:dyDescent="0.3">
      <c r="A571" s="11"/>
      <c r="B571" s="8"/>
      <c r="C571" s="7" t="str">
        <f>IF(B571="","",IFERROR(INDEX(Vidriería!$C$2:$C$301,MATCH(B571,Vidriería!$A$2:$A$301,0))&amp;" "&amp;INDEX(Vidriería!$D$2:$D$301,MATCH(B571,Vidriería!$A$2:$A$301,0)),"ID no existe"))</f>
        <v/>
      </c>
      <c r="D571" s="8"/>
      <c r="E571" s="8"/>
      <c r="F571" s="8"/>
      <c r="G571" s="13"/>
    </row>
    <row r="572" spans="1:7" x14ac:dyDescent="0.3">
      <c r="A572" s="11"/>
      <c r="B572" s="8"/>
      <c r="C572" s="7" t="str">
        <f>IF(B572="","",IFERROR(INDEX(Vidriería!$C$2:$C$301,MATCH(B572,Vidriería!$A$2:$A$301,0))&amp;" "&amp;INDEX(Vidriería!$D$2:$D$301,MATCH(B572,Vidriería!$A$2:$A$301,0)),"ID no existe"))</f>
        <v/>
      </c>
      <c r="D572" s="8"/>
      <c r="E572" s="8"/>
      <c r="F572" s="8"/>
      <c r="G572" s="13"/>
    </row>
    <row r="573" spans="1:7" x14ac:dyDescent="0.3">
      <c r="A573" s="11"/>
      <c r="B573" s="8"/>
      <c r="C573" s="7" t="str">
        <f>IF(B573="","",IFERROR(INDEX(Vidriería!$C$2:$C$301,MATCH(B573,Vidriería!$A$2:$A$301,0))&amp;" "&amp;INDEX(Vidriería!$D$2:$D$301,MATCH(B573,Vidriería!$A$2:$A$301,0)),"ID no existe"))</f>
        <v/>
      </c>
      <c r="D573" s="8"/>
      <c r="E573" s="8"/>
      <c r="F573" s="8"/>
      <c r="G573" s="13"/>
    </row>
    <row r="574" spans="1:7" x14ac:dyDescent="0.3">
      <c r="A574" s="11"/>
      <c r="B574" s="8"/>
      <c r="C574" s="7" t="str">
        <f>IF(B574="","",IFERROR(INDEX(Vidriería!$C$2:$C$301,MATCH(B574,Vidriería!$A$2:$A$301,0))&amp;" "&amp;INDEX(Vidriería!$D$2:$D$301,MATCH(B574,Vidriería!$A$2:$A$301,0)),"ID no existe"))</f>
        <v/>
      </c>
      <c r="D574" s="8"/>
      <c r="E574" s="8"/>
      <c r="F574" s="8"/>
      <c r="G574" s="13"/>
    </row>
    <row r="575" spans="1:7" x14ac:dyDescent="0.3">
      <c r="A575" s="11"/>
      <c r="B575" s="8"/>
      <c r="C575" s="7" t="str">
        <f>IF(B575="","",IFERROR(INDEX(Vidriería!$C$2:$C$301,MATCH(B575,Vidriería!$A$2:$A$301,0))&amp;" "&amp;INDEX(Vidriería!$D$2:$D$301,MATCH(B575,Vidriería!$A$2:$A$301,0)),"ID no existe"))</f>
        <v/>
      </c>
      <c r="D575" s="8"/>
      <c r="E575" s="8"/>
      <c r="F575" s="8"/>
      <c r="G575" s="13"/>
    </row>
    <row r="576" spans="1:7" x14ac:dyDescent="0.3">
      <c r="A576" s="11"/>
      <c r="B576" s="8"/>
      <c r="C576" s="7" t="str">
        <f>IF(B576="","",IFERROR(INDEX(Vidriería!$C$2:$C$301,MATCH(B576,Vidriería!$A$2:$A$301,0))&amp;" "&amp;INDEX(Vidriería!$D$2:$D$301,MATCH(B576,Vidriería!$A$2:$A$301,0)),"ID no existe"))</f>
        <v/>
      </c>
      <c r="D576" s="8"/>
      <c r="E576" s="8"/>
      <c r="F576" s="8"/>
      <c r="G576" s="13"/>
    </row>
    <row r="577" spans="1:7" x14ac:dyDescent="0.3">
      <c r="A577" s="11"/>
      <c r="B577" s="8"/>
      <c r="C577" s="7" t="str">
        <f>IF(B577="","",IFERROR(INDEX(Vidriería!$C$2:$C$301,MATCH(B577,Vidriería!$A$2:$A$301,0))&amp;" "&amp;INDEX(Vidriería!$D$2:$D$301,MATCH(B577,Vidriería!$A$2:$A$301,0)),"ID no existe"))</f>
        <v/>
      </c>
      <c r="D577" s="8"/>
      <c r="E577" s="8"/>
      <c r="F577" s="8"/>
      <c r="G577" s="13"/>
    </row>
    <row r="578" spans="1:7" x14ac:dyDescent="0.3">
      <c r="A578" s="11"/>
      <c r="B578" s="8"/>
      <c r="C578" s="7" t="str">
        <f>IF(B578="","",IFERROR(INDEX(Vidriería!$C$2:$C$301,MATCH(B578,Vidriería!$A$2:$A$301,0))&amp;" "&amp;INDEX(Vidriería!$D$2:$D$301,MATCH(B578,Vidriería!$A$2:$A$301,0)),"ID no existe"))</f>
        <v/>
      </c>
      <c r="D578" s="8"/>
      <c r="E578" s="8"/>
      <c r="F578" s="8"/>
      <c r="G578" s="13"/>
    </row>
    <row r="579" spans="1:7" x14ac:dyDescent="0.3">
      <c r="A579" s="11"/>
      <c r="B579" s="8"/>
      <c r="C579" s="7" t="str">
        <f>IF(B579="","",IFERROR(INDEX(Vidriería!$C$2:$C$301,MATCH(B579,Vidriería!$A$2:$A$301,0))&amp;" "&amp;INDEX(Vidriería!$D$2:$D$301,MATCH(B579,Vidriería!$A$2:$A$301,0)),"ID no existe"))</f>
        <v/>
      </c>
      <c r="D579" s="8"/>
      <c r="E579" s="8"/>
      <c r="F579" s="8"/>
      <c r="G579" s="13"/>
    </row>
    <row r="580" spans="1:7" x14ac:dyDescent="0.3">
      <c r="A580" s="11"/>
      <c r="B580" s="8"/>
      <c r="C580" s="7" t="str">
        <f>IF(B580="","",IFERROR(INDEX(Vidriería!$C$2:$C$301,MATCH(B580,Vidriería!$A$2:$A$301,0))&amp;" "&amp;INDEX(Vidriería!$D$2:$D$301,MATCH(B580,Vidriería!$A$2:$A$301,0)),"ID no existe"))</f>
        <v/>
      </c>
      <c r="D580" s="8"/>
      <c r="E580" s="8"/>
      <c r="F580" s="8"/>
      <c r="G580" s="13"/>
    </row>
    <row r="581" spans="1:7" x14ac:dyDescent="0.3">
      <c r="A581" s="11"/>
      <c r="B581" s="8"/>
      <c r="C581" s="7" t="str">
        <f>IF(B581="","",IFERROR(INDEX(Vidriería!$C$2:$C$301,MATCH(B581,Vidriería!$A$2:$A$301,0))&amp;" "&amp;INDEX(Vidriería!$D$2:$D$301,MATCH(B581,Vidriería!$A$2:$A$301,0)),"ID no existe"))</f>
        <v/>
      </c>
      <c r="D581" s="8"/>
      <c r="E581" s="8"/>
      <c r="F581" s="8"/>
      <c r="G581" s="13"/>
    </row>
    <row r="582" spans="1:7" x14ac:dyDescent="0.3">
      <c r="A582" s="11"/>
      <c r="B582" s="8"/>
      <c r="C582" s="7" t="str">
        <f>IF(B582="","",IFERROR(INDEX(Vidriería!$C$2:$C$301,MATCH(B582,Vidriería!$A$2:$A$301,0))&amp;" "&amp;INDEX(Vidriería!$D$2:$D$301,MATCH(B582,Vidriería!$A$2:$A$301,0)),"ID no existe"))</f>
        <v/>
      </c>
      <c r="D582" s="8"/>
      <c r="E582" s="8"/>
      <c r="F582" s="8"/>
      <c r="G582" s="13"/>
    </row>
    <row r="583" spans="1:7" x14ac:dyDescent="0.3">
      <c r="A583" s="11"/>
      <c r="B583" s="8"/>
      <c r="C583" s="7" t="str">
        <f>IF(B583="","",IFERROR(INDEX(Vidriería!$C$2:$C$301,MATCH(B583,Vidriería!$A$2:$A$301,0))&amp;" "&amp;INDEX(Vidriería!$D$2:$D$301,MATCH(B583,Vidriería!$A$2:$A$301,0)),"ID no existe"))</f>
        <v/>
      </c>
      <c r="D583" s="8"/>
      <c r="E583" s="8"/>
      <c r="F583" s="8"/>
      <c r="G583" s="13"/>
    </row>
    <row r="584" spans="1:7" x14ac:dyDescent="0.3">
      <c r="A584" s="11"/>
      <c r="B584" s="8"/>
      <c r="C584" s="7" t="str">
        <f>IF(B584="","",IFERROR(INDEX(Vidriería!$C$2:$C$301,MATCH(B584,Vidriería!$A$2:$A$301,0))&amp;" "&amp;INDEX(Vidriería!$D$2:$D$301,MATCH(B584,Vidriería!$A$2:$A$301,0)),"ID no existe"))</f>
        <v/>
      </c>
      <c r="D584" s="8"/>
      <c r="E584" s="8"/>
      <c r="F584" s="8"/>
      <c r="G584" s="13"/>
    </row>
    <row r="585" spans="1:7" x14ac:dyDescent="0.3">
      <c r="A585" s="11"/>
      <c r="B585" s="8"/>
      <c r="C585" s="7" t="str">
        <f>IF(B585="","",IFERROR(INDEX(Vidriería!$C$2:$C$301,MATCH(B585,Vidriería!$A$2:$A$301,0))&amp;" "&amp;INDEX(Vidriería!$D$2:$D$301,MATCH(B585,Vidriería!$A$2:$A$301,0)),"ID no existe"))</f>
        <v/>
      </c>
      <c r="D585" s="8"/>
      <c r="E585" s="8"/>
      <c r="F585" s="8"/>
      <c r="G585" s="13"/>
    </row>
    <row r="586" spans="1:7" x14ac:dyDescent="0.3">
      <c r="A586" s="11"/>
      <c r="B586" s="8"/>
      <c r="C586" s="7" t="str">
        <f>IF(B586="","",IFERROR(INDEX(Vidriería!$C$2:$C$301,MATCH(B586,Vidriería!$A$2:$A$301,0))&amp;" "&amp;INDEX(Vidriería!$D$2:$D$301,MATCH(B586,Vidriería!$A$2:$A$301,0)),"ID no existe"))</f>
        <v/>
      </c>
      <c r="D586" s="8"/>
      <c r="E586" s="8"/>
      <c r="F586" s="8"/>
      <c r="G586" s="13"/>
    </row>
    <row r="587" spans="1:7" x14ac:dyDescent="0.3">
      <c r="A587" s="11"/>
      <c r="B587" s="8"/>
      <c r="C587" s="7" t="str">
        <f>IF(B587="","",IFERROR(INDEX(Vidriería!$C$2:$C$301,MATCH(B587,Vidriería!$A$2:$A$301,0))&amp;" "&amp;INDEX(Vidriería!$D$2:$D$301,MATCH(B587,Vidriería!$A$2:$A$301,0)),"ID no existe"))</f>
        <v/>
      </c>
      <c r="D587" s="8"/>
      <c r="E587" s="8"/>
      <c r="F587" s="8"/>
      <c r="G587" s="13"/>
    </row>
    <row r="588" spans="1:7" x14ac:dyDescent="0.3">
      <c r="A588" s="11"/>
      <c r="B588" s="8"/>
      <c r="C588" s="7" t="str">
        <f>IF(B588="","",IFERROR(INDEX(Vidriería!$C$2:$C$301,MATCH(B588,Vidriería!$A$2:$A$301,0))&amp;" "&amp;INDEX(Vidriería!$D$2:$D$301,MATCH(B588,Vidriería!$A$2:$A$301,0)),"ID no existe"))</f>
        <v/>
      </c>
      <c r="D588" s="8"/>
      <c r="E588" s="8"/>
      <c r="F588" s="8"/>
      <c r="G588" s="13"/>
    </row>
    <row r="589" spans="1:7" x14ac:dyDescent="0.3">
      <c r="A589" s="11"/>
      <c r="B589" s="8"/>
      <c r="C589" s="7" t="str">
        <f>IF(B589="","",IFERROR(INDEX(Vidriería!$C$2:$C$301,MATCH(B589,Vidriería!$A$2:$A$301,0))&amp;" "&amp;INDEX(Vidriería!$D$2:$D$301,MATCH(B589,Vidriería!$A$2:$A$301,0)),"ID no existe"))</f>
        <v/>
      </c>
      <c r="D589" s="8"/>
      <c r="E589" s="8"/>
      <c r="F589" s="8"/>
      <c r="G589" s="13"/>
    </row>
    <row r="590" spans="1:7" x14ac:dyDescent="0.3">
      <c r="A590" s="11"/>
      <c r="B590" s="8"/>
      <c r="C590" s="7" t="str">
        <f>IF(B590="","",IFERROR(INDEX(Vidriería!$C$2:$C$301,MATCH(B590,Vidriería!$A$2:$A$301,0))&amp;" "&amp;INDEX(Vidriería!$D$2:$D$301,MATCH(B590,Vidriería!$A$2:$A$301,0)),"ID no existe"))</f>
        <v/>
      </c>
      <c r="D590" s="8"/>
      <c r="E590" s="8"/>
      <c r="F590" s="8"/>
      <c r="G590" s="13"/>
    </row>
    <row r="591" spans="1:7" x14ac:dyDescent="0.3">
      <c r="A591" s="11"/>
      <c r="B591" s="8"/>
      <c r="C591" s="7" t="str">
        <f>IF(B591="","",IFERROR(INDEX(Vidriería!$C$2:$C$301,MATCH(B591,Vidriería!$A$2:$A$301,0))&amp;" "&amp;INDEX(Vidriería!$D$2:$D$301,MATCH(B591,Vidriería!$A$2:$A$301,0)),"ID no existe"))</f>
        <v/>
      </c>
      <c r="D591" s="8"/>
      <c r="E591" s="8"/>
      <c r="F591" s="8"/>
      <c r="G591" s="13"/>
    </row>
    <row r="592" spans="1:7" x14ac:dyDescent="0.3">
      <c r="A592" s="11"/>
      <c r="B592" s="8"/>
      <c r="C592" s="7" t="str">
        <f>IF(B592="","",IFERROR(INDEX(Vidriería!$C$2:$C$301,MATCH(B592,Vidriería!$A$2:$A$301,0))&amp;" "&amp;INDEX(Vidriería!$D$2:$D$301,MATCH(B592,Vidriería!$A$2:$A$301,0)),"ID no existe"))</f>
        <v/>
      </c>
      <c r="D592" s="8"/>
      <c r="E592" s="8"/>
      <c r="F592" s="8"/>
      <c r="G592" s="13"/>
    </row>
    <row r="593" spans="1:7" x14ac:dyDescent="0.3">
      <c r="A593" s="11"/>
      <c r="B593" s="8"/>
      <c r="C593" s="7" t="str">
        <f>IF(B593="","",IFERROR(INDEX(Vidriería!$C$2:$C$301,MATCH(B593,Vidriería!$A$2:$A$301,0))&amp;" "&amp;INDEX(Vidriería!$D$2:$D$301,MATCH(B593,Vidriería!$A$2:$A$301,0)),"ID no existe"))</f>
        <v/>
      </c>
      <c r="D593" s="8"/>
      <c r="E593" s="8"/>
      <c r="F593" s="8"/>
      <c r="G593" s="13"/>
    </row>
    <row r="594" spans="1:7" x14ac:dyDescent="0.3">
      <c r="A594" s="11"/>
      <c r="B594" s="8"/>
      <c r="C594" s="7" t="str">
        <f>IF(B594="","",IFERROR(INDEX(Vidriería!$C$2:$C$301,MATCH(B594,Vidriería!$A$2:$A$301,0))&amp;" "&amp;INDEX(Vidriería!$D$2:$D$301,MATCH(B594,Vidriería!$A$2:$A$301,0)),"ID no existe"))</f>
        <v/>
      </c>
      <c r="D594" s="8"/>
      <c r="E594" s="8"/>
      <c r="F594" s="8"/>
      <c r="G594" s="13"/>
    </row>
    <row r="595" spans="1:7" x14ac:dyDescent="0.3">
      <c r="A595" s="11"/>
      <c r="B595" s="8"/>
      <c r="C595" s="7" t="str">
        <f>IF(B595="","",IFERROR(INDEX(Vidriería!$C$2:$C$301,MATCH(B595,Vidriería!$A$2:$A$301,0))&amp;" "&amp;INDEX(Vidriería!$D$2:$D$301,MATCH(B595,Vidriería!$A$2:$A$301,0)),"ID no existe"))</f>
        <v/>
      </c>
      <c r="D595" s="8"/>
      <c r="E595" s="8"/>
      <c r="F595" s="8"/>
      <c r="G595" s="13"/>
    </row>
    <row r="596" spans="1:7" x14ac:dyDescent="0.3">
      <c r="A596" s="11"/>
      <c r="B596" s="8"/>
      <c r="C596" s="7" t="str">
        <f>IF(B596="","",IFERROR(INDEX(Vidriería!$C$2:$C$301,MATCH(B596,Vidriería!$A$2:$A$301,0))&amp;" "&amp;INDEX(Vidriería!$D$2:$D$301,MATCH(B596,Vidriería!$A$2:$A$301,0)),"ID no existe"))</f>
        <v/>
      </c>
      <c r="D596" s="8"/>
      <c r="E596" s="8"/>
      <c r="F596" s="8"/>
      <c r="G596" s="13"/>
    </row>
    <row r="597" spans="1:7" x14ac:dyDescent="0.3">
      <c r="A597" s="11"/>
      <c r="B597" s="8"/>
      <c r="C597" s="7" t="str">
        <f>IF(B597="","",IFERROR(INDEX(Vidriería!$C$2:$C$301,MATCH(B597,Vidriería!$A$2:$A$301,0))&amp;" "&amp;INDEX(Vidriería!$D$2:$D$301,MATCH(B597,Vidriería!$A$2:$A$301,0)),"ID no existe"))</f>
        <v/>
      </c>
      <c r="D597" s="8"/>
      <c r="E597" s="8"/>
      <c r="F597" s="8"/>
      <c r="G597" s="13"/>
    </row>
    <row r="598" spans="1:7" x14ac:dyDescent="0.3">
      <c r="A598" s="11"/>
      <c r="B598" s="8"/>
      <c r="C598" s="7" t="str">
        <f>IF(B598="","",IFERROR(INDEX(Vidriería!$C$2:$C$301,MATCH(B598,Vidriería!$A$2:$A$301,0))&amp;" "&amp;INDEX(Vidriería!$D$2:$D$301,MATCH(B598,Vidriería!$A$2:$A$301,0)),"ID no existe"))</f>
        <v/>
      </c>
      <c r="D598" s="8"/>
      <c r="E598" s="8"/>
      <c r="F598" s="8"/>
      <c r="G598" s="13"/>
    </row>
    <row r="599" spans="1:7" x14ac:dyDescent="0.3">
      <c r="A599" s="11"/>
      <c r="B599" s="8"/>
      <c r="C599" s="7" t="str">
        <f>IF(B599="","",IFERROR(INDEX(Vidriería!$C$2:$C$301,MATCH(B599,Vidriería!$A$2:$A$301,0))&amp;" "&amp;INDEX(Vidriería!$D$2:$D$301,MATCH(B599,Vidriería!$A$2:$A$301,0)),"ID no existe"))</f>
        <v/>
      </c>
      <c r="D599" s="8"/>
      <c r="E599" s="8"/>
      <c r="F599" s="8"/>
      <c r="G599" s="13"/>
    </row>
    <row r="600" spans="1:7" x14ac:dyDescent="0.3">
      <c r="A600" s="11"/>
      <c r="B600" s="8"/>
      <c r="C600" s="7" t="str">
        <f>IF(B600="","",IFERROR(INDEX(Vidriería!$C$2:$C$301,MATCH(B600,Vidriería!$A$2:$A$301,0))&amp;" "&amp;INDEX(Vidriería!$D$2:$D$301,MATCH(B600,Vidriería!$A$2:$A$301,0)),"ID no existe"))</f>
        <v/>
      </c>
      <c r="D600" s="8"/>
      <c r="E600" s="8"/>
      <c r="F600" s="8"/>
      <c r="G600" s="13"/>
    </row>
    <row r="601" spans="1:7" x14ac:dyDescent="0.3">
      <c r="A601" s="11"/>
      <c r="B601" s="8"/>
      <c r="C601" s="7" t="str">
        <f>IF(B601="","",IFERROR(INDEX(Vidriería!$C$2:$C$301,MATCH(B601,Vidriería!$A$2:$A$301,0))&amp;" "&amp;INDEX(Vidriería!$D$2:$D$301,MATCH(B601,Vidriería!$A$2:$A$301,0)),"ID no existe"))</f>
        <v/>
      </c>
      <c r="D601" s="8"/>
      <c r="E601" s="8"/>
      <c r="F601" s="8"/>
      <c r="G601" s="13"/>
    </row>
    <row r="602" spans="1:7" x14ac:dyDescent="0.3">
      <c r="A602" s="11"/>
      <c r="B602" s="8"/>
      <c r="C602" s="7" t="str">
        <f>IF(B602="","",IFERROR(INDEX(Vidriería!$C$2:$C$301,MATCH(B602,Vidriería!$A$2:$A$301,0))&amp;" "&amp;INDEX(Vidriería!$D$2:$D$301,MATCH(B602,Vidriería!$A$2:$A$301,0)),"ID no existe"))</f>
        <v/>
      </c>
      <c r="D602" s="8"/>
      <c r="E602" s="8"/>
      <c r="F602" s="8"/>
      <c r="G602" s="13"/>
    </row>
    <row r="603" spans="1:7" x14ac:dyDescent="0.3">
      <c r="A603" s="11"/>
      <c r="B603" s="8"/>
      <c r="C603" s="7" t="str">
        <f>IF(B603="","",IFERROR(INDEX(Vidriería!$C$2:$C$301,MATCH(B603,Vidriería!$A$2:$A$301,0))&amp;" "&amp;INDEX(Vidriería!$D$2:$D$301,MATCH(B603,Vidriería!$A$2:$A$301,0)),"ID no existe"))</f>
        <v/>
      </c>
      <c r="D603" s="8"/>
      <c r="E603" s="8"/>
      <c r="F603" s="8"/>
      <c r="G603" s="13"/>
    </row>
    <row r="604" spans="1:7" x14ac:dyDescent="0.3">
      <c r="A604" s="11"/>
      <c r="B604" s="8"/>
      <c r="C604" s="7" t="str">
        <f>IF(B604="","",IFERROR(INDEX(Vidriería!$C$2:$C$301,MATCH(B604,Vidriería!$A$2:$A$301,0))&amp;" "&amp;INDEX(Vidriería!$D$2:$D$301,MATCH(B604,Vidriería!$A$2:$A$301,0)),"ID no existe"))</f>
        <v/>
      </c>
      <c r="D604" s="8"/>
      <c r="E604" s="8"/>
      <c r="F604" s="8"/>
      <c r="G604" s="13"/>
    </row>
    <row r="605" spans="1:7" x14ac:dyDescent="0.3">
      <c r="A605" s="11"/>
      <c r="B605" s="8"/>
      <c r="C605" s="7" t="str">
        <f>IF(B605="","",IFERROR(INDEX(Vidriería!$C$2:$C$301,MATCH(B605,Vidriería!$A$2:$A$301,0))&amp;" "&amp;INDEX(Vidriería!$D$2:$D$301,MATCH(B605,Vidriería!$A$2:$A$301,0)),"ID no existe"))</f>
        <v/>
      </c>
      <c r="D605" s="8"/>
      <c r="E605" s="8"/>
      <c r="F605" s="8"/>
      <c r="G605" s="13"/>
    </row>
    <row r="606" spans="1:7" x14ac:dyDescent="0.3">
      <c r="A606" s="11"/>
      <c r="B606" s="8"/>
      <c r="C606" s="7" t="str">
        <f>IF(B606="","",IFERROR(INDEX(Vidriería!$C$2:$C$301,MATCH(B606,Vidriería!$A$2:$A$301,0))&amp;" "&amp;INDEX(Vidriería!$D$2:$D$301,MATCH(B606,Vidriería!$A$2:$A$301,0)),"ID no existe"))</f>
        <v/>
      </c>
      <c r="D606" s="8"/>
      <c r="E606" s="8"/>
      <c r="F606" s="8"/>
      <c r="G606" s="13"/>
    </row>
    <row r="607" spans="1:7" x14ac:dyDescent="0.3">
      <c r="A607" s="11"/>
      <c r="B607" s="8"/>
      <c r="C607" s="7" t="str">
        <f>IF(B607="","",IFERROR(INDEX(Vidriería!$C$2:$C$301,MATCH(B607,Vidriería!$A$2:$A$301,0))&amp;" "&amp;INDEX(Vidriería!$D$2:$D$301,MATCH(B607,Vidriería!$A$2:$A$301,0)),"ID no existe"))</f>
        <v/>
      </c>
      <c r="D607" s="8"/>
      <c r="E607" s="8"/>
      <c r="F607" s="8"/>
      <c r="G607" s="13"/>
    </row>
    <row r="608" spans="1:7" x14ac:dyDescent="0.3">
      <c r="A608" s="11"/>
      <c r="B608" s="8"/>
      <c r="C608" s="7" t="str">
        <f>IF(B608="","",IFERROR(INDEX(Vidriería!$C$2:$C$301,MATCH(B608,Vidriería!$A$2:$A$301,0))&amp;" "&amp;INDEX(Vidriería!$D$2:$D$301,MATCH(B608,Vidriería!$A$2:$A$301,0)),"ID no existe"))</f>
        <v/>
      </c>
      <c r="D608" s="8"/>
      <c r="E608" s="8"/>
      <c r="F608" s="8"/>
      <c r="G608" s="13"/>
    </row>
    <row r="609" spans="1:7" x14ac:dyDescent="0.3">
      <c r="A609" s="11"/>
      <c r="B609" s="8"/>
      <c r="C609" s="7" t="str">
        <f>IF(B609="","",IFERROR(INDEX(Vidriería!$C$2:$C$301,MATCH(B609,Vidriería!$A$2:$A$301,0))&amp;" "&amp;INDEX(Vidriería!$D$2:$D$301,MATCH(B609,Vidriería!$A$2:$A$301,0)),"ID no existe"))</f>
        <v/>
      </c>
      <c r="D609" s="8"/>
      <c r="E609" s="8"/>
      <c r="F609" s="8"/>
      <c r="G609" s="13"/>
    </row>
    <row r="610" spans="1:7" x14ac:dyDescent="0.3">
      <c r="A610" s="11"/>
      <c r="B610" s="8"/>
      <c r="C610" s="7" t="str">
        <f>IF(B610="","",IFERROR(INDEX(Vidriería!$C$2:$C$301,MATCH(B610,Vidriería!$A$2:$A$301,0))&amp;" "&amp;INDEX(Vidriería!$D$2:$D$301,MATCH(B610,Vidriería!$A$2:$A$301,0)),"ID no existe"))</f>
        <v/>
      </c>
      <c r="D610" s="8"/>
      <c r="E610" s="8"/>
      <c r="F610" s="8"/>
      <c r="G610" s="13"/>
    </row>
    <row r="611" spans="1:7" x14ac:dyDescent="0.3">
      <c r="A611" s="11"/>
      <c r="B611" s="8"/>
      <c r="C611" s="7" t="str">
        <f>IF(B611="","",IFERROR(INDEX(Vidriería!$C$2:$C$301,MATCH(B611,Vidriería!$A$2:$A$301,0))&amp;" "&amp;INDEX(Vidriería!$D$2:$D$301,MATCH(B611,Vidriería!$A$2:$A$301,0)),"ID no existe"))</f>
        <v/>
      </c>
      <c r="D611" s="8"/>
      <c r="E611" s="8"/>
      <c r="F611" s="8"/>
      <c r="G611" s="13"/>
    </row>
    <row r="612" spans="1:7" x14ac:dyDescent="0.3">
      <c r="A612" s="11"/>
      <c r="B612" s="8"/>
      <c r="C612" s="7" t="str">
        <f>IF(B612="","",IFERROR(INDEX(Vidriería!$C$2:$C$301,MATCH(B612,Vidriería!$A$2:$A$301,0))&amp;" "&amp;INDEX(Vidriería!$D$2:$D$301,MATCH(B612,Vidriería!$A$2:$A$301,0)),"ID no existe"))</f>
        <v/>
      </c>
      <c r="D612" s="8"/>
      <c r="E612" s="8"/>
      <c r="F612" s="8"/>
      <c r="G612" s="13"/>
    </row>
    <row r="613" spans="1:7" x14ac:dyDescent="0.3">
      <c r="A613" s="11"/>
      <c r="B613" s="8"/>
      <c r="C613" s="7" t="str">
        <f>IF(B613="","",IFERROR(INDEX(Vidriería!$C$2:$C$301,MATCH(B613,Vidriería!$A$2:$A$301,0))&amp;" "&amp;INDEX(Vidriería!$D$2:$D$301,MATCH(B613,Vidriería!$A$2:$A$301,0)),"ID no existe"))</f>
        <v/>
      </c>
      <c r="D613" s="8"/>
      <c r="E613" s="8"/>
      <c r="F613" s="8"/>
      <c r="G613" s="13"/>
    </row>
    <row r="614" spans="1:7" x14ac:dyDescent="0.3">
      <c r="A614" s="11"/>
      <c r="B614" s="8"/>
      <c r="C614" s="7" t="str">
        <f>IF(B614="","",IFERROR(INDEX(Vidriería!$C$2:$C$301,MATCH(B614,Vidriería!$A$2:$A$301,0))&amp;" "&amp;INDEX(Vidriería!$D$2:$D$301,MATCH(B614,Vidriería!$A$2:$A$301,0)),"ID no existe"))</f>
        <v/>
      </c>
      <c r="D614" s="8"/>
      <c r="E614" s="8"/>
      <c r="F614" s="8"/>
      <c r="G614" s="13"/>
    </row>
    <row r="615" spans="1:7" x14ac:dyDescent="0.3">
      <c r="A615" s="11"/>
      <c r="B615" s="8"/>
      <c r="C615" s="7" t="str">
        <f>IF(B615="","",IFERROR(INDEX(Vidriería!$C$2:$C$301,MATCH(B615,Vidriería!$A$2:$A$301,0))&amp;" "&amp;INDEX(Vidriería!$D$2:$D$301,MATCH(B615,Vidriería!$A$2:$A$301,0)),"ID no existe"))</f>
        <v/>
      </c>
      <c r="D615" s="8"/>
      <c r="E615" s="8"/>
      <c r="F615" s="8"/>
      <c r="G615" s="13"/>
    </row>
    <row r="616" spans="1:7" x14ac:dyDescent="0.3">
      <c r="A616" s="11"/>
      <c r="B616" s="8"/>
      <c r="C616" s="7" t="str">
        <f>IF(B616="","",IFERROR(INDEX(Vidriería!$C$2:$C$301,MATCH(B616,Vidriería!$A$2:$A$301,0))&amp;" "&amp;INDEX(Vidriería!$D$2:$D$301,MATCH(B616,Vidriería!$A$2:$A$301,0)),"ID no existe"))</f>
        <v/>
      </c>
      <c r="D616" s="8"/>
      <c r="E616" s="8"/>
      <c r="F616" s="8"/>
      <c r="G616" s="13"/>
    </row>
    <row r="617" spans="1:7" x14ac:dyDescent="0.3">
      <c r="A617" s="11"/>
      <c r="B617" s="8"/>
      <c r="C617" s="7" t="str">
        <f>IF(B617="","",IFERROR(INDEX(Vidriería!$C$2:$C$301,MATCH(B617,Vidriería!$A$2:$A$301,0))&amp;" "&amp;INDEX(Vidriería!$D$2:$D$301,MATCH(B617,Vidriería!$A$2:$A$301,0)),"ID no existe"))</f>
        <v/>
      </c>
      <c r="D617" s="8"/>
      <c r="E617" s="8"/>
      <c r="F617" s="8"/>
      <c r="G617" s="13"/>
    </row>
    <row r="618" spans="1:7" x14ac:dyDescent="0.3">
      <c r="A618" s="11"/>
      <c r="B618" s="8"/>
      <c r="C618" s="7" t="str">
        <f>IF(B618="","",IFERROR(INDEX(Vidriería!$C$2:$C$301,MATCH(B618,Vidriería!$A$2:$A$301,0))&amp;" "&amp;INDEX(Vidriería!$D$2:$D$301,MATCH(B618,Vidriería!$A$2:$A$301,0)),"ID no existe"))</f>
        <v/>
      </c>
      <c r="D618" s="8"/>
      <c r="E618" s="8"/>
      <c r="F618" s="8"/>
      <c r="G618" s="13"/>
    </row>
    <row r="619" spans="1:7" x14ac:dyDescent="0.3">
      <c r="A619" s="11"/>
      <c r="B619" s="8"/>
      <c r="C619" s="7" t="str">
        <f>IF(B619="","",IFERROR(INDEX(Vidriería!$C$2:$C$301,MATCH(B619,Vidriería!$A$2:$A$301,0))&amp;" "&amp;INDEX(Vidriería!$D$2:$D$301,MATCH(B619,Vidriería!$A$2:$A$301,0)),"ID no existe"))</f>
        <v/>
      </c>
      <c r="D619" s="8"/>
      <c r="E619" s="8"/>
      <c r="F619" s="8"/>
      <c r="G619" s="13"/>
    </row>
    <row r="620" spans="1:7" x14ac:dyDescent="0.3">
      <c r="A620" s="11"/>
      <c r="B620" s="8"/>
      <c r="C620" s="7" t="str">
        <f>IF(B620="","",IFERROR(INDEX(Vidriería!$C$2:$C$301,MATCH(B620,Vidriería!$A$2:$A$301,0))&amp;" "&amp;INDEX(Vidriería!$D$2:$D$301,MATCH(B620,Vidriería!$A$2:$A$301,0)),"ID no existe"))</f>
        <v/>
      </c>
      <c r="D620" s="8"/>
      <c r="E620" s="8"/>
      <c r="F620" s="8"/>
      <c r="G620" s="13"/>
    </row>
    <row r="621" spans="1:7" x14ac:dyDescent="0.3">
      <c r="A621" s="11"/>
      <c r="B621" s="8"/>
      <c r="C621" s="7" t="str">
        <f>IF(B621="","",IFERROR(INDEX(Vidriería!$C$2:$C$301,MATCH(B621,Vidriería!$A$2:$A$301,0))&amp;" "&amp;INDEX(Vidriería!$D$2:$D$301,MATCH(B621,Vidriería!$A$2:$A$301,0)),"ID no existe"))</f>
        <v/>
      </c>
      <c r="D621" s="8"/>
      <c r="E621" s="8"/>
      <c r="F621" s="8"/>
      <c r="G621" s="13"/>
    </row>
    <row r="622" spans="1:7" x14ac:dyDescent="0.3">
      <c r="A622" s="11"/>
      <c r="B622" s="8"/>
      <c r="C622" s="7" t="str">
        <f>IF(B622="","",IFERROR(INDEX(Vidriería!$C$2:$C$301,MATCH(B622,Vidriería!$A$2:$A$301,0))&amp;" "&amp;INDEX(Vidriería!$D$2:$D$301,MATCH(B622,Vidriería!$A$2:$A$301,0)),"ID no existe"))</f>
        <v/>
      </c>
      <c r="D622" s="8"/>
      <c r="E622" s="8"/>
      <c r="F622" s="8"/>
      <c r="G622" s="13"/>
    </row>
    <row r="623" spans="1:7" x14ac:dyDescent="0.3">
      <c r="A623" s="11"/>
      <c r="B623" s="8"/>
      <c r="C623" s="7" t="str">
        <f>IF(B623="","",IFERROR(INDEX(Vidriería!$C$2:$C$301,MATCH(B623,Vidriería!$A$2:$A$301,0))&amp;" "&amp;INDEX(Vidriería!$D$2:$D$301,MATCH(B623,Vidriería!$A$2:$A$301,0)),"ID no existe"))</f>
        <v/>
      </c>
      <c r="D623" s="8"/>
      <c r="E623" s="8"/>
      <c r="F623" s="8"/>
      <c r="G623" s="13"/>
    </row>
    <row r="624" spans="1:7" x14ac:dyDescent="0.3">
      <c r="A624" s="11"/>
      <c r="B624" s="8"/>
      <c r="C624" s="7" t="str">
        <f>IF(B624="","",IFERROR(INDEX(Vidriería!$C$2:$C$301,MATCH(B624,Vidriería!$A$2:$A$301,0))&amp;" "&amp;INDEX(Vidriería!$D$2:$D$301,MATCH(B624,Vidriería!$A$2:$A$301,0)),"ID no existe"))</f>
        <v/>
      </c>
      <c r="D624" s="8"/>
      <c r="E624" s="8"/>
      <c r="F624" s="8"/>
      <c r="G624" s="13"/>
    </row>
    <row r="625" spans="1:7" x14ac:dyDescent="0.3">
      <c r="A625" s="11"/>
      <c r="B625" s="8"/>
      <c r="C625" s="7" t="str">
        <f>IF(B625="","",IFERROR(INDEX(Vidriería!$C$2:$C$301,MATCH(B625,Vidriería!$A$2:$A$301,0))&amp;" "&amp;INDEX(Vidriería!$D$2:$D$301,MATCH(B625,Vidriería!$A$2:$A$301,0)),"ID no existe"))</f>
        <v/>
      </c>
      <c r="D625" s="8"/>
      <c r="E625" s="8"/>
      <c r="F625" s="8"/>
      <c r="G625" s="13"/>
    </row>
    <row r="626" spans="1:7" x14ac:dyDescent="0.3">
      <c r="A626" s="11"/>
      <c r="B626" s="8"/>
      <c r="C626" s="7" t="str">
        <f>IF(B626="","",IFERROR(INDEX(Vidriería!$C$2:$C$301,MATCH(B626,Vidriería!$A$2:$A$301,0))&amp;" "&amp;INDEX(Vidriería!$D$2:$D$301,MATCH(B626,Vidriería!$A$2:$A$301,0)),"ID no existe"))</f>
        <v/>
      </c>
      <c r="D626" s="8"/>
      <c r="E626" s="8"/>
      <c r="F626" s="8"/>
      <c r="G626" s="13"/>
    </row>
    <row r="627" spans="1:7" x14ac:dyDescent="0.3">
      <c r="A627" s="11"/>
      <c r="B627" s="8"/>
      <c r="C627" s="7" t="str">
        <f>IF(B627="","",IFERROR(INDEX(Vidriería!$C$2:$C$301,MATCH(B627,Vidriería!$A$2:$A$301,0))&amp;" "&amp;INDEX(Vidriería!$D$2:$D$301,MATCH(B627,Vidriería!$A$2:$A$301,0)),"ID no existe"))</f>
        <v/>
      </c>
      <c r="D627" s="8"/>
      <c r="E627" s="8"/>
      <c r="F627" s="8"/>
      <c r="G627" s="13"/>
    </row>
    <row r="628" spans="1:7" x14ac:dyDescent="0.3">
      <c r="A628" s="11"/>
      <c r="B628" s="8"/>
      <c r="C628" s="7" t="str">
        <f>IF(B628="","",IFERROR(INDEX(Vidriería!$C$2:$C$301,MATCH(B628,Vidriería!$A$2:$A$301,0))&amp;" "&amp;INDEX(Vidriería!$D$2:$D$301,MATCH(B628,Vidriería!$A$2:$A$301,0)),"ID no existe"))</f>
        <v/>
      </c>
      <c r="D628" s="8"/>
      <c r="E628" s="8"/>
      <c r="F628" s="8"/>
      <c r="G628" s="13"/>
    </row>
    <row r="629" spans="1:7" x14ac:dyDescent="0.3">
      <c r="A629" s="11"/>
      <c r="B629" s="8"/>
      <c r="C629" s="7" t="str">
        <f>IF(B629="","",IFERROR(INDEX(Vidriería!$C$2:$C$301,MATCH(B629,Vidriería!$A$2:$A$301,0))&amp;" "&amp;INDEX(Vidriería!$D$2:$D$301,MATCH(B629,Vidriería!$A$2:$A$301,0)),"ID no existe"))</f>
        <v/>
      </c>
      <c r="D629" s="8"/>
      <c r="E629" s="8"/>
      <c r="F629" s="8"/>
      <c r="G629" s="13"/>
    </row>
    <row r="630" spans="1:7" x14ac:dyDescent="0.3">
      <c r="A630" s="11"/>
      <c r="B630" s="8"/>
      <c r="C630" s="7" t="str">
        <f>IF(B630="","",IFERROR(INDEX(Vidriería!$C$2:$C$301,MATCH(B630,Vidriería!$A$2:$A$301,0))&amp;" "&amp;INDEX(Vidriería!$D$2:$D$301,MATCH(B630,Vidriería!$A$2:$A$301,0)),"ID no existe"))</f>
        <v/>
      </c>
      <c r="D630" s="8"/>
      <c r="E630" s="8"/>
      <c r="F630" s="8"/>
      <c r="G630" s="13"/>
    </row>
    <row r="631" spans="1:7" x14ac:dyDescent="0.3">
      <c r="A631" s="11"/>
      <c r="B631" s="8"/>
      <c r="C631" s="7" t="str">
        <f>IF(B631="","",IFERROR(INDEX(Vidriería!$C$2:$C$301,MATCH(B631,Vidriería!$A$2:$A$301,0))&amp;" "&amp;INDEX(Vidriería!$D$2:$D$301,MATCH(B631,Vidriería!$A$2:$A$301,0)),"ID no existe"))</f>
        <v/>
      </c>
      <c r="D631" s="8"/>
      <c r="E631" s="8"/>
      <c r="F631" s="8"/>
      <c r="G631" s="13"/>
    </row>
    <row r="632" spans="1:7" x14ac:dyDescent="0.3">
      <c r="A632" s="11"/>
      <c r="B632" s="8"/>
      <c r="C632" s="7" t="str">
        <f>IF(B632="","",IFERROR(INDEX(Vidriería!$C$2:$C$301,MATCH(B632,Vidriería!$A$2:$A$301,0))&amp;" "&amp;INDEX(Vidriería!$D$2:$D$301,MATCH(B632,Vidriería!$A$2:$A$301,0)),"ID no existe"))</f>
        <v/>
      </c>
      <c r="D632" s="8"/>
      <c r="E632" s="8"/>
      <c r="F632" s="8"/>
      <c r="G632" s="13"/>
    </row>
    <row r="633" spans="1:7" x14ac:dyDescent="0.3">
      <c r="A633" s="11"/>
      <c r="B633" s="8"/>
      <c r="C633" s="7" t="str">
        <f>IF(B633="","",IFERROR(INDEX(Vidriería!$C$2:$C$301,MATCH(B633,Vidriería!$A$2:$A$301,0))&amp;" "&amp;INDEX(Vidriería!$D$2:$D$301,MATCH(B633,Vidriería!$A$2:$A$301,0)),"ID no existe"))</f>
        <v/>
      </c>
      <c r="D633" s="8"/>
      <c r="E633" s="8"/>
      <c r="F633" s="8"/>
      <c r="G633" s="13"/>
    </row>
    <row r="634" spans="1:7" x14ac:dyDescent="0.3">
      <c r="A634" s="11"/>
      <c r="B634" s="8"/>
      <c r="C634" s="7" t="str">
        <f>IF(B634="","",IFERROR(INDEX(Vidriería!$C$2:$C$301,MATCH(B634,Vidriería!$A$2:$A$301,0))&amp;" "&amp;INDEX(Vidriería!$D$2:$D$301,MATCH(B634,Vidriería!$A$2:$A$301,0)),"ID no existe"))</f>
        <v/>
      </c>
      <c r="D634" s="8"/>
      <c r="E634" s="8"/>
      <c r="F634" s="8"/>
      <c r="G634" s="13"/>
    </row>
    <row r="635" spans="1:7" x14ac:dyDescent="0.3">
      <c r="A635" s="11"/>
      <c r="B635" s="8"/>
      <c r="C635" s="7" t="str">
        <f>IF(B635="","",IFERROR(INDEX(Vidriería!$C$2:$C$301,MATCH(B635,Vidriería!$A$2:$A$301,0))&amp;" "&amp;INDEX(Vidriería!$D$2:$D$301,MATCH(B635,Vidriería!$A$2:$A$301,0)),"ID no existe"))</f>
        <v/>
      </c>
      <c r="D635" s="8"/>
      <c r="E635" s="8"/>
      <c r="F635" s="8"/>
      <c r="G635" s="13"/>
    </row>
    <row r="636" spans="1:7" x14ac:dyDescent="0.3">
      <c r="A636" s="11"/>
      <c r="B636" s="8"/>
      <c r="C636" s="7" t="str">
        <f>IF(B636="","",IFERROR(INDEX(Vidriería!$C$2:$C$301,MATCH(B636,Vidriería!$A$2:$A$301,0))&amp;" "&amp;INDEX(Vidriería!$D$2:$D$301,MATCH(B636,Vidriería!$A$2:$A$301,0)),"ID no existe"))</f>
        <v/>
      </c>
      <c r="D636" s="8"/>
      <c r="E636" s="8"/>
      <c r="F636" s="8"/>
      <c r="G636" s="13"/>
    </row>
    <row r="637" spans="1:7" x14ac:dyDescent="0.3">
      <c r="A637" s="11"/>
      <c r="B637" s="8"/>
      <c r="C637" s="7" t="str">
        <f>IF(B637="","",IFERROR(INDEX(Vidriería!$C$2:$C$301,MATCH(B637,Vidriería!$A$2:$A$301,0))&amp;" "&amp;INDEX(Vidriería!$D$2:$D$301,MATCH(B637,Vidriería!$A$2:$A$301,0)),"ID no existe"))</f>
        <v/>
      </c>
      <c r="D637" s="8"/>
      <c r="E637" s="8"/>
      <c r="F637" s="8"/>
      <c r="G637" s="13"/>
    </row>
    <row r="638" spans="1:7" x14ac:dyDescent="0.3">
      <c r="A638" s="11"/>
      <c r="B638" s="8"/>
      <c r="C638" s="7" t="str">
        <f>IF(B638="","",IFERROR(INDEX(Vidriería!$C$2:$C$301,MATCH(B638,Vidriería!$A$2:$A$301,0))&amp;" "&amp;INDEX(Vidriería!$D$2:$D$301,MATCH(B638,Vidriería!$A$2:$A$301,0)),"ID no existe"))</f>
        <v/>
      </c>
      <c r="D638" s="8"/>
      <c r="E638" s="8"/>
      <c r="F638" s="8"/>
      <c r="G638" s="13"/>
    </row>
    <row r="639" spans="1:7" x14ac:dyDescent="0.3">
      <c r="A639" s="11"/>
      <c r="B639" s="8"/>
      <c r="C639" s="7" t="str">
        <f>IF(B639="","",IFERROR(INDEX(Vidriería!$C$2:$C$301,MATCH(B639,Vidriería!$A$2:$A$301,0))&amp;" "&amp;INDEX(Vidriería!$D$2:$D$301,MATCH(B639,Vidriería!$A$2:$A$301,0)),"ID no existe"))</f>
        <v/>
      </c>
      <c r="D639" s="8"/>
      <c r="E639" s="8"/>
      <c r="F639" s="8"/>
      <c r="G639" s="13"/>
    </row>
    <row r="640" spans="1:7" x14ac:dyDescent="0.3">
      <c r="A640" s="11"/>
      <c r="B640" s="8"/>
      <c r="C640" s="7" t="str">
        <f>IF(B640="","",IFERROR(INDEX(Vidriería!$C$2:$C$301,MATCH(B640,Vidriería!$A$2:$A$301,0))&amp;" "&amp;INDEX(Vidriería!$D$2:$D$301,MATCH(B640,Vidriería!$A$2:$A$301,0)),"ID no existe"))</f>
        <v/>
      </c>
      <c r="D640" s="8"/>
      <c r="E640" s="8"/>
      <c r="F640" s="8"/>
      <c r="G640" s="13"/>
    </row>
    <row r="641" spans="1:7" x14ac:dyDescent="0.3">
      <c r="A641" s="11"/>
      <c r="B641" s="8"/>
      <c r="C641" s="7" t="str">
        <f>IF(B641="","",IFERROR(INDEX(Vidriería!$C$2:$C$301,MATCH(B641,Vidriería!$A$2:$A$301,0))&amp;" "&amp;INDEX(Vidriería!$D$2:$D$301,MATCH(B641,Vidriería!$A$2:$A$301,0)),"ID no existe"))</f>
        <v/>
      </c>
      <c r="D641" s="8"/>
      <c r="E641" s="8"/>
      <c r="F641" s="8"/>
      <c r="G641" s="13"/>
    </row>
    <row r="642" spans="1:7" x14ac:dyDescent="0.3">
      <c r="A642" s="11"/>
      <c r="B642" s="8"/>
      <c r="C642" s="7" t="str">
        <f>IF(B642="","",IFERROR(INDEX(Vidriería!$C$2:$C$301,MATCH(B642,Vidriería!$A$2:$A$301,0))&amp;" "&amp;INDEX(Vidriería!$D$2:$D$301,MATCH(B642,Vidriería!$A$2:$A$301,0)),"ID no existe"))</f>
        <v/>
      </c>
      <c r="D642" s="8"/>
      <c r="E642" s="8"/>
      <c r="F642" s="8"/>
      <c r="G642" s="13"/>
    </row>
    <row r="643" spans="1:7" x14ac:dyDescent="0.3">
      <c r="A643" s="11"/>
      <c r="B643" s="8"/>
      <c r="C643" s="7" t="str">
        <f>IF(B643="","",IFERROR(INDEX(Vidriería!$C$2:$C$301,MATCH(B643,Vidriería!$A$2:$A$301,0))&amp;" "&amp;INDEX(Vidriería!$D$2:$D$301,MATCH(B643,Vidriería!$A$2:$A$301,0)),"ID no existe"))</f>
        <v/>
      </c>
      <c r="D643" s="8"/>
      <c r="E643" s="8"/>
      <c r="F643" s="8"/>
      <c r="G643" s="13"/>
    </row>
    <row r="644" spans="1:7" x14ac:dyDescent="0.3">
      <c r="A644" s="11"/>
      <c r="B644" s="8"/>
      <c r="C644" s="7" t="str">
        <f>IF(B644="","",IFERROR(INDEX(Vidriería!$C$2:$C$301,MATCH(B644,Vidriería!$A$2:$A$301,0))&amp;" "&amp;INDEX(Vidriería!$D$2:$D$301,MATCH(B644,Vidriería!$A$2:$A$301,0)),"ID no existe"))</f>
        <v/>
      </c>
      <c r="D644" s="8"/>
      <c r="E644" s="8"/>
      <c r="F644" s="8"/>
      <c r="G644" s="13"/>
    </row>
    <row r="645" spans="1:7" x14ac:dyDescent="0.3">
      <c r="A645" s="11"/>
      <c r="B645" s="8"/>
      <c r="C645" s="7" t="str">
        <f>IF(B645="","",IFERROR(INDEX(Vidriería!$C$2:$C$301,MATCH(B645,Vidriería!$A$2:$A$301,0))&amp;" "&amp;INDEX(Vidriería!$D$2:$D$301,MATCH(B645,Vidriería!$A$2:$A$301,0)),"ID no existe"))</f>
        <v/>
      </c>
      <c r="D645" s="8"/>
      <c r="E645" s="8"/>
      <c r="F645" s="8"/>
      <c r="G645" s="13"/>
    </row>
    <row r="646" spans="1:7" x14ac:dyDescent="0.3">
      <c r="A646" s="11"/>
      <c r="B646" s="8"/>
      <c r="C646" s="7" t="str">
        <f>IF(B646="","",IFERROR(INDEX(Vidriería!$C$2:$C$301,MATCH(B646,Vidriería!$A$2:$A$301,0))&amp;" "&amp;INDEX(Vidriería!$D$2:$D$301,MATCH(B646,Vidriería!$A$2:$A$301,0)),"ID no existe"))</f>
        <v/>
      </c>
      <c r="D646" s="8"/>
      <c r="E646" s="8"/>
      <c r="F646" s="8"/>
      <c r="G646" s="13"/>
    </row>
    <row r="647" spans="1:7" x14ac:dyDescent="0.3">
      <c r="A647" s="11"/>
      <c r="B647" s="8"/>
      <c r="C647" s="7" t="str">
        <f>IF(B647="","",IFERROR(INDEX(Vidriería!$C$2:$C$301,MATCH(B647,Vidriería!$A$2:$A$301,0))&amp;" "&amp;INDEX(Vidriería!$D$2:$D$301,MATCH(B647,Vidriería!$A$2:$A$301,0)),"ID no existe"))</f>
        <v/>
      </c>
      <c r="D647" s="8"/>
      <c r="E647" s="8"/>
      <c r="F647" s="8"/>
      <c r="G647" s="13"/>
    </row>
    <row r="648" spans="1:7" x14ac:dyDescent="0.3">
      <c r="A648" s="11"/>
      <c r="B648" s="8"/>
      <c r="C648" s="7" t="str">
        <f>IF(B648="","",IFERROR(INDEX(Vidriería!$C$2:$C$301,MATCH(B648,Vidriería!$A$2:$A$301,0))&amp;" "&amp;INDEX(Vidriería!$D$2:$D$301,MATCH(B648,Vidriería!$A$2:$A$301,0)),"ID no existe"))</f>
        <v/>
      </c>
      <c r="D648" s="8"/>
      <c r="E648" s="8"/>
      <c r="F648" s="8"/>
      <c r="G648" s="13"/>
    </row>
    <row r="649" spans="1:7" x14ac:dyDescent="0.3">
      <c r="A649" s="11"/>
      <c r="B649" s="8"/>
      <c r="C649" s="7" t="str">
        <f>IF(B649="","",IFERROR(INDEX(Vidriería!$C$2:$C$301,MATCH(B649,Vidriería!$A$2:$A$301,0))&amp;" "&amp;INDEX(Vidriería!$D$2:$D$301,MATCH(B649,Vidriería!$A$2:$A$301,0)),"ID no existe"))</f>
        <v/>
      </c>
      <c r="D649" s="8"/>
      <c r="E649" s="8"/>
      <c r="F649" s="8"/>
      <c r="G649" s="13"/>
    </row>
    <row r="650" spans="1:7" x14ac:dyDescent="0.3">
      <c r="A650" s="11"/>
      <c r="B650" s="8"/>
      <c r="C650" s="7" t="str">
        <f>IF(B650="","",IFERROR(INDEX(Vidriería!$C$2:$C$301,MATCH(B650,Vidriería!$A$2:$A$301,0))&amp;" "&amp;INDEX(Vidriería!$D$2:$D$301,MATCH(B650,Vidriería!$A$2:$A$301,0)),"ID no existe"))</f>
        <v/>
      </c>
      <c r="D650" s="8"/>
      <c r="E650" s="8"/>
      <c r="F650" s="8"/>
      <c r="G650" s="13"/>
    </row>
    <row r="651" spans="1:7" x14ac:dyDescent="0.3">
      <c r="A651" s="11"/>
      <c r="B651" s="8"/>
      <c r="C651" s="7" t="str">
        <f>IF(B651="","",IFERROR(INDEX(Vidriería!$C$2:$C$301,MATCH(B651,Vidriería!$A$2:$A$301,0))&amp;" "&amp;INDEX(Vidriería!$D$2:$D$301,MATCH(B651,Vidriería!$A$2:$A$301,0)),"ID no existe"))</f>
        <v/>
      </c>
      <c r="D651" s="8"/>
      <c r="E651" s="8"/>
      <c r="F651" s="8"/>
      <c r="G651" s="13"/>
    </row>
    <row r="652" spans="1:7" x14ac:dyDescent="0.3">
      <c r="A652" s="11"/>
      <c r="B652" s="8"/>
      <c r="C652" s="7" t="str">
        <f>IF(B652="","",IFERROR(INDEX(Vidriería!$C$2:$C$301,MATCH(B652,Vidriería!$A$2:$A$301,0))&amp;" "&amp;INDEX(Vidriería!$D$2:$D$301,MATCH(B652,Vidriería!$A$2:$A$301,0)),"ID no existe"))</f>
        <v/>
      </c>
      <c r="D652" s="8"/>
      <c r="E652" s="8"/>
      <c r="F652" s="8"/>
      <c r="G652" s="13"/>
    </row>
    <row r="653" spans="1:7" x14ac:dyDescent="0.3">
      <c r="A653" s="11"/>
      <c r="B653" s="8"/>
      <c r="C653" s="7" t="str">
        <f>IF(B653="","",IFERROR(INDEX(Vidriería!$C$2:$C$301,MATCH(B653,Vidriería!$A$2:$A$301,0))&amp;" "&amp;INDEX(Vidriería!$D$2:$D$301,MATCH(B653,Vidriería!$A$2:$A$301,0)),"ID no existe"))</f>
        <v/>
      </c>
      <c r="D653" s="8"/>
      <c r="E653" s="8"/>
      <c r="F653" s="8"/>
      <c r="G653" s="13"/>
    </row>
    <row r="654" spans="1:7" x14ac:dyDescent="0.3">
      <c r="A654" s="11"/>
      <c r="B654" s="8"/>
      <c r="C654" s="7" t="str">
        <f>IF(B654="","",IFERROR(INDEX(Vidriería!$C$2:$C$301,MATCH(B654,Vidriería!$A$2:$A$301,0))&amp;" "&amp;INDEX(Vidriería!$D$2:$D$301,MATCH(B654,Vidriería!$A$2:$A$301,0)),"ID no existe"))</f>
        <v/>
      </c>
      <c r="D654" s="8"/>
      <c r="E654" s="8"/>
      <c r="F654" s="8"/>
      <c r="G654" s="13"/>
    </row>
    <row r="655" spans="1:7" x14ac:dyDescent="0.3">
      <c r="A655" s="11"/>
      <c r="B655" s="8"/>
      <c r="C655" s="7" t="str">
        <f>IF(B655="","",IFERROR(INDEX(Vidriería!$C$2:$C$301,MATCH(B655,Vidriería!$A$2:$A$301,0))&amp;" "&amp;INDEX(Vidriería!$D$2:$D$301,MATCH(B655,Vidriería!$A$2:$A$301,0)),"ID no existe"))</f>
        <v/>
      </c>
      <c r="D655" s="8"/>
      <c r="E655" s="8"/>
      <c r="F655" s="8"/>
      <c r="G655" s="13"/>
    </row>
    <row r="656" spans="1:7" x14ac:dyDescent="0.3">
      <c r="A656" s="11"/>
      <c r="B656" s="8"/>
      <c r="C656" s="7" t="str">
        <f>IF(B656="","",IFERROR(INDEX(Vidriería!$C$2:$C$301,MATCH(B656,Vidriería!$A$2:$A$301,0))&amp;" "&amp;INDEX(Vidriería!$D$2:$D$301,MATCH(B656,Vidriería!$A$2:$A$301,0)),"ID no existe"))</f>
        <v/>
      </c>
      <c r="D656" s="8"/>
      <c r="E656" s="8"/>
      <c r="F656" s="8"/>
      <c r="G656" s="13"/>
    </row>
    <row r="657" spans="1:7" x14ac:dyDescent="0.3">
      <c r="A657" s="11"/>
      <c r="B657" s="8"/>
      <c r="C657" s="7" t="str">
        <f>IF(B657="","",IFERROR(INDEX(Vidriería!$C$2:$C$301,MATCH(B657,Vidriería!$A$2:$A$301,0))&amp;" "&amp;INDEX(Vidriería!$D$2:$D$301,MATCH(B657,Vidriería!$A$2:$A$301,0)),"ID no existe"))</f>
        <v/>
      </c>
      <c r="D657" s="8"/>
      <c r="E657" s="8"/>
      <c r="F657" s="8"/>
      <c r="G657" s="13"/>
    </row>
    <row r="658" spans="1:7" x14ac:dyDescent="0.3">
      <c r="A658" s="11"/>
      <c r="B658" s="8"/>
      <c r="C658" s="7" t="str">
        <f>IF(B658="","",IFERROR(INDEX(Vidriería!$C$2:$C$301,MATCH(B658,Vidriería!$A$2:$A$301,0))&amp;" "&amp;INDEX(Vidriería!$D$2:$D$301,MATCH(B658,Vidriería!$A$2:$A$301,0)),"ID no existe"))</f>
        <v/>
      </c>
      <c r="D658" s="8"/>
      <c r="E658" s="8"/>
      <c r="F658" s="8"/>
      <c r="G658" s="13"/>
    </row>
    <row r="659" spans="1:7" x14ac:dyDescent="0.3">
      <c r="A659" s="11"/>
      <c r="B659" s="8"/>
      <c r="C659" s="7" t="str">
        <f>IF(B659="","",IFERROR(INDEX(Vidriería!$C$2:$C$301,MATCH(B659,Vidriería!$A$2:$A$301,0))&amp;" "&amp;INDEX(Vidriería!$D$2:$D$301,MATCH(B659,Vidriería!$A$2:$A$301,0)),"ID no existe"))</f>
        <v/>
      </c>
      <c r="D659" s="8"/>
      <c r="E659" s="8"/>
      <c r="F659" s="8"/>
      <c r="G659" s="13"/>
    </row>
    <row r="660" spans="1:7" x14ac:dyDescent="0.3">
      <c r="A660" s="11"/>
      <c r="B660" s="8"/>
      <c r="C660" s="7" t="str">
        <f>IF(B660="","",IFERROR(INDEX(Vidriería!$C$2:$C$301,MATCH(B660,Vidriería!$A$2:$A$301,0))&amp;" "&amp;INDEX(Vidriería!$D$2:$D$301,MATCH(B660,Vidriería!$A$2:$A$301,0)),"ID no existe"))</f>
        <v/>
      </c>
      <c r="D660" s="8"/>
      <c r="E660" s="8"/>
      <c r="F660" s="8"/>
      <c r="G660" s="13"/>
    </row>
    <row r="661" spans="1:7" x14ac:dyDescent="0.3">
      <c r="A661" s="11"/>
      <c r="B661" s="8"/>
      <c r="C661" s="7" t="str">
        <f>IF(B661="","",IFERROR(INDEX(Vidriería!$C$2:$C$301,MATCH(B661,Vidriería!$A$2:$A$301,0))&amp;" "&amp;INDEX(Vidriería!$D$2:$D$301,MATCH(B661,Vidriería!$A$2:$A$301,0)),"ID no existe"))</f>
        <v/>
      </c>
      <c r="D661" s="8"/>
      <c r="E661" s="8"/>
      <c r="F661" s="8"/>
      <c r="G661" s="13"/>
    </row>
    <row r="662" spans="1:7" x14ac:dyDescent="0.3">
      <c r="A662" s="11"/>
      <c r="B662" s="8"/>
      <c r="C662" s="7" t="str">
        <f>IF(B662="","",IFERROR(INDEX(Vidriería!$C$2:$C$301,MATCH(B662,Vidriería!$A$2:$A$301,0))&amp;" "&amp;INDEX(Vidriería!$D$2:$D$301,MATCH(B662,Vidriería!$A$2:$A$301,0)),"ID no existe"))</f>
        <v/>
      </c>
      <c r="D662" s="8"/>
      <c r="E662" s="8"/>
      <c r="F662" s="8"/>
      <c r="G662" s="13"/>
    </row>
    <row r="663" spans="1:7" x14ac:dyDescent="0.3">
      <c r="A663" s="11"/>
      <c r="B663" s="8"/>
      <c r="C663" s="7" t="str">
        <f>IF(B663="","",IFERROR(INDEX(Vidriería!$C$2:$C$301,MATCH(B663,Vidriería!$A$2:$A$301,0))&amp;" "&amp;INDEX(Vidriería!$D$2:$D$301,MATCH(B663,Vidriería!$A$2:$A$301,0)),"ID no existe"))</f>
        <v/>
      </c>
      <c r="D663" s="8"/>
      <c r="E663" s="8"/>
      <c r="F663" s="8"/>
      <c r="G663" s="13"/>
    </row>
    <row r="664" spans="1:7" x14ac:dyDescent="0.3">
      <c r="A664" s="11"/>
      <c r="B664" s="8"/>
      <c r="C664" s="7" t="str">
        <f>IF(B664="","",IFERROR(INDEX(Vidriería!$C$2:$C$301,MATCH(B664,Vidriería!$A$2:$A$301,0))&amp;" "&amp;INDEX(Vidriería!$D$2:$D$301,MATCH(B664,Vidriería!$A$2:$A$301,0)),"ID no existe"))</f>
        <v/>
      </c>
      <c r="D664" s="8"/>
      <c r="E664" s="8"/>
      <c r="F664" s="8"/>
      <c r="G664" s="13"/>
    </row>
    <row r="665" spans="1:7" x14ac:dyDescent="0.3">
      <c r="A665" s="11"/>
      <c r="B665" s="8"/>
      <c r="C665" s="7" t="str">
        <f>IF(B665="","",IFERROR(INDEX(Vidriería!$C$2:$C$301,MATCH(B665,Vidriería!$A$2:$A$301,0))&amp;" "&amp;INDEX(Vidriería!$D$2:$D$301,MATCH(B665,Vidriería!$A$2:$A$301,0)),"ID no existe"))</f>
        <v/>
      </c>
      <c r="D665" s="8"/>
      <c r="E665" s="8"/>
      <c r="F665" s="8"/>
      <c r="G665" s="13"/>
    </row>
    <row r="666" spans="1:7" x14ac:dyDescent="0.3">
      <c r="A666" s="11"/>
      <c r="B666" s="8"/>
      <c r="C666" s="7" t="str">
        <f>IF(B666="","",IFERROR(INDEX(Vidriería!$C$2:$C$301,MATCH(B666,Vidriería!$A$2:$A$301,0))&amp;" "&amp;INDEX(Vidriería!$D$2:$D$301,MATCH(B666,Vidriería!$A$2:$A$301,0)),"ID no existe"))</f>
        <v/>
      </c>
      <c r="D666" s="8"/>
      <c r="E666" s="8"/>
      <c r="F666" s="8"/>
      <c r="G666" s="13"/>
    </row>
    <row r="667" spans="1:7" x14ac:dyDescent="0.3">
      <c r="A667" s="11"/>
      <c r="B667" s="8"/>
      <c r="C667" s="7" t="str">
        <f>IF(B667="","",IFERROR(INDEX(Vidriería!$C$2:$C$301,MATCH(B667,Vidriería!$A$2:$A$301,0))&amp;" "&amp;INDEX(Vidriería!$D$2:$D$301,MATCH(B667,Vidriería!$A$2:$A$301,0)),"ID no existe"))</f>
        <v/>
      </c>
      <c r="D667" s="8"/>
      <c r="E667" s="8"/>
      <c r="F667" s="8"/>
      <c r="G667" s="13"/>
    </row>
    <row r="668" spans="1:7" x14ac:dyDescent="0.3">
      <c r="A668" s="11"/>
      <c r="B668" s="8"/>
      <c r="C668" s="7" t="str">
        <f>IF(B668="","",IFERROR(INDEX(Vidriería!$C$2:$C$301,MATCH(B668,Vidriería!$A$2:$A$301,0))&amp;" "&amp;INDEX(Vidriería!$D$2:$D$301,MATCH(B668,Vidriería!$A$2:$A$301,0)),"ID no existe"))</f>
        <v/>
      </c>
      <c r="D668" s="8"/>
      <c r="E668" s="8"/>
      <c r="F668" s="8"/>
      <c r="G668" s="13"/>
    </row>
    <row r="669" spans="1:7" x14ac:dyDescent="0.3">
      <c r="A669" s="11"/>
      <c r="B669" s="8"/>
      <c r="C669" s="7" t="str">
        <f>IF(B669="","",IFERROR(INDEX(Vidriería!$C$2:$C$301,MATCH(B669,Vidriería!$A$2:$A$301,0))&amp;" "&amp;INDEX(Vidriería!$D$2:$D$301,MATCH(B669,Vidriería!$A$2:$A$301,0)),"ID no existe"))</f>
        <v/>
      </c>
      <c r="D669" s="8"/>
      <c r="E669" s="8"/>
      <c r="F669" s="8"/>
      <c r="G669" s="13"/>
    </row>
    <row r="670" spans="1:7" x14ac:dyDescent="0.3">
      <c r="A670" s="11"/>
      <c r="B670" s="8"/>
      <c r="C670" s="7" t="str">
        <f>IF(B670="","",IFERROR(INDEX(Vidriería!$C$2:$C$301,MATCH(B670,Vidriería!$A$2:$A$301,0))&amp;" "&amp;INDEX(Vidriería!$D$2:$D$301,MATCH(B670,Vidriería!$A$2:$A$301,0)),"ID no existe"))</f>
        <v/>
      </c>
      <c r="D670" s="8"/>
      <c r="E670" s="8"/>
      <c r="F670" s="8"/>
      <c r="G670" s="13"/>
    </row>
    <row r="671" spans="1:7" x14ac:dyDescent="0.3">
      <c r="A671" s="11"/>
      <c r="B671" s="8"/>
      <c r="C671" s="7" t="str">
        <f>IF(B671="","",IFERROR(INDEX(Vidriería!$C$2:$C$301,MATCH(B671,Vidriería!$A$2:$A$301,0))&amp;" "&amp;INDEX(Vidriería!$D$2:$D$301,MATCH(B671,Vidriería!$A$2:$A$301,0)),"ID no existe"))</f>
        <v/>
      </c>
      <c r="D671" s="8"/>
      <c r="E671" s="8"/>
      <c r="F671" s="8"/>
      <c r="G671" s="13"/>
    </row>
    <row r="672" spans="1:7" x14ac:dyDescent="0.3">
      <c r="A672" s="11"/>
      <c r="B672" s="8"/>
      <c r="C672" s="7" t="str">
        <f>IF(B672="","",IFERROR(INDEX(Vidriería!$C$2:$C$301,MATCH(B672,Vidriería!$A$2:$A$301,0))&amp;" "&amp;INDEX(Vidriería!$D$2:$D$301,MATCH(B672,Vidriería!$A$2:$A$301,0)),"ID no existe"))</f>
        <v/>
      </c>
      <c r="D672" s="8"/>
      <c r="E672" s="8"/>
      <c r="F672" s="8"/>
      <c r="G672" s="13"/>
    </row>
    <row r="673" spans="1:7" x14ac:dyDescent="0.3">
      <c r="A673" s="11"/>
      <c r="B673" s="8"/>
      <c r="C673" s="7" t="str">
        <f>IF(B673="","",IFERROR(INDEX(Vidriería!$C$2:$C$301,MATCH(B673,Vidriería!$A$2:$A$301,0))&amp;" "&amp;INDEX(Vidriería!$D$2:$D$301,MATCH(B673,Vidriería!$A$2:$A$301,0)),"ID no existe"))</f>
        <v/>
      </c>
      <c r="D673" s="8"/>
      <c r="E673" s="8"/>
      <c r="F673" s="8"/>
      <c r="G673" s="13"/>
    </row>
    <row r="674" spans="1:7" x14ac:dyDescent="0.3">
      <c r="A674" s="11"/>
      <c r="B674" s="8"/>
      <c r="C674" s="7" t="str">
        <f>IF(B674="","",IFERROR(INDEX(Vidriería!$C$2:$C$301,MATCH(B674,Vidriería!$A$2:$A$301,0))&amp;" "&amp;INDEX(Vidriería!$D$2:$D$301,MATCH(B674,Vidriería!$A$2:$A$301,0)),"ID no existe"))</f>
        <v/>
      </c>
      <c r="D674" s="8"/>
      <c r="E674" s="8"/>
      <c r="F674" s="8"/>
      <c r="G674" s="13"/>
    </row>
    <row r="675" spans="1:7" x14ac:dyDescent="0.3">
      <c r="A675" s="11"/>
      <c r="B675" s="8"/>
      <c r="C675" s="7" t="str">
        <f>IF(B675="","",IFERROR(INDEX(Vidriería!$C$2:$C$301,MATCH(B675,Vidriería!$A$2:$A$301,0))&amp;" "&amp;INDEX(Vidriería!$D$2:$D$301,MATCH(B675,Vidriería!$A$2:$A$301,0)),"ID no existe"))</f>
        <v/>
      </c>
      <c r="D675" s="8"/>
      <c r="E675" s="8"/>
      <c r="F675" s="8"/>
      <c r="G675" s="13"/>
    </row>
    <row r="676" spans="1:7" x14ac:dyDescent="0.3">
      <c r="A676" s="11"/>
      <c r="B676" s="8"/>
      <c r="C676" s="7" t="str">
        <f>IF(B676="","",IFERROR(INDEX(Vidriería!$C$2:$C$301,MATCH(B676,Vidriería!$A$2:$A$301,0))&amp;" "&amp;INDEX(Vidriería!$D$2:$D$301,MATCH(B676,Vidriería!$A$2:$A$301,0)),"ID no existe"))</f>
        <v/>
      </c>
      <c r="D676" s="8"/>
      <c r="E676" s="8"/>
      <c r="F676" s="8"/>
      <c r="G676" s="13"/>
    </row>
    <row r="677" spans="1:7" x14ac:dyDescent="0.3">
      <c r="A677" s="11"/>
      <c r="B677" s="8"/>
      <c r="C677" s="7" t="str">
        <f>IF(B677="","",IFERROR(INDEX(Vidriería!$C$2:$C$301,MATCH(B677,Vidriería!$A$2:$A$301,0))&amp;" "&amp;INDEX(Vidriería!$D$2:$D$301,MATCH(B677,Vidriería!$A$2:$A$301,0)),"ID no existe"))</f>
        <v/>
      </c>
      <c r="D677" s="8"/>
      <c r="E677" s="8"/>
      <c r="F677" s="8"/>
      <c r="G677" s="13"/>
    </row>
    <row r="678" spans="1:7" x14ac:dyDescent="0.3">
      <c r="A678" s="11"/>
      <c r="B678" s="8"/>
      <c r="C678" s="7" t="str">
        <f>IF(B678="","",IFERROR(INDEX(Vidriería!$C$2:$C$301,MATCH(B678,Vidriería!$A$2:$A$301,0))&amp;" "&amp;INDEX(Vidriería!$D$2:$D$301,MATCH(B678,Vidriería!$A$2:$A$301,0)),"ID no existe"))</f>
        <v/>
      </c>
      <c r="D678" s="8"/>
      <c r="E678" s="8"/>
      <c r="F678" s="8"/>
      <c r="G678" s="13"/>
    </row>
    <row r="679" spans="1:7" x14ac:dyDescent="0.3">
      <c r="A679" s="11"/>
      <c r="B679" s="8"/>
      <c r="C679" s="7" t="str">
        <f>IF(B679="","",IFERROR(INDEX(Vidriería!$C$2:$C$301,MATCH(B679,Vidriería!$A$2:$A$301,0))&amp;" "&amp;INDEX(Vidriería!$D$2:$D$301,MATCH(B679,Vidriería!$A$2:$A$301,0)),"ID no existe"))</f>
        <v/>
      </c>
      <c r="D679" s="8"/>
      <c r="E679" s="8"/>
      <c r="F679" s="8"/>
      <c r="G679" s="13"/>
    </row>
    <row r="680" spans="1:7" x14ac:dyDescent="0.3">
      <c r="A680" s="11"/>
      <c r="B680" s="8"/>
      <c r="C680" s="7" t="str">
        <f>IF(B680="","",IFERROR(INDEX(Vidriería!$C$2:$C$301,MATCH(B680,Vidriería!$A$2:$A$301,0))&amp;" "&amp;INDEX(Vidriería!$D$2:$D$301,MATCH(B680,Vidriería!$A$2:$A$301,0)),"ID no existe"))</f>
        <v/>
      </c>
      <c r="D680" s="8"/>
      <c r="E680" s="8"/>
      <c r="F680" s="8"/>
      <c r="G680" s="13"/>
    </row>
    <row r="681" spans="1:7" x14ac:dyDescent="0.3">
      <c r="A681" s="11"/>
      <c r="B681" s="8"/>
      <c r="C681" s="7" t="str">
        <f>IF(B681="","",IFERROR(INDEX(Vidriería!$C$2:$C$301,MATCH(B681,Vidriería!$A$2:$A$301,0))&amp;" "&amp;INDEX(Vidriería!$D$2:$D$301,MATCH(B681,Vidriería!$A$2:$A$301,0)),"ID no existe"))</f>
        <v/>
      </c>
      <c r="D681" s="8"/>
      <c r="E681" s="8"/>
      <c r="F681" s="8"/>
      <c r="G681" s="13"/>
    </row>
    <row r="682" spans="1:7" x14ac:dyDescent="0.3">
      <c r="A682" s="11"/>
      <c r="B682" s="8"/>
      <c r="C682" s="7" t="str">
        <f>IF(B682="","",IFERROR(INDEX(Vidriería!$C$2:$C$301,MATCH(B682,Vidriería!$A$2:$A$301,0))&amp;" "&amp;INDEX(Vidriería!$D$2:$D$301,MATCH(B682,Vidriería!$A$2:$A$301,0)),"ID no existe"))</f>
        <v/>
      </c>
      <c r="D682" s="8"/>
      <c r="E682" s="8"/>
      <c r="F682" s="8"/>
      <c r="G682" s="13"/>
    </row>
    <row r="683" spans="1:7" x14ac:dyDescent="0.3">
      <c r="A683" s="11"/>
      <c r="B683" s="8"/>
      <c r="C683" s="7" t="str">
        <f>IF(B683="","",IFERROR(INDEX(Vidriería!$C$2:$C$301,MATCH(B683,Vidriería!$A$2:$A$301,0))&amp;" "&amp;INDEX(Vidriería!$D$2:$D$301,MATCH(B683,Vidriería!$A$2:$A$301,0)),"ID no existe"))</f>
        <v/>
      </c>
      <c r="D683" s="8"/>
      <c r="E683" s="8"/>
      <c r="F683" s="8"/>
      <c r="G683" s="13"/>
    </row>
    <row r="684" spans="1:7" x14ac:dyDescent="0.3">
      <c r="A684" s="11"/>
      <c r="B684" s="8"/>
      <c r="C684" s="7" t="str">
        <f>IF(B684="","",IFERROR(INDEX(Vidriería!$C$2:$C$301,MATCH(B684,Vidriería!$A$2:$A$301,0))&amp;" "&amp;INDEX(Vidriería!$D$2:$D$301,MATCH(B684,Vidriería!$A$2:$A$301,0)),"ID no existe"))</f>
        <v/>
      </c>
      <c r="D684" s="8"/>
      <c r="E684" s="8"/>
      <c r="F684" s="8"/>
      <c r="G684" s="13"/>
    </row>
    <row r="685" spans="1:7" x14ac:dyDescent="0.3">
      <c r="A685" s="11"/>
      <c r="B685" s="8"/>
      <c r="C685" s="7" t="str">
        <f>IF(B685="","",IFERROR(INDEX(Vidriería!$C$2:$C$301,MATCH(B685,Vidriería!$A$2:$A$301,0))&amp;" "&amp;INDEX(Vidriería!$D$2:$D$301,MATCH(B685,Vidriería!$A$2:$A$301,0)),"ID no existe"))</f>
        <v/>
      </c>
      <c r="D685" s="8"/>
      <c r="E685" s="8"/>
      <c r="F685" s="8"/>
      <c r="G685" s="13"/>
    </row>
    <row r="686" spans="1:7" x14ac:dyDescent="0.3">
      <c r="A686" s="11"/>
      <c r="B686" s="8"/>
      <c r="C686" s="7" t="str">
        <f>IF(B686="","",IFERROR(INDEX(Vidriería!$C$2:$C$301,MATCH(B686,Vidriería!$A$2:$A$301,0))&amp;" "&amp;INDEX(Vidriería!$D$2:$D$301,MATCH(B686,Vidriería!$A$2:$A$301,0)),"ID no existe"))</f>
        <v/>
      </c>
      <c r="D686" s="8"/>
      <c r="E686" s="8"/>
      <c r="F686" s="8"/>
      <c r="G686" s="13"/>
    </row>
    <row r="687" spans="1:7" x14ac:dyDescent="0.3">
      <c r="A687" s="11"/>
      <c r="B687" s="8"/>
      <c r="C687" s="7" t="str">
        <f>IF(B687="","",IFERROR(INDEX(Vidriería!$C$2:$C$301,MATCH(B687,Vidriería!$A$2:$A$301,0))&amp;" "&amp;INDEX(Vidriería!$D$2:$D$301,MATCH(B687,Vidriería!$A$2:$A$301,0)),"ID no existe"))</f>
        <v/>
      </c>
      <c r="D687" s="8"/>
      <c r="E687" s="8"/>
      <c r="F687" s="8"/>
      <c r="G687" s="13"/>
    </row>
    <row r="688" spans="1:7" x14ac:dyDescent="0.3">
      <c r="A688" s="11"/>
      <c r="B688" s="8"/>
      <c r="C688" s="7" t="str">
        <f>IF(B688="","",IFERROR(INDEX(Vidriería!$C$2:$C$301,MATCH(B688,Vidriería!$A$2:$A$301,0))&amp;" "&amp;INDEX(Vidriería!$D$2:$D$301,MATCH(B688,Vidriería!$A$2:$A$301,0)),"ID no existe"))</f>
        <v/>
      </c>
      <c r="D688" s="8"/>
      <c r="E688" s="8"/>
      <c r="F688" s="8"/>
      <c r="G688" s="13"/>
    </row>
    <row r="689" spans="1:7" x14ac:dyDescent="0.3">
      <c r="A689" s="11"/>
      <c r="B689" s="8"/>
      <c r="C689" s="7" t="str">
        <f>IF(B689="","",IFERROR(INDEX(Vidriería!$C$2:$C$301,MATCH(B689,Vidriería!$A$2:$A$301,0))&amp;" "&amp;INDEX(Vidriería!$D$2:$D$301,MATCH(B689,Vidriería!$A$2:$A$301,0)),"ID no existe"))</f>
        <v/>
      </c>
      <c r="D689" s="8"/>
      <c r="E689" s="8"/>
      <c r="F689" s="8"/>
      <c r="G689" s="13"/>
    </row>
    <row r="690" spans="1:7" x14ac:dyDescent="0.3">
      <c r="A690" s="11"/>
      <c r="B690" s="8"/>
      <c r="C690" s="7" t="str">
        <f>IF(B690="","",IFERROR(INDEX(Vidriería!$C$2:$C$301,MATCH(B690,Vidriería!$A$2:$A$301,0))&amp;" "&amp;INDEX(Vidriería!$D$2:$D$301,MATCH(B690,Vidriería!$A$2:$A$301,0)),"ID no existe"))</f>
        <v/>
      </c>
      <c r="D690" s="8"/>
      <c r="E690" s="8"/>
      <c r="F690" s="8"/>
      <c r="G690" s="13"/>
    </row>
    <row r="691" spans="1:7" x14ac:dyDescent="0.3">
      <c r="A691" s="11"/>
      <c r="B691" s="8"/>
      <c r="C691" s="7" t="str">
        <f>IF(B691="","",IFERROR(INDEX(Vidriería!$C$2:$C$301,MATCH(B691,Vidriería!$A$2:$A$301,0))&amp;" "&amp;INDEX(Vidriería!$D$2:$D$301,MATCH(B691,Vidriería!$A$2:$A$301,0)),"ID no existe"))</f>
        <v/>
      </c>
      <c r="D691" s="8"/>
      <c r="E691" s="8"/>
      <c r="F691" s="8"/>
      <c r="G691" s="13"/>
    </row>
    <row r="692" spans="1:7" x14ac:dyDescent="0.3">
      <c r="A692" s="11"/>
      <c r="B692" s="8"/>
      <c r="C692" s="7" t="str">
        <f>IF(B692="","",IFERROR(INDEX(Vidriería!$C$2:$C$301,MATCH(B692,Vidriería!$A$2:$A$301,0))&amp;" "&amp;INDEX(Vidriería!$D$2:$D$301,MATCH(B692,Vidriería!$A$2:$A$301,0)),"ID no existe"))</f>
        <v/>
      </c>
      <c r="D692" s="8"/>
      <c r="E692" s="8"/>
      <c r="F692" s="8"/>
      <c r="G692" s="13"/>
    </row>
    <row r="693" spans="1:7" x14ac:dyDescent="0.3">
      <c r="A693" s="11"/>
      <c r="B693" s="8"/>
      <c r="C693" s="7" t="str">
        <f>IF(B693="","",IFERROR(INDEX(Vidriería!$C$2:$C$301,MATCH(B693,Vidriería!$A$2:$A$301,0))&amp;" "&amp;INDEX(Vidriería!$D$2:$D$301,MATCH(B693,Vidriería!$A$2:$A$301,0)),"ID no existe"))</f>
        <v/>
      </c>
      <c r="D693" s="8"/>
      <c r="E693" s="8"/>
      <c r="F693" s="8"/>
      <c r="G693" s="13"/>
    </row>
    <row r="694" spans="1:7" x14ac:dyDescent="0.3">
      <c r="A694" s="11"/>
      <c r="B694" s="8"/>
      <c r="C694" s="7" t="str">
        <f>IF(B694="","",IFERROR(INDEX(Vidriería!$C$2:$C$301,MATCH(B694,Vidriería!$A$2:$A$301,0))&amp;" "&amp;INDEX(Vidriería!$D$2:$D$301,MATCH(B694,Vidriería!$A$2:$A$301,0)),"ID no existe"))</f>
        <v/>
      </c>
      <c r="D694" s="8"/>
      <c r="E694" s="8"/>
      <c r="F694" s="8"/>
      <c r="G694" s="13"/>
    </row>
    <row r="695" spans="1:7" x14ac:dyDescent="0.3">
      <c r="A695" s="11"/>
      <c r="B695" s="8"/>
      <c r="C695" s="7" t="str">
        <f>IF(B695="","",IFERROR(INDEX(Vidriería!$C$2:$C$301,MATCH(B695,Vidriería!$A$2:$A$301,0))&amp;" "&amp;INDEX(Vidriería!$D$2:$D$301,MATCH(B695,Vidriería!$A$2:$A$301,0)),"ID no existe"))</f>
        <v/>
      </c>
      <c r="D695" s="8"/>
      <c r="E695" s="8"/>
      <c r="F695" s="8"/>
      <c r="G695" s="13"/>
    </row>
    <row r="696" spans="1:7" x14ac:dyDescent="0.3">
      <c r="A696" s="11"/>
      <c r="B696" s="8"/>
      <c r="C696" s="7" t="str">
        <f>IF(B696="","",IFERROR(INDEX(Vidriería!$C$2:$C$301,MATCH(B696,Vidriería!$A$2:$A$301,0))&amp;" "&amp;INDEX(Vidriería!$D$2:$D$301,MATCH(B696,Vidriería!$A$2:$A$301,0)),"ID no existe"))</f>
        <v/>
      </c>
      <c r="D696" s="8"/>
      <c r="E696" s="8"/>
      <c r="F696" s="8"/>
      <c r="G696" s="13"/>
    </row>
    <row r="697" spans="1:7" x14ac:dyDescent="0.3">
      <c r="A697" s="11"/>
      <c r="B697" s="8"/>
      <c r="C697" s="7" t="str">
        <f>IF(B697="","",IFERROR(INDEX(Vidriería!$C$2:$C$301,MATCH(B697,Vidriería!$A$2:$A$301,0))&amp;" "&amp;INDEX(Vidriería!$D$2:$D$301,MATCH(B697,Vidriería!$A$2:$A$301,0)),"ID no existe"))</f>
        <v/>
      </c>
      <c r="D697" s="8"/>
      <c r="E697" s="8"/>
      <c r="F697" s="8"/>
      <c r="G697" s="13"/>
    </row>
    <row r="698" spans="1:7" x14ac:dyDescent="0.3">
      <c r="A698" s="11"/>
      <c r="B698" s="8"/>
      <c r="C698" s="7" t="str">
        <f>IF(B698="","",IFERROR(INDEX(Vidriería!$C$2:$C$301,MATCH(B698,Vidriería!$A$2:$A$301,0))&amp;" "&amp;INDEX(Vidriería!$D$2:$D$301,MATCH(B698,Vidriería!$A$2:$A$301,0)),"ID no existe"))</f>
        <v/>
      </c>
      <c r="D698" s="8"/>
      <c r="E698" s="8"/>
      <c r="F698" s="8"/>
      <c r="G698" s="13"/>
    </row>
    <row r="699" spans="1:7" x14ac:dyDescent="0.3">
      <c r="A699" s="11"/>
      <c r="B699" s="8"/>
      <c r="C699" s="7" t="str">
        <f>IF(B699="","",IFERROR(INDEX(Vidriería!$C$2:$C$301,MATCH(B699,Vidriería!$A$2:$A$301,0))&amp;" "&amp;INDEX(Vidriería!$D$2:$D$301,MATCH(B699,Vidriería!$A$2:$A$301,0)),"ID no existe"))</f>
        <v/>
      </c>
      <c r="D699" s="8"/>
      <c r="E699" s="8"/>
      <c r="F699" s="8"/>
      <c r="G699" s="13"/>
    </row>
    <row r="700" spans="1:7" x14ac:dyDescent="0.3">
      <c r="A700" s="11"/>
      <c r="B700" s="8"/>
      <c r="C700" s="7" t="str">
        <f>IF(B700="","",IFERROR(INDEX(Vidriería!$C$2:$C$301,MATCH(B700,Vidriería!$A$2:$A$301,0))&amp;" "&amp;INDEX(Vidriería!$D$2:$D$301,MATCH(B700,Vidriería!$A$2:$A$301,0)),"ID no existe"))</f>
        <v/>
      </c>
      <c r="D700" s="8"/>
      <c r="E700" s="8"/>
      <c r="F700" s="8"/>
      <c r="G700" s="13"/>
    </row>
    <row r="701" spans="1:7" x14ac:dyDescent="0.3">
      <c r="A701" s="11"/>
      <c r="B701" s="8"/>
      <c r="C701" s="7" t="str">
        <f>IF(B701="","",IFERROR(INDEX(Vidriería!$C$2:$C$301,MATCH(B701,Vidriería!$A$2:$A$301,0))&amp;" "&amp;INDEX(Vidriería!$D$2:$D$301,MATCH(B701,Vidriería!$A$2:$A$301,0)),"ID no existe"))</f>
        <v/>
      </c>
      <c r="D701" s="8"/>
      <c r="E701" s="8"/>
      <c r="F701" s="8"/>
      <c r="G701" s="13"/>
    </row>
    <row r="702" spans="1:7" x14ac:dyDescent="0.3">
      <c r="A702" s="11"/>
      <c r="B702" s="8"/>
      <c r="C702" s="7" t="str">
        <f>IF(B702="","",IFERROR(INDEX(Vidriería!$C$2:$C$301,MATCH(B702,Vidriería!$A$2:$A$301,0))&amp;" "&amp;INDEX(Vidriería!$D$2:$D$301,MATCH(B702,Vidriería!$A$2:$A$301,0)),"ID no existe"))</f>
        <v/>
      </c>
      <c r="D702" s="8"/>
      <c r="E702" s="8"/>
      <c r="F702" s="8"/>
      <c r="G702" s="13"/>
    </row>
    <row r="703" spans="1:7" x14ac:dyDescent="0.3">
      <c r="A703" s="11"/>
      <c r="B703" s="8"/>
      <c r="C703" s="7" t="str">
        <f>IF(B703="","",IFERROR(INDEX(Vidriería!$C$2:$C$301,MATCH(B703,Vidriería!$A$2:$A$301,0))&amp;" "&amp;INDEX(Vidriería!$D$2:$D$301,MATCH(B703,Vidriería!$A$2:$A$301,0)),"ID no existe"))</f>
        <v/>
      </c>
      <c r="D703" s="8"/>
      <c r="E703" s="8"/>
      <c r="F703" s="8"/>
      <c r="G703" s="13"/>
    </row>
    <row r="704" spans="1:7" x14ac:dyDescent="0.3">
      <c r="A704" s="11"/>
      <c r="B704" s="8"/>
      <c r="C704" s="7" t="str">
        <f>IF(B704="","",IFERROR(INDEX(Vidriería!$C$2:$C$301,MATCH(B704,Vidriería!$A$2:$A$301,0))&amp;" "&amp;INDEX(Vidriería!$D$2:$D$301,MATCH(B704,Vidriería!$A$2:$A$301,0)),"ID no existe"))</f>
        <v/>
      </c>
      <c r="D704" s="8"/>
      <c r="E704" s="8"/>
      <c r="F704" s="8"/>
      <c r="G704" s="13"/>
    </row>
    <row r="705" spans="1:7" x14ac:dyDescent="0.3">
      <c r="A705" s="11"/>
      <c r="B705" s="8"/>
      <c r="C705" s="7" t="str">
        <f>IF(B705="","",IFERROR(INDEX(Vidriería!$C$2:$C$301,MATCH(B705,Vidriería!$A$2:$A$301,0))&amp;" "&amp;INDEX(Vidriería!$D$2:$D$301,MATCH(B705,Vidriería!$A$2:$A$301,0)),"ID no existe"))</f>
        <v/>
      </c>
      <c r="D705" s="8"/>
      <c r="E705" s="8"/>
      <c r="F705" s="8"/>
      <c r="G705" s="13"/>
    </row>
    <row r="706" spans="1:7" x14ac:dyDescent="0.3">
      <c r="A706" s="11"/>
      <c r="B706" s="8"/>
      <c r="C706" s="7" t="str">
        <f>IF(B706="","",IFERROR(INDEX(Vidriería!$C$2:$C$301,MATCH(B706,Vidriería!$A$2:$A$301,0))&amp;" "&amp;INDEX(Vidriería!$D$2:$D$301,MATCH(B706,Vidriería!$A$2:$A$301,0)),"ID no existe"))</f>
        <v/>
      </c>
      <c r="D706" s="8"/>
      <c r="E706" s="8"/>
      <c r="F706" s="8"/>
      <c r="G706" s="13"/>
    </row>
    <row r="707" spans="1:7" x14ac:dyDescent="0.3">
      <c r="A707" s="11"/>
      <c r="B707" s="8"/>
      <c r="C707" s="7" t="str">
        <f>IF(B707="","",IFERROR(INDEX(Vidriería!$C$2:$C$301,MATCH(B707,Vidriería!$A$2:$A$301,0))&amp;" "&amp;INDEX(Vidriería!$D$2:$D$301,MATCH(B707,Vidriería!$A$2:$A$301,0)),"ID no existe"))</f>
        <v/>
      </c>
      <c r="D707" s="8"/>
      <c r="E707" s="8"/>
      <c r="F707" s="8"/>
      <c r="G707" s="13"/>
    </row>
    <row r="708" spans="1:7" x14ac:dyDescent="0.3">
      <c r="A708" s="11"/>
      <c r="B708" s="8"/>
      <c r="C708" s="7" t="str">
        <f>IF(B708="","",IFERROR(INDEX(Vidriería!$C$2:$C$301,MATCH(B708,Vidriería!$A$2:$A$301,0))&amp;" "&amp;INDEX(Vidriería!$D$2:$D$301,MATCH(B708,Vidriería!$A$2:$A$301,0)),"ID no existe"))</f>
        <v/>
      </c>
      <c r="D708" s="8"/>
      <c r="E708" s="8"/>
      <c r="F708" s="8"/>
      <c r="G708" s="13"/>
    </row>
    <row r="709" spans="1:7" x14ac:dyDescent="0.3">
      <c r="A709" s="11"/>
      <c r="B709" s="8"/>
      <c r="C709" s="7" t="str">
        <f>IF(B709="","",IFERROR(INDEX(Vidriería!$C$2:$C$301,MATCH(B709,Vidriería!$A$2:$A$301,0))&amp;" "&amp;INDEX(Vidriería!$D$2:$D$301,MATCH(B709,Vidriería!$A$2:$A$301,0)),"ID no existe"))</f>
        <v/>
      </c>
      <c r="D709" s="8"/>
      <c r="E709" s="8"/>
      <c r="F709" s="8"/>
      <c r="G709" s="13"/>
    </row>
    <row r="710" spans="1:7" x14ac:dyDescent="0.3">
      <c r="A710" s="11"/>
      <c r="B710" s="8"/>
      <c r="C710" s="7" t="str">
        <f>IF(B710="","",IFERROR(INDEX(Vidriería!$C$2:$C$301,MATCH(B710,Vidriería!$A$2:$A$301,0))&amp;" "&amp;INDEX(Vidriería!$D$2:$D$301,MATCH(B710,Vidriería!$A$2:$A$301,0)),"ID no existe"))</f>
        <v/>
      </c>
      <c r="D710" s="8"/>
      <c r="E710" s="8"/>
      <c r="F710" s="8"/>
      <c r="G710" s="13"/>
    </row>
    <row r="711" spans="1:7" x14ac:dyDescent="0.3">
      <c r="A711" s="11"/>
      <c r="B711" s="8"/>
      <c r="C711" s="7" t="str">
        <f>IF(B711="","",IFERROR(INDEX(Vidriería!$C$2:$C$301,MATCH(B711,Vidriería!$A$2:$A$301,0))&amp;" "&amp;INDEX(Vidriería!$D$2:$D$301,MATCH(B711,Vidriería!$A$2:$A$301,0)),"ID no existe"))</f>
        <v/>
      </c>
      <c r="D711" s="8"/>
      <c r="E711" s="8"/>
      <c r="F711" s="8"/>
      <c r="G711" s="13"/>
    </row>
    <row r="712" spans="1:7" x14ac:dyDescent="0.3">
      <c r="A712" s="11"/>
      <c r="B712" s="8"/>
      <c r="C712" s="7" t="str">
        <f>IF(B712="","",IFERROR(INDEX(Vidriería!$C$2:$C$301,MATCH(B712,Vidriería!$A$2:$A$301,0))&amp;" "&amp;INDEX(Vidriería!$D$2:$D$301,MATCH(B712,Vidriería!$A$2:$A$301,0)),"ID no existe"))</f>
        <v/>
      </c>
      <c r="D712" s="8"/>
      <c r="E712" s="8"/>
      <c r="F712" s="8"/>
      <c r="G712" s="13"/>
    </row>
    <row r="713" spans="1:7" x14ac:dyDescent="0.3">
      <c r="A713" s="11"/>
      <c r="B713" s="8"/>
      <c r="C713" s="7" t="str">
        <f>IF(B713="","",IFERROR(INDEX(Vidriería!$C$2:$C$301,MATCH(B713,Vidriería!$A$2:$A$301,0))&amp;" "&amp;INDEX(Vidriería!$D$2:$D$301,MATCH(B713,Vidriería!$A$2:$A$301,0)),"ID no existe"))</f>
        <v/>
      </c>
      <c r="D713" s="8"/>
      <c r="E713" s="8"/>
      <c r="F713" s="8"/>
      <c r="G713" s="13"/>
    </row>
    <row r="714" spans="1:7" x14ac:dyDescent="0.3">
      <c r="A714" s="11"/>
      <c r="B714" s="8"/>
      <c r="C714" s="7" t="str">
        <f>IF(B714="","",IFERROR(INDEX(Vidriería!$C$2:$C$301,MATCH(B714,Vidriería!$A$2:$A$301,0))&amp;" "&amp;INDEX(Vidriería!$D$2:$D$301,MATCH(B714,Vidriería!$A$2:$A$301,0)),"ID no existe"))</f>
        <v/>
      </c>
      <c r="D714" s="8"/>
      <c r="E714" s="8"/>
      <c r="F714" s="8"/>
      <c r="G714" s="13"/>
    </row>
    <row r="715" spans="1:7" x14ac:dyDescent="0.3">
      <c r="A715" s="11"/>
      <c r="B715" s="8"/>
      <c r="C715" s="7" t="str">
        <f>IF(B715="","",IFERROR(INDEX(Vidriería!$C$2:$C$301,MATCH(B715,Vidriería!$A$2:$A$301,0))&amp;" "&amp;INDEX(Vidriería!$D$2:$D$301,MATCH(B715,Vidriería!$A$2:$A$301,0)),"ID no existe"))</f>
        <v/>
      </c>
      <c r="D715" s="8"/>
      <c r="E715" s="8"/>
      <c r="F715" s="8"/>
      <c r="G715" s="13"/>
    </row>
    <row r="716" spans="1:7" x14ac:dyDescent="0.3">
      <c r="A716" s="11"/>
      <c r="B716" s="8"/>
      <c r="C716" s="7" t="str">
        <f>IF(B716="","",IFERROR(INDEX(Vidriería!$C$2:$C$301,MATCH(B716,Vidriería!$A$2:$A$301,0))&amp;" "&amp;INDEX(Vidriería!$D$2:$D$301,MATCH(B716,Vidriería!$A$2:$A$301,0)),"ID no existe"))</f>
        <v/>
      </c>
      <c r="D716" s="8"/>
      <c r="E716" s="8"/>
      <c r="F716" s="8"/>
      <c r="G716" s="13"/>
    </row>
    <row r="717" spans="1:7" x14ac:dyDescent="0.3">
      <c r="A717" s="11"/>
      <c r="B717" s="8"/>
      <c r="C717" s="7" t="str">
        <f>IF(B717="","",IFERROR(INDEX(Vidriería!$C$2:$C$301,MATCH(B717,Vidriería!$A$2:$A$301,0))&amp;" "&amp;INDEX(Vidriería!$D$2:$D$301,MATCH(B717,Vidriería!$A$2:$A$301,0)),"ID no existe"))</f>
        <v/>
      </c>
      <c r="D717" s="8"/>
      <c r="E717" s="8"/>
      <c r="F717" s="8"/>
      <c r="G717" s="13"/>
    </row>
    <row r="718" spans="1:7" x14ac:dyDescent="0.3">
      <c r="A718" s="11"/>
      <c r="B718" s="8"/>
      <c r="C718" s="7" t="str">
        <f>IF(B718="","",IFERROR(INDEX(Vidriería!$C$2:$C$301,MATCH(B718,Vidriería!$A$2:$A$301,0))&amp;" "&amp;INDEX(Vidriería!$D$2:$D$301,MATCH(B718,Vidriería!$A$2:$A$301,0)),"ID no existe"))</f>
        <v/>
      </c>
      <c r="D718" s="8"/>
      <c r="E718" s="8"/>
      <c r="F718" s="8"/>
      <c r="G718" s="13"/>
    </row>
    <row r="719" spans="1:7" x14ac:dyDescent="0.3">
      <c r="A719" s="11"/>
      <c r="B719" s="8"/>
      <c r="C719" s="7" t="str">
        <f>IF(B719="","",IFERROR(INDEX(Vidriería!$C$2:$C$301,MATCH(B719,Vidriería!$A$2:$A$301,0))&amp;" "&amp;INDEX(Vidriería!$D$2:$D$301,MATCH(B719,Vidriería!$A$2:$A$301,0)),"ID no existe"))</f>
        <v/>
      </c>
      <c r="D719" s="8"/>
      <c r="E719" s="8"/>
      <c r="F719" s="8"/>
      <c r="G719" s="13"/>
    </row>
    <row r="720" spans="1:7" x14ac:dyDescent="0.3">
      <c r="A720" s="11"/>
      <c r="B720" s="8"/>
      <c r="C720" s="7" t="str">
        <f>IF(B720="","",IFERROR(INDEX(Vidriería!$C$2:$C$301,MATCH(B720,Vidriería!$A$2:$A$301,0))&amp;" "&amp;INDEX(Vidriería!$D$2:$D$301,MATCH(B720,Vidriería!$A$2:$A$301,0)),"ID no existe"))</f>
        <v/>
      </c>
      <c r="D720" s="8"/>
      <c r="E720" s="8"/>
      <c r="F720" s="8"/>
      <c r="G720" s="13"/>
    </row>
    <row r="721" spans="1:7" x14ac:dyDescent="0.3">
      <c r="A721" s="11"/>
      <c r="B721" s="8"/>
      <c r="C721" s="7" t="str">
        <f>IF(B721="","",IFERROR(INDEX(Vidriería!$C$2:$C$301,MATCH(B721,Vidriería!$A$2:$A$301,0))&amp;" "&amp;INDEX(Vidriería!$D$2:$D$301,MATCH(B721,Vidriería!$A$2:$A$301,0)),"ID no existe"))</f>
        <v/>
      </c>
      <c r="D721" s="8"/>
      <c r="E721" s="8"/>
      <c r="F721" s="8"/>
      <c r="G721" s="13"/>
    </row>
    <row r="722" spans="1:7" x14ac:dyDescent="0.3">
      <c r="A722" s="11"/>
      <c r="B722" s="8"/>
      <c r="C722" s="7" t="str">
        <f>IF(B722="","",IFERROR(INDEX(Vidriería!$C$2:$C$301,MATCH(B722,Vidriería!$A$2:$A$301,0))&amp;" "&amp;INDEX(Vidriería!$D$2:$D$301,MATCH(B722,Vidriería!$A$2:$A$301,0)),"ID no existe"))</f>
        <v/>
      </c>
      <c r="D722" s="8"/>
      <c r="E722" s="8"/>
      <c r="F722" s="8"/>
      <c r="G722" s="13"/>
    </row>
    <row r="723" spans="1:7" x14ac:dyDescent="0.3">
      <c r="A723" s="11"/>
      <c r="B723" s="8"/>
      <c r="C723" s="7" t="str">
        <f>IF(B723="","",IFERROR(INDEX(Vidriería!$C$2:$C$301,MATCH(B723,Vidriería!$A$2:$A$301,0))&amp;" "&amp;INDEX(Vidriería!$D$2:$D$301,MATCH(B723,Vidriería!$A$2:$A$301,0)),"ID no existe"))</f>
        <v/>
      </c>
      <c r="D723" s="8"/>
      <c r="E723" s="8"/>
      <c r="F723" s="8"/>
      <c r="G723" s="13"/>
    </row>
    <row r="724" spans="1:7" x14ac:dyDescent="0.3">
      <c r="A724" s="11"/>
      <c r="B724" s="8"/>
      <c r="C724" s="7" t="str">
        <f>IF(B724="","",IFERROR(INDEX(Vidriería!$C$2:$C$301,MATCH(B724,Vidriería!$A$2:$A$301,0))&amp;" "&amp;INDEX(Vidriería!$D$2:$D$301,MATCH(B724,Vidriería!$A$2:$A$301,0)),"ID no existe"))</f>
        <v/>
      </c>
      <c r="D724" s="8"/>
      <c r="E724" s="8"/>
      <c r="F724" s="8"/>
      <c r="G724" s="13"/>
    </row>
    <row r="725" spans="1:7" x14ac:dyDescent="0.3">
      <c r="A725" s="11"/>
      <c r="B725" s="8"/>
      <c r="C725" s="7" t="str">
        <f>IF(B725="","",IFERROR(INDEX(Vidriería!$C$2:$C$301,MATCH(B725,Vidriería!$A$2:$A$301,0))&amp;" "&amp;INDEX(Vidriería!$D$2:$D$301,MATCH(B725,Vidriería!$A$2:$A$301,0)),"ID no existe"))</f>
        <v/>
      </c>
      <c r="D725" s="8"/>
      <c r="E725" s="8"/>
      <c r="F725" s="8"/>
      <c r="G725" s="13"/>
    </row>
    <row r="726" spans="1:7" x14ac:dyDescent="0.3">
      <c r="A726" s="11"/>
      <c r="B726" s="8"/>
      <c r="C726" s="7" t="str">
        <f>IF(B726="","",IFERROR(INDEX(Vidriería!$C$2:$C$301,MATCH(B726,Vidriería!$A$2:$A$301,0))&amp;" "&amp;INDEX(Vidriería!$D$2:$D$301,MATCH(B726,Vidriería!$A$2:$A$301,0)),"ID no existe"))</f>
        <v/>
      </c>
      <c r="D726" s="8"/>
      <c r="E726" s="8"/>
      <c r="F726" s="8"/>
      <c r="G726" s="13"/>
    </row>
    <row r="727" spans="1:7" x14ac:dyDescent="0.3">
      <c r="A727" s="11"/>
      <c r="B727" s="8"/>
      <c r="C727" s="7" t="str">
        <f>IF(B727="","",IFERROR(INDEX(Vidriería!$C$2:$C$301,MATCH(B727,Vidriería!$A$2:$A$301,0))&amp;" "&amp;INDEX(Vidriería!$D$2:$D$301,MATCH(B727,Vidriería!$A$2:$A$301,0)),"ID no existe"))</f>
        <v/>
      </c>
      <c r="D727" s="8"/>
      <c r="E727" s="8"/>
      <c r="F727" s="8"/>
      <c r="G727" s="13"/>
    </row>
    <row r="728" spans="1:7" x14ac:dyDescent="0.3">
      <c r="A728" s="11"/>
      <c r="B728" s="8"/>
      <c r="C728" s="7" t="str">
        <f>IF(B728="","",IFERROR(INDEX(Vidriería!$C$2:$C$301,MATCH(B728,Vidriería!$A$2:$A$301,0))&amp;" "&amp;INDEX(Vidriería!$D$2:$D$301,MATCH(B728,Vidriería!$A$2:$A$301,0)),"ID no existe"))</f>
        <v/>
      </c>
      <c r="D728" s="8"/>
      <c r="E728" s="8"/>
      <c r="F728" s="8"/>
      <c r="G728" s="13"/>
    </row>
    <row r="729" spans="1:7" x14ac:dyDescent="0.3">
      <c r="A729" s="11"/>
      <c r="B729" s="8"/>
      <c r="C729" s="7" t="str">
        <f>IF(B729="","",IFERROR(INDEX(Vidriería!$C$2:$C$301,MATCH(B729,Vidriería!$A$2:$A$301,0))&amp;" "&amp;INDEX(Vidriería!$D$2:$D$301,MATCH(B729,Vidriería!$A$2:$A$301,0)),"ID no existe"))</f>
        <v/>
      </c>
      <c r="D729" s="8"/>
      <c r="E729" s="8"/>
      <c r="F729" s="8"/>
      <c r="G729" s="13"/>
    </row>
    <row r="730" spans="1:7" x14ac:dyDescent="0.3">
      <c r="A730" s="11"/>
      <c r="B730" s="8"/>
      <c r="C730" s="7" t="str">
        <f>IF(B730="","",IFERROR(INDEX(Vidriería!$C$2:$C$301,MATCH(B730,Vidriería!$A$2:$A$301,0))&amp;" "&amp;INDEX(Vidriería!$D$2:$D$301,MATCH(B730,Vidriería!$A$2:$A$301,0)),"ID no existe"))</f>
        <v/>
      </c>
      <c r="D730" s="8"/>
      <c r="E730" s="8"/>
      <c r="F730" s="8"/>
      <c r="G730" s="13"/>
    </row>
    <row r="731" spans="1:7" x14ac:dyDescent="0.3">
      <c r="A731" s="11"/>
      <c r="B731" s="8"/>
      <c r="C731" s="7" t="str">
        <f>IF(B731="","",IFERROR(INDEX(Vidriería!$C$2:$C$301,MATCH(B731,Vidriería!$A$2:$A$301,0))&amp;" "&amp;INDEX(Vidriería!$D$2:$D$301,MATCH(B731,Vidriería!$A$2:$A$301,0)),"ID no existe"))</f>
        <v/>
      </c>
      <c r="D731" s="8"/>
      <c r="E731" s="8"/>
      <c r="F731" s="8"/>
      <c r="G731" s="13"/>
    </row>
    <row r="732" spans="1:7" x14ac:dyDescent="0.3">
      <c r="A732" s="11"/>
      <c r="B732" s="8"/>
      <c r="C732" s="7" t="str">
        <f>IF(B732="","",IFERROR(INDEX(Vidriería!$C$2:$C$301,MATCH(B732,Vidriería!$A$2:$A$301,0))&amp;" "&amp;INDEX(Vidriería!$D$2:$D$301,MATCH(B732,Vidriería!$A$2:$A$301,0)),"ID no existe"))</f>
        <v/>
      </c>
      <c r="D732" s="8"/>
      <c r="E732" s="8"/>
      <c r="F732" s="8"/>
      <c r="G732" s="13"/>
    </row>
    <row r="733" spans="1:7" x14ac:dyDescent="0.3">
      <c r="A733" s="11"/>
      <c r="B733" s="8"/>
      <c r="C733" s="7" t="str">
        <f>IF(B733="","",IFERROR(INDEX(Vidriería!$C$2:$C$301,MATCH(B733,Vidriería!$A$2:$A$301,0))&amp;" "&amp;INDEX(Vidriería!$D$2:$D$301,MATCH(B733,Vidriería!$A$2:$A$301,0)),"ID no existe"))</f>
        <v/>
      </c>
      <c r="D733" s="8"/>
      <c r="E733" s="8"/>
      <c r="F733" s="8"/>
      <c r="G733" s="13"/>
    </row>
    <row r="734" spans="1:7" x14ac:dyDescent="0.3">
      <c r="A734" s="11"/>
      <c r="B734" s="8"/>
      <c r="C734" s="7" t="str">
        <f>IF(B734="","",IFERROR(INDEX(Vidriería!$C$2:$C$301,MATCH(B734,Vidriería!$A$2:$A$301,0))&amp;" "&amp;INDEX(Vidriería!$D$2:$D$301,MATCH(B734,Vidriería!$A$2:$A$301,0)),"ID no existe"))</f>
        <v/>
      </c>
      <c r="D734" s="8"/>
      <c r="E734" s="8"/>
      <c r="F734" s="8"/>
      <c r="G734" s="13"/>
    </row>
    <row r="735" spans="1:7" x14ac:dyDescent="0.3">
      <c r="A735" s="11"/>
      <c r="B735" s="8"/>
      <c r="C735" s="7" t="str">
        <f>IF(B735="","",IFERROR(INDEX(Vidriería!$C$2:$C$301,MATCH(B735,Vidriería!$A$2:$A$301,0))&amp;" "&amp;INDEX(Vidriería!$D$2:$D$301,MATCH(B735,Vidriería!$A$2:$A$301,0)),"ID no existe"))</f>
        <v/>
      </c>
      <c r="D735" s="8"/>
      <c r="E735" s="8"/>
      <c r="F735" s="8"/>
      <c r="G735" s="13"/>
    </row>
    <row r="736" spans="1:7" x14ac:dyDescent="0.3">
      <c r="A736" s="11"/>
      <c r="B736" s="8"/>
      <c r="C736" s="7" t="str">
        <f>IF(B736="","",IFERROR(INDEX(Vidriería!$C$2:$C$301,MATCH(B736,Vidriería!$A$2:$A$301,0))&amp;" "&amp;INDEX(Vidriería!$D$2:$D$301,MATCH(B736,Vidriería!$A$2:$A$301,0)),"ID no existe"))</f>
        <v/>
      </c>
      <c r="D736" s="8"/>
      <c r="E736" s="8"/>
      <c r="F736" s="8"/>
      <c r="G736" s="13"/>
    </row>
    <row r="737" spans="1:7" x14ac:dyDescent="0.3">
      <c r="A737" s="11"/>
      <c r="B737" s="8"/>
      <c r="C737" s="7" t="str">
        <f>IF(B737="","",IFERROR(INDEX(Vidriería!$C$2:$C$301,MATCH(B737,Vidriería!$A$2:$A$301,0))&amp;" "&amp;INDEX(Vidriería!$D$2:$D$301,MATCH(B737,Vidriería!$A$2:$A$301,0)),"ID no existe"))</f>
        <v/>
      </c>
      <c r="D737" s="8"/>
      <c r="E737" s="8"/>
      <c r="F737" s="8"/>
      <c r="G737" s="13"/>
    </row>
    <row r="738" spans="1:7" x14ac:dyDescent="0.3">
      <c r="A738" s="11"/>
      <c r="B738" s="8"/>
      <c r="C738" s="7" t="str">
        <f>IF(B738="","",IFERROR(INDEX(Vidriería!$C$2:$C$301,MATCH(B738,Vidriería!$A$2:$A$301,0))&amp;" "&amp;INDEX(Vidriería!$D$2:$D$301,MATCH(B738,Vidriería!$A$2:$A$301,0)),"ID no existe"))</f>
        <v/>
      </c>
      <c r="D738" s="8"/>
      <c r="E738" s="8"/>
      <c r="F738" s="8"/>
      <c r="G738" s="13"/>
    </row>
    <row r="739" spans="1:7" x14ac:dyDescent="0.3">
      <c r="A739" s="11"/>
      <c r="B739" s="8"/>
      <c r="C739" s="7" t="str">
        <f>IF(B739="","",IFERROR(INDEX(Vidriería!$C$2:$C$301,MATCH(B739,Vidriería!$A$2:$A$301,0))&amp;" "&amp;INDEX(Vidriería!$D$2:$D$301,MATCH(B739,Vidriería!$A$2:$A$301,0)),"ID no existe"))</f>
        <v/>
      </c>
      <c r="D739" s="8"/>
      <c r="E739" s="8"/>
      <c r="F739" s="8"/>
      <c r="G739" s="13"/>
    </row>
    <row r="740" spans="1:7" x14ac:dyDescent="0.3">
      <c r="A740" s="11"/>
      <c r="B740" s="8"/>
      <c r="C740" s="7" t="str">
        <f>IF(B740="","",IFERROR(INDEX(Vidriería!$C$2:$C$301,MATCH(B740,Vidriería!$A$2:$A$301,0))&amp;" "&amp;INDEX(Vidriería!$D$2:$D$301,MATCH(B740,Vidriería!$A$2:$A$301,0)),"ID no existe"))</f>
        <v/>
      </c>
      <c r="D740" s="8"/>
      <c r="E740" s="8"/>
      <c r="F740" s="8"/>
      <c r="G740" s="13"/>
    </row>
    <row r="741" spans="1:7" x14ac:dyDescent="0.3">
      <c r="A741" s="11"/>
      <c r="B741" s="8"/>
      <c r="C741" s="7" t="str">
        <f>IF(B741="","",IFERROR(INDEX(Vidriería!$C$2:$C$301,MATCH(B741,Vidriería!$A$2:$A$301,0))&amp;" "&amp;INDEX(Vidriería!$D$2:$D$301,MATCH(B741,Vidriería!$A$2:$A$301,0)),"ID no existe"))</f>
        <v/>
      </c>
      <c r="D741" s="8"/>
      <c r="E741" s="8"/>
      <c r="F741" s="8"/>
      <c r="G741" s="13"/>
    </row>
    <row r="742" spans="1:7" x14ac:dyDescent="0.3">
      <c r="A742" s="11"/>
      <c r="B742" s="8"/>
      <c r="C742" s="7" t="str">
        <f>IF(B742="","",IFERROR(INDEX(Vidriería!$C$2:$C$301,MATCH(B742,Vidriería!$A$2:$A$301,0))&amp;" "&amp;INDEX(Vidriería!$D$2:$D$301,MATCH(B742,Vidriería!$A$2:$A$301,0)),"ID no existe"))</f>
        <v/>
      </c>
      <c r="D742" s="8"/>
      <c r="E742" s="8"/>
      <c r="F742" s="8"/>
      <c r="G742" s="13"/>
    </row>
    <row r="743" spans="1:7" x14ac:dyDescent="0.3">
      <c r="A743" s="11"/>
      <c r="B743" s="8"/>
      <c r="C743" s="7" t="str">
        <f>IF(B743="","",IFERROR(INDEX(Vidriería!$C$2:$C$301,MATCH(B743,Vidriería!$A$2:$A$301,0))&amp;" "&amp;INDEX(Vidriería!$D$2:$D$301,MATCH(B743,Vidriería!$A$2:$A$301,0)),"ID no existe"))</f>
        <v/>
      </c>
      <c r="D743" s="8"/>
      <c r="E743" s="8"/>
      <c r="F743" s="8"/>
      <c r="G743" s="13"/>
    </row>
    <row r="744" spans="1:7" x14ac:dyDescent="0.3">
      <c r="A744" s="11"/>
      <c r="B744" s="8"/>
      <c r="C744" s="7" t="str">
        <f>IF(B744="","",IFERROR(INDEX(Vidriería!$C$2:$C$301,MATCH(B744,Vidriería!$A$2:$A$301,0))&amp;" "&amp;INDEX(Vidriería!$D$2:$D$301,MATCH(B744,Vidriería!$A$2:$A$301,0)),"ID no existe"))</f>
        <v/>
      </c>
      <c r="D744" s="8"/>
      <c r="E744" s="8"/>
      <c r="F744" s="8"/>
      <c r="G744" s="13"/>
    </row>
    <row r="745" spans="1:7" x14ac:dyDescent="0.3">
      <c r="A745" s="11"/>
      <c r="B745" s="8"/>
      <c r="C745" s="7" t="str">
        <f>IF(B745="","",IFERROR(INDEX(Vidriería!$C$2:$C$301,MATCH(B745,Vidriería!$A$2:$A$301,0))&amp;" "&amp;INDEX(Vidriería!$D$2:$D$301,MATCH(B745,Vidriería!$A$2:$A$301,0)),"ID no existe"))</f>
        <v/>
      </c>
      <c r="D745" s="8"/>
      <c r="E745" s="8"/>
      <c r="F745" s="8"/>
      <c r="G745" s="13"/>
    </row>
    <row r="746" spans="1:7" x14ac:dyDescent="0.3">
      <c r="A746" s="11"/>
      <c r="B746" s="8"/>
      <c r="C746" s="7" t="str">
        <f>IF(B746="","",IFERROR(INDEX(Vidriería!$C$2:$C$301,MATCH(B746,Vidriería!$A$2:$A$301,0))&amp;" "&amp;INDEX(Vidriería!$D$2:$D$301,MATCH(B746,Vidriería!$A$2:$A$301,0)),"ID no existe"))</f>
        <v/>
      </c>
      <c r="D746" s="8"/>
      <c r="E746" s="8"/>
      <c r="F746" s="8"/>
      <c r="G746" s="13"/>
    </row>
    <row r="747" spans="1:7" x14ac:dyDescent="0.3">
      <c r="A747" s="11"/>
      <c r="B747" s="8"/>
      <c r="C747" s="7" t="str">
        <f>IF(B747="","",IFERROR(INDEX(Vidriería!$C$2:$C$301,MATCH(B747,Vidriería!$A$2:$A$301,0))&amp;" "&amp;INDEX(Vidriería!$D$2:$D$301,MATCH(B747,Vidriería!$A$2:$A$301,0)),"ID no existe"))</f>
        <v/>
      </c>
      <c r="D747" s="8"/>
      <c r="E747" s="8"/>
      <c r="F747" s="8"/>
      <c r="G747" s="13"/>
    </row>
    <row r="748" spans="1:7" x14ac:dyDescent="0.3">
      <c r="A748" s="11"/>
      <c r="B748" s="8"/>
      <c r="C748" s="7" t="str">
        <f>IF(B748="","",IFERROR(INDEX(Vidriería!$C$2:$C$301,MATCH(B748,Vidriería!$A$2:$A$301,0))&amp;" "&amp;INDEX(Vidriería!$D$2:$D$301,MATCH(B748,Vidriería!$A$2:$A$301,0)),"ID no existe"))</f>
        <v/>
      </c>
      <c r="D748" s="8"/>
      <c r="E748" s="8"/>
      <c r="F748" s="8"/>
      <c r="G748" s="13"/>
    </row>
    <row r="749" spans="1:7" x14ac:dyDescent="0.3">
      <c r="A749" s="11"/>
      <c r="B749" s="8"/>
      <c r="C749" s="7" t="str">
        <f>IF(B749="","",IFERROR(INDEX(Vidriería!$C$2:$C$301,MATCH(B749,Vidriería!$A$2:$A$301,0))&amp;" "&amp;INDEX(Vidriería!$D$2:$D$301,MATCH(B749,Vidriería!$A$2:$A$301,0)),"ID no existe"))</f>
        <v/>
      </c>
      <c r="D749" s="8"/>
      <c r="E749" s="8"/>
      <c r="F749" s="8"/>
      <c r="G749" s="13"/>
    </row>
    <row r="750" spans="1:7" x14ac:dyDescent="0.3">
      <c r="A750" s="11"/>
      <c r="B750" s="8"/>
      <c r="C750" s="7" t="str">
        <f>IF(B750="","",IFERROR(INDEX(Vidriería!$C$2:$C$301,MATCH(B750,Vidriería!$A$2:$A$301,0))&amp;" "&amp;INDEX(Vidriería!$D$2:$D$301,MATCH(B750,Vidriería!$A$2:$A$301,0)),"ID no existe"))</f>
        <v/>
      </c>
      <c r="D750" s="8"/>
      <c r="E750" s="8"/>
      <c r="F750" s="8"/>
      <c r="G750" s="13"/>
    </row>
    <row r="751" spans="1:7" x14ac:dyDescent="0.3">
      <c r="A751" s="11"/>
      <c r="B751" s="8"/>
      <c r="C751" s="7" t="str">
        <f>IF(B751="","",IFERROR(INDEX(Vidriería!$C$2:$C$301,MATCH(B751,Vidriería!$A$2:$A$301,0))&amp;" "&amp;INDEX(Vidriería!$D$2:$D$301,MATCH(B751,Vidriería!$A$2:$A$301,0)),"ID no existe"))</f>
        <v/>
      </c>
      <c r="D751" s="8"/>
      <c r="E751" s="8"/>
      <c r="F751" s="8"/>
      <c r="G751" s="13"/>
    </row>
    <row r="752" spans="1:7" x14ac:dyDescent="0.3">
      <c r="A752" s="11"/>
      <c r="B752" s="8"/>
      <c r="C752" s="7" t="str">
        <f>IF(B752="","",IFERROR(INDEX(Vidriería!$C$2:$C$301,MATCH(B752,Vidriería!$A$2:$A$301,0))&amp;" "&amp;INDEX(Vidriería!$D$2:$D$301,MATCH(B752,Vidriería!$A$2:$A$301,0)),"ID no existe"))</f>
        <v/>
      </c>
      <c r="D752" s="8"/>
      <c r="E752" s="8"/>
      <c r="F752" s="8"/>
      <c r="G752" s="13"/>
    </row>
    <row r="753" spans="1:7" x14ac:dyDescent="0.3">
      <c r="A753" s="11"/>
      <c r="B753" s="8"/>
      <c r="C753" s="7" t="str">
        <f>IF(B753="","",IFERROR(INDEX(Vidriería!$C$2:$C$301,MATCH(B753,Vidriería!$A$2:$A$301,0))&amp;" "&amp;INDEX(Vidriería!$D$2:$D$301,MATCH(B753,Vidriería!$A$2:$A$301,0)),"ID no existe"))</f>
        <v/>
      </c>
      <c r="D753" s="8"/>
      <c r="E753" s="8"/>
      <c r="F753" s="8"/>
      <c r="G753" s="13"/>
    </row>
    <row r="754" spans="1:7" x14ac:dyDescent="0.3">
      <c r="A754" s="11"/>
      <c r="B754" s="8"/>
      <c r="C754" s="7" t="str">
        <f>IF(B754="","",IFERROR(INDEX(Vidriería!$C$2:$C$301,MATCH(B754,Vidriería!$A$2:$A$301,0))&amp;" "&amp;INDEX(Vidriería!$D$2:$D$301,MATCH(B754,Vidriería!$A$2:$A$301,0)),"ID no existe"))</f>
        <v/>
      </c>
      <c r="D754" s="8"/>
      <c r="E754" s="8"/>
      <c r="F754" s="8"/>
      <c r="G754" s="13"/>
    </row>
    <row r="755" spans="1:7" x14ac:dyDescent="0.3">
      <c r="A755" s="11"/>
      <c r="B755" s="8"/>
      <c r="C755" s="7" t="str">
        <f>IF(B755="","",IFERROR(INDEX(Vidriería!$C$2:$C$301,MATCH(B755,Vidriería!$A$2:$A$301,0))&amp;" "&amp;INDEX(Vidriería!$D$2:$D$301,MATCH(B755,Vidriería!$A$2:$A$301,0)),"ID no existe"))</f>
        <v/>
      </c>
      <c r="D755" s="8"/>
      <c r="E755" s="8"/>
      <c r="F755" s="8"/>
      <c r="G755" s="13"/>
    </row>
    <row r="756" spans="1:7" x14ac:dyDescent="0.3">
      <c r="A756" s="11"/>
      <c r="B756" s="8"/>
      <c r="C756" s="7" t="str">
        <f>IF(B756="","",IFERROR(INDEX(Vidriería!$C$2:$C$301,MATCH(B756,Vidriería!$A$2:$A$301,0))&amp;" "&amp;INDEX(Vidriería!$D$2:$D$301,MATCH(B756,Vidriería!$A$2:$A$301,0)),"ID no existe"))</f>
        <v/>
      </c>
      <c r="D756" s="8"/>
      <c r="E756" s="8"/>
      <c r="F756" s="8"/>
      <c r="G756" s="13"/>
    </row>
    <row r="757" spans="1:7" x14ac:dyDescent="0.3">
      <c r="A757" s="11"/>
      <c r="B757" s="8"/>
      <c r="C757" s="7" t="str">
        <f>IF(B757="","",IFERROR(INDEX(Vidriería!$C$2:$C$301,MATCH(B757,Vidriería!$A$2:$A$301,0))&amp;" "&amp;INDEX(Vidriería!$D$2:$D$301,MATCH(B757,Vidriería!$A$2:$A$301,0)),"ID no existe"))</f>
        <v/>
      </c>
      <c r="D757" s="8"/>
      <c r="E757" s="8"/>
      <c r="F757" s="8"/>
      <c r="G757" s="13"/>
    </row>
    <row r="758" spans="1:7" x14ac:dyDescent="0.3">
      <c r="A758" s="11"/>
      <c r="B758" s="8"/>
      <c r="C758" s="7" t="str">
        <f>IF(B758="","",IFERROR(INDEX(Vidriería!$C$2:$C$301,MATCH(B758,Vidriería!$A$2:$A$301,0))&amp;" "&amp;INDEX(Vidriería!$D$2:$D$301,MATCH(B758,Vidriería!$A$2:$A$301,0)),"ID no existe"))</f>
        <v/>
      </c>
      <c r="D758" s="8"/>
      <c r="E758" s="8"/>
      <c r="F758" s="8"/>
      <c r="G758" s="13"/>
    </row>
    <row r="759" spans="1:7" x14ac:dyDescent="0.3">
      <c r="A759" s="11"/>
      <c r="B759" s="8"/>
      <c r="C759" s="7" t="str">
        <f>IF(B759="","",IFERROR(INDEX(Vidriería!$C$2:$C$301,MATCH(B759,Vidriería!$A$2:$A$301,0))&amp;" "&amp;INDEX(Vidriería!$D$2:$D$301,MATCH(B759,Vidriería!$A$2:$A$301,0)),"ID no existe"))</f>
        <v/>
      </c>
      <c r="D759" s="8"/>
      <c r="E759" s="8"/>
      <c r="F759" s="8"/>
      <c r="G759" s="13"/>
    </row>
    <row r="760" spans="1:7" x14ac:dyDescent="0.3">
      <c r="A760" s="11"/>
      <c r="B760" s="8"/>
      <c r="C760" s="7" t="str">
        <f>IF(B760="","",IFERROR(INDEX(Vidriería!$C$2:$C$301,MATCH(B760,Vidriería!$A$2:$A$301,0))&amp;" "&amp;INDEX(Vidriería!$D$2:$D$301,MATCH(B760,Vidriería!$A$2:$A$301,0)),"ID no existe"))</f>
        <v/>
      </c>
      <c r="D760" s="8"/>
      <c r="E760" s="8"/>
      <c r="F760" s="8"/>
      <c r="G760" s="13"/>
    </row>
    <row r="761" spans="1:7" x14ac:dyDescent="0.3">
      <c r="A761" s="11"/>
      <c r="B761" s="8"/>
      <c r="C761" s="7" t="str">
        <f>IF(B761="","",IFERROR(INDEX(Vidriería!$C$2:$C$301,MATCH(B761,Vidriería!$A$2:$A$301,0))&amp;" "&amp;INDEX(Vidriería!$D$2:$D$301,MATCH(B761,Vidriería!$A$2:$A$301,0)),"ID no existe"))</f>
        <v/>
      </c>
      <c r="D761" s="8"/>
      <c r="E761" s="8"/>
      <c r="F761" s="8"/>
      <c r="G761" s="13"/>
    </row>
    <row r="762" spans="1:7" x14ac:dyDescent="0.3">
      <c r="A762" s="11"/>
      <c r="B762" s="8"/>
      <c r="C762" s="7" t="str">
        <f>IF(B762="","",IFERROR(INDEX(Vidriería!$C$2:$C$301,MATCH(B762,Vidriería!$A$2:$A$301,0))&amp;" "&amp;INDEX(Vidriería!$D$2:$D$301,MATCH(B762,Vidriería!$A$2:$A$301,0)),"ID no existe"))</f>
        <v/>
      </c>
      <c r="D762" s="8"/>
      <c r="E762" s="8"/>
      <c r="F762" s="8"/>
      <c r="G762" s="13"/>
    </row>
    <row r="763" spans="1:7" x14ac:dyDescent="0.3">
      <c r="A763" s="11"/>
      <c r="B763" s="8"/>
      <c r="C763" s="7" t="str">
        <f>IF(B763="","",IFERROR(INDEX(Vidriería!$C$2:$C$301,MATCH(B763,Vidriería!$A$2:$A$301,0))&amp;" "&amp;INDEX(Vidriería!$D$2:$D$301,MATCH(B763,Vidriería!$A$2:$A$301,0)),"ID no existe"))</f>
        <v/>
      </c>
      <c r="D763" s="8"/>
      <c r="E763" s="8"/>
      <c r="F763" s="8"/>
      <c r="G763" s="13"/>
    </row>
    <row r="764" spans="1:7" x14ac:dyDescent="0.3">
      <c r="A764" s="11"/>
      <c r="B764" s="8"/>
      <c r="C764" s="7" t="str">
        <f>IF(B764="","",IFERROR(INDEX(Vidriería!$C$2:$C$301,MATCH(B764,Vidriería!$A$2:$A$301,0))&amp;" "&amp;INDEX(Vidriería!$D$2:$D$301,MATCH(B764,Vidriería!$A$2:$A$301,0)),"ID no existe"))</f>
        <v/>
      </c>
      <c r="D764" s="8"/>
      <c r="E764" s="8"/>
      <c r="F764" s="8"/>
      <c r="G764" s="13"/>
    </row>
    <row r="765" spans="1:7" x14ac:dyDescent="0.3">
      <c r="A765" s="11"/>
      <c r="B765" s="8"/>
      <c r="C765" s="7" t="str">
        <f>IF(B765="","",IFERROR(INDEX(Vidriería!$C$2:$C$301,MATCH(B765,Vidriería!$A$2:$A$301,0))&amp;" "&amp;INDEX(Vidriería!$D$2:$D$301,MATCH(B765,Vidriería!$A$2:$A$301,0)),"ID no existe"))</f>
        <v/>
      </c>
      <c r="D765" s="8"/>
      <c r="E765" s="8"/>
      <c r="F765" s="8"/>
      <c r="G765" s="13"/>
    </row>
    <row r="766" spans="1:7" x14ac:dyDescent="0.3">
      <c r="A766" s="11"/>
      <c r="B766" s="8"/>
      <c r="C766" s="7" t="str">
        <f>IF(B766="","",IFERROR(INDEX(Vidriería!$C$2:$C$301,MATCH(B766,Vidriería!$A$2:$A$301,0))&amp;" "&amp;INDEX(Vidriería!$D$2:$D$301,MATCH(B766,Vidriería!$A$2:$A$301,0)),"ID no existe"))</f>
        <v/>
      </c>
      <c r="D766" s="8"/>
      <c r="E766" s="8"/>
      <c r="F766" s="8"/>
      <c r="G766" s="13"/>
    </row>
    <row r="767" spans="1:7" x14ac:dyDescent="0.3">
      <c r="A767" s="11"/>
      <c r="B767" s="8"/>
      <c r="C767" s="7" t="str">
        <f>IF(B767="","",IFERROR(INDEX(Vidriería!$C$2:$C$301,MATCH(B767,Vidriería!$A$2:$A$301,0))&amp;" "&amp;INDEX(Vidriería!$D$2:$D$301,MATCH(B767,Vidriería!$A$2:$A$301,0)),"ID no existe"))</f>
        <v/>
      </c>
      <c r="D767" s="8"/>
      <c r="E767" s="8"/>
      <c r="F767" s="8"/>
      <c r="G767" s="13"/>
    </row>
    <row r="768" spans="1:7" x14ac:dyDescent="0.3">
      <c r="A768" s="11"/>
      <c r="B768" s="8"/>
      <c r="C768" s="7" t="str">
        <f>IF(B768="","",IFERROR(INDEX(Vidriería!$C$2:$C$301,MATCH(B768,Vidriería!$A$2:$A$301,0))&amp;" "&amp;INDEX(Vidriería!$D$2:$D$301,MATCH(B768,Vidriería!$A$2:$A$301,0)),"ID no existe"))</f>
        <v/>
      </c>
      <c r="D768" s="8"/>
      <c r="E768" s="8"/>
      <c r="F768" s="8"/>
      <c r="G768" s="13"/>
    </row>
    <row r="769" spans="1:7" x14ac:dyDescent="0.3">
      <c r="A769" s="11"/>
      <c r="B769" s="8"/>
      <c r="C769" s="7" t="str">
        <f>IF(B769="","",IFERROR(INDEX(Vidriería!$C$2:$C$301,MATCH(B769,Vidriería!$A$2:$A$301,0))&amp;" "&amp;INDEX(Vidriería!$D$2:$D$301,MATCH(B769,Vidriería!$A$2:$A$301,0)),"ID no existe"))</f>
        <v/>
      </c>
      <c r="D769" s="8"/>
      <c r="E769" s="8"/>
      <c r="F769" s="8"/>
      <c r="G769" s="13"/>
    </row>
    <row r="770" spans="1:7" x14ac:dyDescent="0.3">
      <c r="A770" s="11"/>
      <c r="B770" s="8"/>
      <c r="C770" s="7" t="str">
        <f>IF(B770="","",IFERROR(INDEX(Vidriería!$C$2:$C$301,MATCH(B770,Vidriería!$A$2:$A$301,0))&amp;" "&amp;INDEX(Vidriería!$D$2:$D$301,MATCH(B770,Vidriería!$A$2:$A$301,0)),"ID no existe"))</f>
        <v/>
      </c>
      <c r="D770" s="8"/>
      <c r="E770" s="8"/>
      <c r="F770" s="8"/>
      <c r="G770" s="13"/>
    </row>
    <row r="771" spans="1:7" x14ac:dyDescent="0.3">
      <c r="A771" s="11"/>
      <c r="B771" s="8"/>
      <c r="C771" s="7" t="str">
        <f>IF(B771="","",IFERROR(INDEX(Vidriería!$C$2:$C$301,MATCH(B771,Vidriería!$A$2:$A$301,0))&amp;" "&amp;INDEX(Vidriería!$D$2:$D$301,MATCH(B771,Vidriería!$A$2:$A$301,0)),"ID no existe"))</f>
        <v/>
      </c>
      <c r="D771" s="8"/>
      <c r="E771" s="8"/>
      <c r="F771" s="8"/>
      <c r="G771" s="13"/>
    </row>
    <row r="772" spans="1:7" x14ac:dyDescent="0.3">
      <c r="A772" s="11"/>
      <c r="B772" s="8"/>
      <c r="C772" s="7" t="str">
        <f>IF(B772="","",IFERROR(INDEX(Vidriería!$C$2:$C$301,MATCH(B772,Vidriería!$A$2:$A$301,0))&amp;" "&amp;INDEX(Vidriería!$D$2:$D$301,MATCH(B772,Vidriería!$A$2:$A$301,0)),"ID no existe"))</f>
        <v/>
      </c>
      <c r="D772" s="8"/>
      <c r="E772" s="8"/>
      <c r="F772" s="8"/>
      <c r="G772" s="13"/>
    </row>
    <row r="773" spans="1:7" x14ac:dyDescent="0.3">
      <c r="A773" s="11"/>
      <c r="B773" s="8"/>
      <c r="C773" s="7" t="str">
        <f>IF(B773="","",IFERROR(INDEX(Vidriería!$C$2:$C$301,MATCH(B773,Vidriería!$A$2:$A$301,0))&amp;" "&amp;INDEX(Vidriería!$D$2:$D$301,MATCH(B773,Vidriería!$A$2:$A$301,0)),"ID no existe"))</f>
        <v/>
      </c>
      <c r="D773" s="8"/>
      <c r="E773" s="8"/>
      <c r="F773" s="8"/>
      <c r="G773" s="13"/>
    </row>
    <row r="774" spans="1:7" x14ac:dyDescent="0.3">
      <c r="A774" s="11"/>
      <c r="B774" s="8"/>
      <c r="C774" s="7" t="str">
        <f>IF(B774="","",IFERROR(INDEX(Vidriería!$C$2:$C$301,MATCH(B774,Vidriería!$A$2:$A$301,0))&amp;" "&amp;INDEX(Vidriería!$D$2:$D$301,MATCH(B774,Vidriería!$A$2:$A$301,0)),"ID no existe"))</f>
        <v/>
      </c>
      <c r="D774" s="8"/>
      <c r="E774" s="8"/>
      <c r="F774" s="8"/>
      <c r="G774" s="13"/>
    </row>
    <row r="775" spans="1:7" x14ac:dyDescent="0.3">
      <c r="A775" s="11"/>
      <c r="B775" s="8"/>
      <c r="C775" s="7" t="str">
        <f>IF(B775="","",IFERROR(INDEX(Vidriería!$C$2:$C$301,MATCH(B775,Vidriería!$A$2:$A$301,0))&amp;" "&amp;INDEX(Vidriería!$D$2:$D$301,MATCH(B775,Vidriería!$A$2:$A$301,0)),"ID no existe"))</f>
        <v/>
      </c>
      <c r="D775" s="8"/>
      <c r="E775" s="8"/>
      <c r="F775" s="8"/>
      <c r="G775" s="13"/>
    </row>
    <row r="776" spans="1:7" x14ac:dyDescent="0.3">
      <c r="A776" s="11"/>
      <c r="B776" s="8"/>
      <c r="C776" s="7" t="str">
        <f>IF(B776="","",IFERROR(INDEX(Vidriería!$C$2:$C$301,MATCH(B776,Vidriería!$A$2:$A$301,0))&amp;" "&amp;INDEX(Vidriería!$D$2:$D$301,MATCH(B776,Vidriería!$A$2:$A$301,0)),"ID no existe"))</f>
        <v/>
      </c>
      <c r="D776" s="8"/>
      <c r="E776" s="8"/>
      <c r="F776" s="8"/>
      <c r="G776" s="13"/>
    </row>
    <row r="777" spans="1:7" x14ac:dyDescent="0.3">
      <c r="A777" s="11"/>
      <c r="B777" s="8"/>
      <c r="C777" s="7" t="str">
        <f>IF(B777="","",IFERROR(INDEX(Vidriería!$C$2:$C$301,MATCH(B777,Vidriería!$A$2:$A$301,0))&amp;" "&amp;INDEX(Vidriería!$D$2:$D$301,MATCH(B777,Vidriería!$A$2:$A$301,0)),"ID no existe"))</f>
        <v/>
      </c>
      <c r="D777" s="8"/>
      <c r="E777" s="8"/>
      <c r="F777" s="8"/>
      <c r="G777" s="13"/>
    </row>
    <row r="778" spans="1:7" x14ac:dyDescent="0.3">
      <c r="A778" s="11"/>
      <c r="B778" s="8"/>
      <c r="C778" s="7" t="str">
        <f>IF(B778="","",IFERROR(INDEX(Vidriería!$C$2:$C$301,MATCH(B778,Vidriería!$A$2:$A$301,0))&amp;" "&amp;INDEX(Vidriería!$D$2:$D$301,MATCH(B778,Vidriería!$A$2:$A$301,0)),"ID no existe"))</f>
        <v/>
      </c>
      <c r="D778" s="8"/>
      <c r="E778" s="8"/>
      <c r="F778" s="8"/>
      <c r="G778" s="13"/>
    </row>
    <row r="779" spans="1:7" x14ac:dyDescent="0.3">
      <c r="A779" s="11"/>
      <c r="B779" s="8"/>
      <c r="C779" s="7" t="str">
        <f>IF(B779="","",IFERROR(INDEX(Vidriería!$C$2:$C$301,MATCH(B779,Vidriería!$A$2:$A$301,0))&amp;" "&amp;INDEX(Vidriería!$D$2:$D$301,MATCH(B779,Vidriería!$A$2:$A$301,0)),"ID no existe"))</f>
        <v/>
      </c>
      <c r="D779" s="8"/>
      <c r="E779" s="8"/>
      <c r="F779" s="8"/>
      <c r="G779" s="13"/>
    </row>
    <row r="780" spans="1:7" x14ac:dyDescent="0.3">
      <c r="A780" s="11"/>
      <c r="B780" s="8"/>
      <c r="C780" s="7" t="str">
        <f>IF(B780="","",IFERROR(INDEX(Vidriería!$C$2:$C$301,MATCH(B780,Vidriería!$A$2:$A$301,0))&amp;" "&amp;INDEX(Vidriería!$D$2:$D$301,MATCH(B780,Vidriería!$A$2:$A$301,0)),"ID no existe"))</f>
        <v/>
      </c>
      <c r="D780" s="8"/>
      <c r="E780" s="8"/>
      <c r="F780" s="8"/>
      <c r="G780" s="13"/>
    </row>
    <row r="781" spans="1:7" x14ac:dyDescent="0.3">
      <c r="A781" s="11"/>
      <c r="B781" s="8"/>
      <c r="C781" s="7" t="str">
        <f>IF(B781="","",IFERROR(INDEX(Vidriería!$C$2:$C$301,MATCH(B781,Vidriería!$A$2:$A$301,0))&amp;" "&amp;INDEX(Vidriería!$D$2:$D$301,MATCH(B781,Vidriería!$A$2:$A$301,0)),"ID no existe"))</f>
        <v/>
      </c>
      <c r="D781" s="8"/>
      <c r="E781" s="8"/>
      <c r="F781" s="8"/>
      <c r="G781" s="13"/>
    </row>
    <row r="782" spans="1:7" x14ac:dyDescent="0.3">
      <c r="A782" s="11"/>
      <c r="B782" s="8"/>
      <c r="C782" s="7" t="str">
        <f>IF(B782="","",IFERROR(INDEX(Vidriería!$C$2:$C$301,MATCH(B782,Vidriería!$A$2:$A$301,0))&amp;" "&amp;INDEX(Vidriería!$D$2:$D$301,MATCH(B782,Vidriería!$A$2:$A$301,0)),"ID no existe"))</f>
        <v/>
      </c>
      <c r="D782" s="8"/>
      <c r="E782" s="8"/>
      <c r="F782" s="8"/>
      <c r="G782" s="13"/>
    </row>
    <row r="783" spans="1:7" x14ac:dyDescent="0.3">
      <c r="A783" s="11"/>
      <c r="B783" s="8"/>
      <c r="C783" s="7" t="str">
        <f>IF(B783="","",IFERROR(INDEX(Vidriería!$C$2:$C$301,MATCH(B783,Vidriería!$A$2:$A$301,0))&amp;" "&amp;INDEX(Vidriería!$D$2:$D$301,MATCH(B783,Vidriería!$A$2:$A$301,0)),"ID no existe"))</f>
        <v/>
      </c>
      <c r="D783" s="8"/>
      <c r="E783" s="8"/>
      <c r="F783" s="8"/>
      <c r="G783" s="13"/>
    </row>
    <row r="784" spans="1:7" x14ac:dyDescent="0.3">
      <c r="A784" s="11"/>
      <c r="B784" s="8"/>
      <c r="C784" s="7" t="str">
        <f>IF(B784="","",IFERROR(INDEX(Vidriería!$C$2:$C$301,MATCH(B784,Vidriería!$A$2:$A$301,0))&amp;" "&amp;INDEX(Vidriería!$D$2:$D$301,MATCH(B784,Vidriería!$A$2:$A$301,0)),"ID no existe"))</f>
        <v/>
      </c>
      <c r="D784" s="8"/>
      <c r="E784" s="8"/>
      <c r="F784" s="8"/>
      <c r="G784" s="13"/>
    </row>
    <row r="785" spans="1:7" x14ac:dyDescent="0.3">
      <c r="A785" s="11"/>
      <c r="B785" s="8"/>
      <c r="C785" s="7" t="str">
        <f>IF(B785="","",IFERROR(INDEX(Vidriería!$C$2:$C$301,MATCH(B785,Vidriería!$A$2:$A$301,0))&amp;" "&amp;INDEX(Vidriería!$D$2:$D$301,MATCH(B785,Vidriería!$A$2:$A$301,0)),"ID no existe"))</f>
        <v/>
      </c>
      <c r="D785" s="8"/>
      <c r="E785" s="8"/>
      <c r="F785" s="8"/>
      <c r="G785" s="13"/>
    </row>
    <row r="786" spans="1:7" x14ac:dyDescent="0.3">
      <c r="A786" s="11"/>
      <c r="B786" s="8"/>
      <c r="C786" s="7" t="str">
        <f>IF(B786="","",IFERROR(INDEX(Vidriería!$C$2:$C$301,MATCH(B786,Vidriería!$A$2:$A$301,0))&amp;" "&amp;INDEX(Vidriería!$D$2:$D$301,MATCH(B786,Vidriería!$A$2:$A$301,0)),"ID no existe"))</f>
        <v/>
      </c>
      <c r="D786" s="8"/>
      <c r="E786" s="8"/>
      <c r="F786" s="8"/>
      <c r="G786" s="13"/>
    </row>
    <row r="787" spans="1:7" x14ac:dyDescent="0.3">
      <c r="A787" s="11"/>
      <c r="B787" s="8"/>
      <c r="C787" s="7" t="str">
        <f>IF(B787="","",IFERROR(INDEX(Vidriería!$C$2:$C$301,MATCH(B787,Vidriería!$A$2:$A$301,0))&amp;" "&amp;INDEX(Vidriería!$D$2:$D$301,MATCH(B787,Vidriería!$A$2:$A$301,0)),"ID no existe"))</f>
        <v/>
      </c>
      <c r="D787" s="8"/>
      <c r="E787" s="8"/>
      <c r="F787" s="8"/>
      <c r="G787" s="13"/>
    </row>
    <row r="788" spans="1:7" x14ac:dyDescent="0.3">
      <c r="A788" s="11"/>
      <c r="B788" s="8"/>
      <c r="C788" s="7" t="str">
        <f>IF(B788="","",IFERROR(INDEX(Vidriería!$C$2:$C$301,MATCH(B788,Vidriería!$A$2:$A$301,0))&amp;" "&amp;INDEX(Vidriería!$D$2:$D$301,MATCH(B788,Vidriería!$A$2:$A$301,0)),"ID no existe"))</f>
        <v/>
      </c>
      <c r="D788" s="8"/>
      <c r="E788" s="8"/>
      <c r="F788" s="8"/>
      <c r="G788" s="13"/>
    </row>
    <row r="789" spans="1:7" x14ac:dyDescent="0.3">
      <c r="A789" s="11"/>
      <c r="B789" s="8"/>
      <c r="C789" s="7" t="str">
        <f>IF(B789="","",IFERROR(INDEX(Vidriería!$C$2:$C$301,MATCH(B789,Vidriería!$A$2:$A$301,0))&amp;" "&amp;INDEX(Vidriería!$D$2:$D$301,MATCH(B789,Vidriería!$A$2:$A$301,0)),"ID no existe"))</f>
        <v/>
      </c>
      <c r="D789" s="8"/>
      <c r="E789" s="8"/>
      <c r="F789" s="8"/>
      <c r="G789" s="13"/>
    </row>
    <row r="790" spans="1:7" x14ac:dyDescent="0.3">
      <c r="A790" s="11"/>
      <c r="B790" s="8"/>
      <c r="C790" s="7" t="str">
        <f>IF(B790="","",IFERROR(INDEX(Vidriería!$C$2:$C$301,MATCH(B790,Vidriería!$A$2:$A$301,0))&amp;" "&amp;INDEX(Vidriería!$D$2:$D$301,MATCH(B790,Vidriería!$A$2:$A$301,0)),"ID no existe"))</f>
        <v/>
      </c>
      <c r="D790" s="8"/>
      <c r="E790" s="8"/>
      <c r="F790" s="8"/>
      <c r="G790" s="13"/>
    </row>
    <row r="791" spans="1:7" x14ac:dyDescent="0.3">
      <c r="A791" s="11"/>
      <c r="B791" s="8"/>
      <c r="C791" s="7" t="str">
        <f>IF(B791="","",IFERROR(INDEX(Vidriería!$C$2:$C$301,MATCH(B791,Vidriería!$A$2:$A$301,0))&amp;" "&amp;INDEX(Vidriería!$D$2:$D$301,MATCH(B791,Vidriería!$A$2:$A$301,0)),"ID no existe"))</f>
        <v/>
      </c>
      <c r="D791" s="8"/>
      <c r="E791" s="8"/>
      <c r="F791" s="8"/>
      <c r="G791" s="13"/>
    </row>
    <row r="792" spans="1:7" x14ac:dyDescent="0.3">
      <c r="A792" s="11"/>
      <c r="B792" s="8"/>
      <c r="C792" s="7" t="str">
        <f>IF(B792="","",IFERROR(INDEX(Vidriería!$C$2:$C$301,MATCH(B792,Vidriería!$A$2:$A$301,0))&amp;" "&amp;INDEX(Vidriería!$D$2:$D$301,MATCH(B792,Vidriería!$A$2:$A$301,0)),"ID no existe"))</f>
        <v/>
      </c>
      <c r="D792" s="8"/>
      <c r="E792" s="8"/>
      <c r="F792" s="8"/>
      <c r="G792" s="13"/>
    </row>
    <row r="793" spans="1:7" x14ac:dyDescent="0.3">
      <c r="A793" s="11"/>
      <c r="B793" s="8"/>
      <c r="C793" s="7" t="str">
        <f>IF(B793="","",IFERROR(INDEX(Vidriería!$C$2:$C$301,MATCH(B793,Vidriería!$A$2:$A$301,0))&amp;" "&amp;INDEX(Vidriería!$D$2:$D$301,MATCH(B793,Vidriería!$A$2:$A$301,0)),"ID no existe"))</f>
        <v/>
      </c>
      <c r="D793" s="8"/>
      <c r="E793" s="8"/>
      <c r="F793" s="8"/>
      <c r="G793" s="13"/>
    </row>
    <row r="794" spans="1:7" x14ac:dyDescent="0.3">
      <c r="A794" s="11"/>
      <c r="B794" s="8"/>
      <c r="C794" s="7" t="str">
        <f>IF(B794="","",IFERROR(INDEX(Vidriería!$C$2:$C$301,MATCH(B794,Vidriería!$A$2:$A$301,0))&amp;" "&amp;INDEX(Vidriería!$D$2:$D$301,MATCH(B794,Vidriería!$A$2:$A$301,0)),"ID no existe"))</f>
        <v/>
      </c>
      <c r="D794" s="8"/>
      <c r="E794" s="8"/>
      <c r="F794" s="8"/>
      <c r="G794" s="13"/>
    </row>
    <row r="795" spans="1:7" x14ac:dyDescent="0.3">
      <c r="A795" s="11"/>
      <c r="B795" s="8"/>
      <c r="C795" s="7" t="str">
        <f>IF(B795="","",IFERROR(INDEX(Vidriería!$C$2:$C$301,MATCH(B795,Vidriería!$A$2:$A$301,0))&amp;" "&amp;INDEX(Vidriería!$D$2:$D$301,MATCH(B795,Vidriería!$A$2:$A$301,0)),"ID no existe"))</f>
        <v/>
      </c>
      <c r="D795" s="8"/>
      <c r="E795" s="8"/>
      <c r="F795" s="8"/>
      <c r="G795" s="13"/>
    </row>
    <row r="796" spans="1:7" x14ac:dyDescent="0.3">
      <c r="A796" s="11"/>
      <c r="B796" s="8"/>
      <c r="C796" s="7" t="str">
        <f>IF(B796="","",IFERROR(INDEX(Vidriería!$C$2:$C$301,MATCH(B796,Vidriería!$A$2:$A$301,0))&amp;" "&amp;INDEX(Vidriería!$D$2:$D$301,MATCH(B796,Vidriería!$A$2:$A$301,0)),"ID no existe"))</f>
        <v/>
      </c>
      <c r="D796" s="8"/>
      <c r="E796" s="8"/>
      <c r="F796" s="8"/>
      <c r="G796" s="13"/>
    </row>
    <row r="797" spans="1:7" x14ac:dyDescent="0.3">
      <c r="A797" s="11"/>
      <c r="B797" s="8"/>
      <c r="C797" s="7" t="str">
        <f>IF(B797="","",IFERROR(INDEX(Vidriería!$C$2:$C$301,MATCH(B797,Vidriería!$A$2:$A$301,0))&amp;" "&amp;INDEX(Vidriería!$D$2:$D$301,MATCH(B797,Vidriería!$A$2:$A$301,0)),"ID no existe"))</f>
        <v/>
      </c>
      <c r="D797" s="8"/>
      <c r="E797" s="8"/>
      <c r="F797" s="8"/>
      <c r="G797" s="13"/>
    </row>
    <row r="798" spans="1:7" x14ac:dyDescent="0.3">
      <c r="A798" s="11"/>
      <c r="B798" s="8"/>
      <c r="C798" s="7" t="str">
        <f>IF(B798="","",IFERROR(INDEX(Vidriería!$C$2:$C$301,MATCH(B798,Vidriería!$A$2:$A$301,0))&amp;" "&amp;INDEX(Vidriería!$D$2:$D$301,MATCH(B798,Vidriería!$A$2:$A$301,0)),"ID no existe"))</f>
        <v/>
      </c>
      <c r="D798" s="8"/>
      <c r="E798" s="8"/>
      <c r="F798" s="8"/>
      <c r="G798" s="13"/>
    </row>
    <row r="799" spans="1:7" x14ac:dyDescent="0.3">
      <c r="A799" s="11"/>
      <c r="B799" s="8"/>
      <c r="C799" s="7" t="str">
        <f>IF(B799="","",IFERROR(INDEX(Vidriería!$C$2:$C$301,MATCH(B799,Vidriería!$A$2:$A$301,0))&amp;" "&amp;INDEX(Vidriería!$D$2:$D$301,MATCH(B799,Vidriería!$A$2:$A$301,0)),"ID no existe"))</f>
        <v/>
      </c>
      <c r="D799" s="8"/>
      <c r="E799" s="8"/>
      <c r="F799" s="8"/>
      <c r="G799" s="13"/>
    </row>
    <row r="800" spans="1:7" x14ac:dyDescent="0.3">
      <c r="A800" s="11"/>
      <c r="B800" s="8"/>
      <c r="C800" s="7" t="str">
        <f>IF(B800="","",IFERROR(INDEX(Vidriería!$C$2:$C$301,MATCH(B800,Vidriería!$A$2:$A$301,0))&amp;" "&amp;INDEX(Vidriería!$D$2:$D$301,MATCH(B800,Vidriería!$A$2:$A$301,0)),"ID no existe"))</f>
        <v/>
      </c>
      <c r="D800" s="8"/>
      <c r="E800" s="8"/>
      <c r="F800" s="8"/>
      <c r="G800" s="13"/>
    </row>
    <row r="801" spans="1:7" x14ac:dyDescent="0.3">
      <c r="A801" s="11"/>
      <c r="B801" s="8"/>
      <c r="C801" s="7" t="str">
        <f>IF(B801="","",IFERROR(INDEX(Vidriería!$C$2:$C$301,MATCH(B801,Vidriería!$A$2:$A$301,0))&amp;" "&amp;INDEX(Vidriería!$D$2:$D$301,MATCH(B801,Vidriería!$A$2:$A$301,0)),"ID no existe"))</f>
        <v/>
      </c>
      <c r="D801" s="8"/>
      <c r="E801" s="8"/>
      <c r="F801" s="8"/>
      <c r="G801" s="13"/>
    </row>
    <row r="802" spans="1:7" x14ac:dyDescent="0.3">
      <c r="A802" s="11"/>
      <c r="B802" s="8"/>
      <c r="C802" s="7" t="str">
        <f>IF(B802="","",IFERROR(INDEX(Vidriería!$C$2:$C$301,MATCH(B802,Vidriería!$A$2:$A$301,0))&amp;" "&amp;INDEX(Vidriería!$D$2:$D$301,MATCH(B802,Vidriería!$A$2:$A$301,0)),"ID no existe"))</f>
        <v/>
      </c>
      <c r="D802" s="8"/>
      <c r="E802" s="8"/>
      <c r="F802" s="8"/>
      <c r="G802" s="13"/>
    </row>
    <row r="803" spans="1:7" x14ac:dyDescent="0.3">
      <c r="A803" s="11"/>
      <c r="B803" s="8"/>
      <c r="C803" s="7" t="str">
        <f>IF(B803="","",IFERROR(INDEX(Vidriería!$C$2:$C$301,MATCH(B803,Vidriería!$A$2:$A$301,0))&amp;" "&amp;INDEX(Vidriería!$D$2:$D$301,MATCH(B803,Vidriería!$A$2:$A$301,0)),"ID no existe"))</f>
        <v/>
      </c>
      <c r="D803" s="8"/>
      <c r="E803" s="8"/>
      <c r="F803" s="8"/>
      <c r="G803" s="13"/>
    </row>
    <row r="804" spans="1:7" x14ac:dyDescent="0.3">
      <c r="A804" s="11"/>
      <c r="B804" s="8"/>
      <c r="C804" s="7" t="str">
        <f>IF(B804="","",IFERROR(INDEX(Vidriería!$C$2:$C$301,MATCH(B804,Vidriería!$A$2:$A$301,0))&amp;" "&amp;INDEX(Vidriería!$D$2:$D$301,MATCH(B804,Vidriería!$A$2:$A$301,0)),"ID no existe"))</f>
        <v/>
      </c>
      <c r="D804" s="8"/>
      <c r="E804" s="8"/>
      <c r="F804" s="8"/>
      <c r="G804" s="13"/>
    </row>
    <row r="805" spans="1:7" x14ac:dyDescent="0.3">
      <c r="A805" s="11"/>
      <c r="B805" s="8"/>
      <c r="C805" s="7" t="str">
        <f>IF(B805="","",IFERROR(INDEX(Vidriería!$C$2:$C$301,MATCH(B805,Vidriería!$A$2:$A$301,0))&amp;" "&amp;INDEX(Vidriería!$D$2:$D$301,MATCH(B805,Vidriería!$A$2:$A$301,0)),"ID no existe"))</f>
        <v/>
      </c>
      <c r="D805" s="8"/>
      <c r="E805" s="8"/>
      <c r="F805" s="8"/>
      <c r="G805" s="13"/>
    </row>
    <row r="806" spans="1:7" x14ac:dyDescent="0.3">
      <c r="A806" s="11"/>
      <c r="B806" s="8"/>
      <c r="C806" s="7" t="str">
        <f>IF(B806="","",IFERROR(INDEX(Vidriería!$C$2:$C$301,MATCH(B806,Vidriería!$A$2:$A$301,0))&amp;" "&amp;INDEX(Vidriería!$D$2:$D$301,MATCH(B806,Vidriería!$A$2:$A$301,0)),"ID no existe"))</f>
        <v/>
      </c>
      <c r="D806" s="8"/>
      <c r="E806" s="8"/>
      <c r="F806" s="8"/>
      <c r="G806" s="13"/>
    </row>
    <row r="807" spans="1:7" x14ac:dyDescent="0.3">
      <c r="A807" s="11"/>
      <c r="B807" s="8"/>
      <c r="C807" s="7" t="str">
        <f>IF(B807="","",IFERROR(INDEX(Vidriería!$C$2:$C$301,MATCH(B807,Vidriería!$A$2:$A$301,0))&amp;" "&amp;INDEX(Vidriería!$D$2:$D$301,MATCH(B807,Vidriería!$A$2:$A$301,0)),"ID no existe"))</f>
        <v/>
      </c>
      <c r="D807" s="8"/>
      <c r="E807" s="8"/>
      <c r="F807" s="8"/>
      <c r="G807" s="13"/>
    </row>
    <row r="808" spans="1:7" x14ac:dyDescent="0.3">
      <c r="A808" s="11"/>
      <c r="B808" s="8"/>
      <c r="C808" s="7" t="str">
        <f>IF(B808="","",IFERROR(INDEX(Vidriería!$C$2:$C$301,MATCH(B808,Vidriería!$A$2:$A$301,0))&amp;" "&amp;INDEX(Vidriería!$D$2:$D$301,MATCH(B808,Vidriería!$A$2:$A$301,0)),"ID no existe"))</f>
        <v/>
      </c>
      <c r="D808" s="8"/>
      <c r="E808" s="8"/>
      <c r="F808" s="8"/>
      <c r="G808" s="13"/>
    </row>
    <row r="809" spans="1:7" x14ac:dyDescent="0.3">
      <c r="A809" s="11"/>
      <c r="B809" s="8"/>
      <c r="C809" s="7" t="str">
        <f>IF(B809="","",IFERROR(INDEX(Vidriería!$C$2:$C$301,MATCH(B809,Vidriería!$A$2:$A$301,0))&amp;" "&amp;INDEX(Vidriería!$D$2:$D$301,MATCH(B809,Vidriería!$A$2:$A$301,0)),"ID no existe"))</f>
        <v/>
      </c>
      <c r="D809" s="8"/>
      <c r="E809" s="8"/>
      <c r="F809" s="8"/>
      <c r="G809" s="13"/>
    </row>
    <row r="810" spans="1:7" x14ac:dyDescent="0.3">
      <c r="A810" s="11"/>
      <c r="B810" s="8"/>
      <c r="C810" s="7" t="str">
        <f>IF(B810="","",IFERROR(INDEX(Vidriería!$C$2:$C$301,MATCH(B810,Vidriería!$A$2:$A$301,0))&amp;" "&amp;INDEX(Vidriería!$D$2:$D$301,MATCH(B810,Vidriería!$A$2:$A$301,0)),"ID no existe"))</f>
        <v/>
      </c>
      <c r="D810" s="8"/>
      <c r="E810" s="8"/>
      <c r="F810" s="8"/>
      <c r="G810" s="13"/>
    </row>
    <row r="811" spans="1:7" x14ac:dyDescent="0.3">
      <c r="A811" s="11"/>
      <c r="B811" s="8"/>
      <c r="C811" s="7" t="str">
        <f>IF(B811="","",IFERROR(INDEX(Vidriería!$C$2:$C$301,MATCH(B811,Vidriería!$A$2:$A$301,0))&amp;" "&amp;INDEX(Vidriería!$D$2:$D$301,MATCH(B811,Vidriería!$A$2:$A$301,0)),"ID no existe"))</f>
        <v/>
      </c>
      <c r="D811" s="8"/>
      <c r="E811" s="8"/>
      <c r="F811" s="8"/>
      <c r="G811" s="13"/>
    </row>
    <row r="812" spans="1:7" x14ac:dyDescent="0.3">
      <c r="A812" s="11"/>
      <c r="B812" s="8"/>
      <c r="C812" s="7" t="str">
        <f>IF(B812="","",IFERROR(INDEX(Vidriería!$C$2:$C$301,MATCH(B812,Vidriería!$A$2:$A$301,0))&amp;" "&amp;INDEX(Vidriería!$D$2:$D$301,MATCH(B812,Vidriería!$A$2:$A$301,0)),"ID no existe"))</f>
        <v/>
      </c>
      <c r="D812" s="8"/>
      <c r="E812" s="8"/>
      <c r="F812" s="8"/>
      <c r="G812" s="13"/>
    </row>
    <row r="813" spans="1:7" x14ac:dyDescent="0.3">
      <c r="A813" s="11"/>
      <c r="B813" s="8"/>
      <c r="C813" s="7" t="str">
        <f>IF(B813="","",IFERROR(INDEX(Vidriería!$C$2:$C$301,MATCH(B813,Vidriería!$A$2:$A$301,0))&amp;" "&amp;INDEX(Vidriería!$D$2:$D$301,MATCH(B813,Vidriería!$A$2:$A$301,0)),"ID no existe"))</f>
        <v/>
      </c>
      <c r="D813" s="8"/>
      <c r="E813" s="8"/>
      <c r="F813" s="8"/>
      <c r="G813" s="13"/>
    </row>
    <row r="814" spans="1:7" x14ac:dyDescent="0.3">
      <c r="A814" s="11"/>
      <c r="B814" s="8"/>
      <c r="C814" s="7" t="str">
        <f>IF(B814="","",IFERROR(INDEX(Vidriería!$C$2:$C$301,MATCH(B814,Vidriería!$A$2:$A$301,0))&amp;" "&amp;INDEX(Vidriería!$D$2:$D$301,MATCH(B814,Vidriería!$A$2:$A$301,0)),"ID no existe"))</f>
        <v/>
      </c>
      <c r="D814" s="8"/>
      <c r="E814" s="8"/>
      <c r="F814" s="8"/>
      <c r="G814" s="13"/>
    </row>
    <row r="815" spans="1:7" x14ac:dyDescent="0.3">
      <c r="A815" s="11"/>
      <c r="B815" s="8"/>
      <c r="C815" s="7" t="str">
        <f>IF(B815="","",IFERROR(INDEX(Vidriería!$C$2:$C$301,MATCH(B815,Vidriería!$A$2:$A$301,0))&amp;" "&amp;INDEX(Vidriería!$D$2:$D$301,MATCH(B815,Vidriería!$A$2:$A$301,0)),"ID no existe"))</f>
        <v/>
      </c>
      <c r="D815" s="8"/>
      <c r="E815" s="8"/>
      <c r="F815" s="8"/>
      <c r="G815" s="13"/>
    </row>
    <row r="816" spans="1:7" x14ac:dyDescent="0.3">
      <c r="A816" s="11"/>
      <c r="B816" s="8"/>
      <c r="C816" s="7" t="str">
        <f>IF(B816="","",IFERROR(INDEX(Vidriería!$C$2:$C$301,MATCH(B816,Vidriería!$A$2:$A$301,0))&amp;" "&amp;INDEX(Vidriería!$D$2:$D$301,MATCH(B816,Vidriería!$A$2:$A$301,0)),"ID no existe"))</f>
        <v/>
      </c>
      <c r="D816" s="8"/>
      <c r="E816" s="8"/>
      <c r="F816" s="8"/>
      <c r="G816" s="13"/>
    </row>
    <row r="817" spans="1:7" x14ac:dyDescent="0.3">
      <c r="A817" s="11"/>
      <c r="B817" s="8"/>
      <c r="C817" s="7" t="str">
        <f>IF(B817="","",IFERROR(INDEX(Vidriería!$C$2:$C$301,MATCH(B817,Vidriería!$A$2:$A$301,0))&amp;" "&amp;INDEX(Vidriería!$D$2:$D$301,MATCH(B817,Vidriería!$A$2:$A$301,0)),"ID no existe"))</f>
        <v/>
      </c>
      <c r="D817" s="8"/>
      <c r="E817" s="8"/>
      <c r="F817" s="8"/>
      <c r="G817" s="13"/>
    </row>
    <row r="818" spans="1:7" x14ac:dyDescent="0.3">
      <c r="A818" s="11"/>
      <c r="B818" s="8"/>
      <c r="C818" s="7" t="str">
        <f>IF(B818="","",IFERROR(INDEX(Vidriería!$C$2:$C$301,MATCH(B818,Vidriería!$A$2:$A$301,0))&amp;" "&amp;INDEX(Vidriería!$D$2:$D$301,MATCH(B818,Vidriería!$A$2:$A$301,0)),"ID no existe"))</f>
        <v/>
      </c>
      <c r="D818" s="8"/>
      <c r="E818" s="8"/>
      <c r="F818" s="8"/>
      <c r="G818" s="13"/>
    </row>
    <row r="819" spans="1:7" x14ac:dyDescent="0.3">
      <c r="A819" s="11"/>
      <c r="B819" s="8"/>
      <c r="C819" s="7" t="str">
        <f>IF(B819="","",IFERROR(INDEX(Vidriería!$C$2:$C$301,MATCH(B819,Vidriería!$A$2:$A$301,0))&amp;" "&amp;INDEX(Vidriería!$D$2:$D$301,MATCH(B819,Vidriería!$A$2:$A$301,0)),"ID no existe"))</f>
        <v/>
      </c>
      <c r="D819" s="8"/>
      <c r="E819" s="8"/>
      <c r="F819" s="8"/>
      <c r="G819" s="13"/>
    </row>
    <row r="820" spans="1:7" x14ac:dyDescent="0.3">
      <c r="A820" s="11"/>
      <c r="B820" s="8"/>
      <c r="C820" s="7" t="str">
        <f>IF(B820="","",IFERROR(INDEX(Vidriería!$C$2:$C$301,MATCH(B820,Vidriería!$A$2:$A$301,0))&amp;" "&amp;INDEX(Vidriería!$D$2:$D$301,MATCH(B820,Vidriería!$A$2:$A$301,0)),"ID no existe"))</f>
        <v/>
      </c>
      <c r="D820" s="8"/>
      <c r="E820" s="8"/>
      <c r="F820" s="8"/>
      <c r="G820" s="13"/>
    </row>
    <row r="821" spans="1:7" x14ac:dyDescent="0.3">
      <c r="A821" s="11"/>
      <c r="B821" s="8"/>
      <c r="C821" s="7" t="str">
        <f>IF(B821="","",IFERROR(INDEX(Vidriería!$C$2:$C$301,MATCH(B821,Vidriería!$A$2:$A$301,0))&amp;" "&amp;INDEX(Vidriería!$D$2:$D$301,MATCH(B821,Vidriería!$A$2:$A$301,0)),"ID no existe"))</f>
        <v/>
      </c>
      <c r="D821" s="8"/>
      <c r="E821" s="8"/>
      <c r="F821" s="8"/>
      <c r="G821" s="13"/>
    </row>
    <row r="822" spans="1:7" x14ac:dyDescent="0.3">
      <c r="A822" s="11"/>
      <c r="B822" s="8"/>
      <c r="C822" s="7" t="str">
        <f>IF(B822="","",IFERROR(INDEX(Vidriería!$C$2:$C$301,MATCH(B822,Vidriería!$A$2:$A$301,0))&amp;" "&amp;INDEX(Vidriería!$D$2:$D$301,MATCH(B822,Vidriería!$A$2:$A$301,0)),"ID no existe"))</f>
        <v/>
      </c>
      <c r="D822" s="8"/>
      <c r="E822" s="8"/>
      <c r="F822" s="8"/>
      <c r="G822" s="13"/>
    </row>
    <row r="823" spans="1:7" x14ac:dyDescent="0.3">
      <c r="A823" s="11"/>
      <c r="B823" s="8"/>
      <c r="C823" s="7" t="str">
        <f>IF(B823="","",IFERROR(INDEX(Vidriería!$C$2:$C$301,MATCH(B823,Vidriería!$A$2:$A$301,0))&amp;" "&amp;INDEX(Vidriería!$D$2:$D$301,MATCH(B823,Vidriería!$A$2:$A$301,0)),"ID no existe"))</f>
        <v/>
      </c>
      <c r="D823" s="8"/>
      <c r="E823" s="8"/>
      <c r="F823" s="8"/>
      <c r="G823" s="13"/>
    </row>
    <row r="824" spans="1:7" x14ac:dyDescent="0.3">
      <c r="A824" s="11"/>
      <c r="B824" s="8"/>
      <c r="C824" s="7" t="str">
        <f>IF(B824="","",IFERROR(INDEX(Vidriería!$C$2:$C$301,MATCH(B824,Vidriería!$A$2:$A$301,0))&amp;" "&amp;INDEX(Vidriería!$D$2:$D$301,MATCH(B824,Vidriería!$A$2:$A$301,0)),"ID no existe"))</f>
        <v/>
      </c>
      <c r="D824" s="8"/>
      <c r="E824" s="8"/>
      <c r="F824" s="8"/>
      <c r="G824" s="13"/>
    </row>
    <row r="825" spans="1:7" x14ac:dyDescent="0.3">
      <c r="A825" s="11"/>
      <c r="B825" s="8"/>
      <c r="C825" s="7" t="str">
        <f>IF(B825="","",IFERROR(INDEX(Vidriería!$C$2:$C$301,MATCH(B825,Vidriería!$A$2:$A$301,0))&amp;" "&amp;INDEX(Vidriería!$D$2:$D$301,MATCH(B825,Vidriería!$A$2:$A$301,0)),"ID no existe"))</f>
        <v/>
      </c>
      <c r="D825" s="8"/>
      <c r="E825" s="8"/>
      <c r="F825" s="8"/>
      <c r="G825" s="13"/>
    </row>
    <row r="826" spans="1:7" x14ac:dyDescent="0.3">
      <c r="A826" s="11"/>
      <c r="B826" s="8"/>
      <c r="C826" s="7" t="str">
        <f>IF(B826="","",IFERROR(INDEX(Vidriería!$C$2:$C$301,MATCH(B826,Vidriería!$A$2:$A$301,0))&amp;" "&amp;INDEX(Vidriería!$D$2:$D$301,MATCH(B826,Vidriería!$A$2:$A$301,0)),"ID no existe"))</f>
        <v/>
      </c>
      <c r="D826" s="8"/>
      <c r="E826" s="8"/>
      <c r="F826" s="8"/>
      <c r="G826" s="13"/>
    </row>
    <row r="827" spans="1:7" x14ac:dyDescent="0.3">
      <c r="A827" s="11"/>
      <c r="B827" s="8"/>
      <c r="C827" s="7" t="str">
        <f>IF(B827="","",IFERROR(INDEX(Vidriería!$C$2:$C$301,MATCH(B827,Vidriería!$A$2:$A$301,0))&amp;" "&amp;INDEX(Vidriería!$D$2:$D$301,MATCH(B827,Vidriería!$A$2:$A$301,0)),"ID no existe"))</f>
        <v/>
      </c>
      <c r="D827" s="8"/>
      <c r="E827" s="8"/>
      <c r="F827" s="8"/>
      <c r="G827" s="13"/>
    </row>
    <row r="828" spans="1:7" x14ac:dyDescent="0.3">
      <c r="A828" s="11"/>
      <c r="B828" s="8"/>
      <c r="C828" s="7" t="str">
        <f>IF(B828="","",IFERROR(INDEX(Vidriería!$C$2:$C$301,MATCH(B828,Vidriería!$A$2:$A$301,0))&amp;" "&amp;INDEX(Vidriería!$D$2:$D$301,MATCH(B828,Vidriería!$A$2:$A$301,0)),"ID no existe"))</f>
        <v/>
      </c>
      <c r="D828" s="8"/>
      <c r="E828" s="8"/>
      <c r="F828" s="8"/>
      <c r="G828" s="13"/>
    </row>
    <row r="829" spans="1:7" x14ac:dyDescent="0.3">
      <c r="A829" s="11"/>
      <c r="B829" s="8"/>
      <c r="C829" s="7" t="str">
        <f>IF(B829="","",IFERROR(INDEX(Vidriería!$C$2:$C$301,MATCH(B829,Vidriería!$A$2:$A$301,0))&amp;" "&amp;INDEX(Vidriería!$D$2:$D$301,MATCH(B829,Vidriería!$A$2:$A$301,0)),"ID no existe"))</f>
        <v/>
      </c>
      <c r="D829" s="8"/>
      <c r="E829" s="8"/>
      <c r="F829" s="8"/>
      <c r="G829" s="13"/>
    </row>
    <row r="830" spans="1:7" x14ac:dyDescent="0.3">
      <c r="A830" s="11"/>
      <c r="B830" s="8"/>
      <c r="C830" s="7" t="str">
        <f>IF(B830="","",IFERROR(INDEX(Vidriería!$C$2:$C$301,MATCH(B830,Vidriería!$A$2:$A$301,0))&amp;" "&amp;INDEX(Vidriería!$D$2:$D$301,MATCH(B830,Vidriería!$A$2:$A$301,0)),"ID no existe"))</f>
        <v/>
      </c>
      <c r="D830" s="8"/>
      <c r="E830" s="8"/>
      <c r="F830" s="8"/>
      <c r="G830" s="13"/>
    </row>
    <row r="831" spans="1:7" x14ac:dyDescent="0.3">
      <c r="A831" s="11"/>
      <c r="B831" s="8"/>
      <c r="C831" s="7" t="str">
        <f>IF(B831="","",IFERROR(INDEX(Vidriería!$C$2:$C$301,MATCH(B831,Vidriería!$A$2:$A$301,0))&amp;" "&amp;INDEX(Vidriería!$D$2:$D$301,MATCH(B831,Vidriería!$A$2:$A$301,0)),"ID no existe"))</f>
        <v/>
      </c>
      <c r="D831" s="8"/>
      <c r="E831" s="8"/>
      <c r="F831" s="8"/>
      <c r="G831" s="13"/>
    </row>
    <row r="832" spans="1:7" x14ac:dyDescent="0.3">
      <c r="A832" s="11"/>
      <c r="B832" s="8"/>
      <c r="C832" s="7" t="str">
        <f>IF(B832="","",IFERROR(INDEX(Vidriería!$C$2:$C$301,MATCH(B832,Vidriería!$A$2:$A$301,0))&amp;" "&amp;INDEX(Vidriería!$D$2:$D$301,MATCH(B832,Vidriería!$A$2:$A$301,0)),"ID no existe"))</f>
        <v/>
      </c>
      <c r="D832" s="8"/>
      <c r="E832" s="8"/>
      <c r="F832" s="8"/>
      <c r="G832" s="13"/>
    </row>
    <row r="833" spans="1:7" x14ac:dyDescent="0.3">
      <c r="A833" s="11"/>
      <c r="B833" s="8"/>
      <c r="C833" s="7" t="str">
        <f>IF(B833="","",IFERROR(INDEX(Vidriería!$C$2:$C$301,MATCH(B833,Vidriería!$A$2:$A$301,0))&amp;" "&amp;INDEX(Vidriería!$D$2:$D$301,MATCH(B833,Vidriería!$A$2:$A$301,0)),"ID no existe"))</f>
        <v/>
      </c>
      <c r="D833" s="8"/>
      <c r="E833" s="8"/>
      <c r="F833" s="8"/>
      <c r="G833" s="13"/>
    </row>
    <row r="834" spans="1:7" x14ac:dyDescent="0.3">
      <c r="A834" s="11"/>
      <c r="B834" s="8"/>
      <c r="C834" s="7" t="str">
        <f>IF(B834="","",IFERROR(INDEX(Vidriería!$C$2:$C$301,MATCH(B834,Vidriería!$A$2:$A$301,0))&amp;" "&amp;INDEX(Vidriería!$D$2:$D$301,MATCH(B834,Vidriería!$A$2:$A$301,0)),"ID no existe"))</f>
        <v/>
      </c>
      <c r="D834" s="8"/>
      <c r="E834" s="8"/>
      <c r="F834" s="8"/>
      <c r="G834" s="13"/>
    </row>
    <row r="835" spans="1:7" x14ac:dyDescent="0.3">
      <c r="A835" s="11"/>
      <c r="B835" s="8"/>
      <c r="C835" s="7" t="str">
        <f>IF(B835="","",IFERROR(INDEX(Vidriería!$C$2:$C$301,MATCH(B835,Vidriería!$A$2:$A$301,0))&amp;" "&amp;INDEX(Vidriería!$D$2:$D$301,MATCH(B835,Vidriería!$A$2:$A$301,0)),"ID no existe"))</f>
        <v/>
      </c>
      <c r="D835" s="8"/>
      <c r="E835" s="8"/>
      <c r="F835" s="8"/>
      <c r="G835" s="13"/>
    </row>
    <row r="836" spans="1:7" x14ac:dyDescent="0.3">
      <c r="A836" s="11"/>
      <c r="B836" s="8"/>
      <c r="C836" s="7" t="str">
        <f>IF(B836="","",IFERROR(INDEX(Vidriería!$C$2:$C$301,MATCH(B836,Vidriería!$A$2:$A$301,0))&amp;" "&amp;INDEX(Vidriería!$D$2:$D$301,MATCH(B836,Vidriería!$A$2:$A$301,0)),"ID no existe"))</f>
        <v/>
      </c>
      <c r="D836" s="8"/>
      <c r="E836" s="8"/>
      <c r="F836" s="8"/>
      <c r="G836" s="13"/>
    </row>
    <row r="837" spans="1:7" x14ac:dyDescent="0.3">
      <c r="A837" s="11"/>
      <c r="B837" s="8"/>
      <c r="C837" s="7" t="str">
        <f>IF(B837="","",IFERROR(INDEX(Vidriería!$C$2:$C$301,MATCH(B837,Vidriería!$A$2:$A$301,0))&amp;" "&amp;INDEX(Vidriería!$D$2:$D$301,MATCH(B837,Vidriería!$A$2:$A$301,0)),"ID no existe"))</f>
        <v/>
      </c>
      <c r="D837" s="8"/>
      <c r="E837" s="8"/>
      <c r="F837" s="8"/>
      <c r="G837" s="13"/>
    </row>
    <row r="838" spans="1:7" x14ac:dyDescent="0.3">
      <c r="A838" s="11"/>
      <c r="B838" s="8"/>
      <c r="C838" s="7" t="str">
        <f>IF(B838="","",IFERROR(INDEX(Vidriería!$C$2:$C$301,MATCH(B838,Vidriería!$A$2:$A$301,0))&amp;" "&amp;INDEX(Vidriería!$D$2:$D$301,MATCH(B838,Vidriería!$A$2:$A$301,0)),"ID no existe"))</f>
        <v/>
      </c>
      <c r="D838" s="8"/>
      <c r="E838" s="8"/>
      <c r="F838" s="8"/>
      <c r="G838" s="13"/>
    </row>
    <row r="839" spans="1:7" x14ac:dyDescent="0.3">
      <c r="A839" s="11"/>
      <c r="B839" s="8"/>
      <c r="C839" s="7" t="str">
        <f>IF(B839="","",IFERROR(INDEX(Vidriería!$C$2:$C$301,MATCH(B839,Vidriería!$A$2:$A$301,0))&amp;" "&amp;INDEX(Vidriería!$D$2:$D$301,MATCH(B839,Vidriería!$A$2:$A$301,0)),"ID no existe"))</f>
        <v/>
      </c>
      <c r="D839" s="8"/>
      <c r="E839" s="8"/>
      <c r="F839" s="8"/>
      <c r="G839" s="13"/>
    </row>
    <row r="840" spans="1:7" x14ac:dyDescent="0.3">
      <c r="A840" s="11"/>
      <c r="B840" s="8"/>
      <c r="C840" s="7" t="str">
        <f>IF(B840="","",IFERROR(INDEX(Vidriería!$C$2:$C$301,MATCH(B840,Vidriería!$A$2:$A$301,0))&amp;" "&amp;INDEX(Vidriería!$D$2:$D$301,MATCH(B840,Vidriería!$A$2:$A$301,0)),"ID no existe"))</f>
        <v/>
      </c>
      <c r="D840" s="8"/>
      <c r="E840" s="8"/>
      <c r="F840" s="8"/>
      <c r="G840" s="13"/>
    </row>
    <row r="841" spans="1:7" x14ac:dyDescent="0.3">
      <c r="A841" s="11"/>
      <c r="B841" s="8"/>
      <c r="C841" s="7" t="str">
        <f>IF(B841="","",IFERROR(INDEX(Vidriería!$C$2:$C$301,MATCH(B841,Vidriería!$A$2:$A$301,0))&amp;" "&amp;INDEX(Vidriería!$D$2:$D$301,MATCH(B841,Vidriería!$A$2:$A$301,0)),"ID no existe"))</f>
        <v/>
      </c>
      <c r="D841" s="8"/>
      <c r="E841" s="8"/>
      <c r="F841" s="8"/>
      <c r="G841" s="13"/>
    </row>
    <row r="842" spans="1:7" x14ac:dyDescent="0.3">
      <c r="A842" s="11"/>
      <c r="B842" s="8"/>
      <c r="C842" s="7" t="str">
        <f>IF(B842="","",IFERROR(INDEX(Vidriería!$C$2:$C$301,MATCH(B842,Vidriería!$A$2:$A$301,0))&amp;" "&amp;INDEX(Vidriería!$D$2:$D$301,MATCH(B842,Vidriería!$A$2:$A$301,0)),"ID no existe"))</f>
        <v/>
      </c>
      <c r="D842" s="8"/>
      <c r="E842" s="8"/>
      <c r="F842" s="8"/>
      <c r="G842" s="13"/>
    </row>
    <row r="843" spans="1:7" x14ac:dyDescent="0.3">
      <c r="A843" s="11"/>
      <c r="B843" s="8"/>
      <c r="C843" s="7" t="str">
        <f>IF(B843="","",IFERROR(INDEX(Vidriería!$C$2:$C$301,MATCH(B843,Vidriería!$A$2:$A$301,0))&amp;" "&amp;INDEX(Vidriería!$D$2:$D$301,MATCH(B843,Vidriería!$A$2:$A$301,0)),"ID no existe"))</f>
        <v/>
      </c>
      <c r="D843" s="8"/>
      <c r="E843" s="8"/>
      <c r="F843" s="8"/>
      <c r="G843" s="13"/>
    </row>
    <row r="844" spans="1:7" x14ac:dyDescent="0.3">
      <c r="A844" s="11"/>
      <c r="B844" s="8"/>
      <c r="C844" s="7" t="str">
        <f>IF(B844="","",IFERROR(INDEX(Vidriería!$C$2:$C$301,MATCH(B844,Vidriería!$A$2:$A$301,0))&amp;" "&amp;INDEX(Vidriería!$D$2:$D$301,MATCH(B844,Vidriería!$A$2:$A$301,0)),"ID no existe"))</f>
        <v/>
      </c>
      <c r="D844" s="8"/>
      <c r="E844" s="8"/>
      <c r="F844" s="8"/>
      <c r="G844" s="13"/>
    </row>
    <row r="845" spans="1:7" x14ac:dyDescent="0.3">
      <c r="A845" s="11"/>
      <c r="B845" s="8"/>
      <c r="C845" s="7" t="str">
        <f>IF(B845="","",IFERROR(INDEX(Vidriería!$C$2:$C$301,MATCH(B845,Vidriería!$A$2:$A$301,0))&amp;" "&amp;INDEX(Vidriería!$D$2:$D$301,MATCH(B845,Vidriería!$A$2:$A$301,0)),"ID no existe"))</f>
        <v/>
      </c>
      <c r="D845" s="8"/>
      <c r="E845" s="8"/>
      <c r="F845" s="8"/>
      <c r="G845" s="13"/>
    </row>
    <row r="846" spans="1:7" x14ac:dyDescent="0.3">
      <c r="A846" s="11"/>
      <c r="B846" s="8"/>
      <c r="C846" s="7" t="str">
        <f>IF(B846="","",IFERROR(INDEX(Vidriería!$C$2:$C$301,MATCH(B846,Vidriería!$A$2:$A$301,0))&amp;" "&amp;INDEX(Vidriería!$D$2:$D$301,MATCH(B846,Vidriería!$A$2:$A$301,0)),"ID no existe"))</f>
        <v/>
      </c>
      <c r="D846" s="8"/>
      <c r="E846" s="8"/>
      <c r="F846" s="8"/>
      <c r="G846" s="13"/>
    </row>
    <row r="847" spans="1:7" x14ac:dyDescent="0.3">
      <c r="A847" s="11"/>
      <c r="B847" s="8"/>
      <c r="C847" s="7" t="str">
        <f>IF(B847="","",IFERROR(INDEX(Vidriería!$C$2:$C$301,MATCH(B847,Vidriería!$A$2:$A$301,0))&amp;" "&amp;INDEX(Vidriería!$D$2:$D$301,MATCH(B847,Vidriería!$A$2:$A$301,0)),"ID no existe"))</f>
        <v/>
      </c>
      <c r="D847" s="8"/>
      <c r="E847" s="8"/>
      <c r="F847" s="8"/>
      <c r="G847" s="13"/>
    </row>
    <row r="848" spans="1:7" x14ac:dyDescent="0.3">
      <c r="A848" s="11"/>
      <c r="B848" s="8"/>
      <c r="C848" s="7" t="str">
        <f>IF(B848="","",IFERROR(INDEX(Vidriería!$C$2:$C$301,MATCH(B848,Vidriería!$A$2:$A$301,0))&amp;" "&amp;INDEX(Vidriería!$D$2:$D$301,MATCH(B848,Vidriería!$A$2:$A$301,0)),"ID no existe"))</f>
        <v/>
      </c>
      <c r="D848" s="8"/>
      <c r="E848" s="8"/>
      <c r="F848" s="8"/>
      <c r="G848" s="13"/>
    </row>
    <row r="849" spans="1:7" x14ac:dyDescent="0.3">
      <c r="A849" s="11"/>
      <c r="B849" s="8"/>
      <c r="C849" s="7" t="str">
        <f>IF(B849="","",IFERROR(INDEX(Vidriería!$C$2:$C$301,MATCH(B849,Vidriería!$A$2:$A$301,0))&amp;" "&amp;INDEX(Vidriería!$D$2:$D$301,MATCH(B849,Vidriería!$A$2:$A$301,0)),"ID no existe"))</f>
        <v/>
      </c>
      <c r="D849" s="8"/>
      <c r="E849" s="8"/>
      <c r="F849" s="8"/>
      <c r="G849" s="13"/>
    </row>
    <row r="850" spans="1:7" x14ac:dyDescent="0.3">
      <c r="A850" s="11"/>
      <c r="B850" s="8"/>
      <c r="C850" s="7" t="str">
        <f>IF(B850="","",IFERROR(INDEX(Vidriería!$C$2:$C$301,MATCH(B850,Vidriería!$A$2:$A$301,0))&amp;" "&amp;INDEX(Vidriería!$D$2:$D$301,MATCH(B850,Vidriería!$A$2:$A$301,0)),"ID no existe"))</f>
        <v/>
      </c>
      <c r="D850" s="8"/>
      <c r="E850" s="8"/>
      <c r="F850" s="8"/>
      <c r="G850" s="13"/>
    </row>
    <row r="851" spans="1:7" x14ac:dyDescent="0.3">
      <c r="A851" s="11"/>
      <c r="B851" s="8"/>
      <c r="C851" s="7" t="str">
        <f>IF(B851="","",IFERROR(INDEX(Vidriería!$C$2:$C$301,MATCH(B851,Vidriería!$A$2:$A$301,0))&amp;" "&amp;INDEX(Vidriería!$D$2:$D$301,MATCH(B851,Vidriería!$A$2:$A$301,0)),"ID no existe"))</f>
        <v/>
      </c>
      <c r="D851" s="8"/>
      <c r="E851" s="8"/>
      <c r="F851" s="8"/>
      <c r="G851" s="13"/>
    </row>
    <row r="852" spans="1:7" x14ac:dyDescent="0.3">
      <c r="A852" s="11"/>
      <c r="B852" s="8"/>
      <c r="C852" s="7" t="str">
        <f>IF(B852="","",IFERROR(INDEX(Vidriería!$C$2:$C$301,MATCH(B852,Vidriería!$A$2:$A$301,0))&amp;" "&amp;INDEX(Vidriería!$D$2:$D$301,MATCH(B852,Vidriería!$A$2:$A$301,0)),"ID no existe"))</f>
        <v/>
      </c>
      <c r="D852" s="8"/>
      <c r="E852" s="8"/>
      <c r="F852" s="8"/>
      <c r="G852" s="13"/>
    </row>
    <row r="853" spans="1:7" x14ac:dyDescent="0.3">
      <c r="A853" s="11"/>
      <c r="B853" s="8"/>
      <c r="C853" s="7" t="str">
        <f>IF(B853="","",IFERROR(INDEX(Vidriería!$C$2:$C$301,MATCH(B853,Vidriería!$A$2:$A$301,0))&amp;" "&amp;INDEX(Vidriería!$D$2:$D$301,MATCH(B853,Vidriería!$A$2:$A$301,0)),"ID no existe"))</f>
        <v/>
      </c>
      <c r="D853" s="8"/>
      <c r="E853" s="8"/>
      <c r="F853" s="8"/>
      <c r="G853" s="13"/>
    </row>
    <row r="854" spans="1:7" x14ac:dyDescent="0.3">
      <c r="A854" s="11"/>
      <c r="B854" s="8"/>
      <c r="C854" s="7" t="str">
        <f>IF(B854="","",IFERROR(INDEX(Vidriería!$C$2:$C$301,MATCH(B854,Vidriería!$A$2:$A$301,0))&amp;" "&amp;INDEX(Vidriería!$D$2:$D$301,MATCH(B854,Vidriería!$A$2:$A$301,0)),"ID no existe"))</f>
        <v/>
      </c>
      <c r="D854" s="8"/>
      <c r="E854" s="8"/>
      <c r="F854" s="8"/>
      <c r="G854" s="13"/>
    </row>
    <row r="855" spans="1:7" x14ac:dyDescent="0.3">
      <c r="A855" s="11"/>
      <c r="B855" s="8"/>
      <c r="C855" s="7" t="str">
        <f>IF(B855="","",IFERROR(INDEX(Vidriería!$C$2:$C$301,MATCH(B855,Vidriería!$A$2:$A$301,0))&amp;" "&amp;INDEX(Vidriería!$D$2:$D$301,MATCH(B855,Vidriería!$A$2:$A$301,0)),"ID no existe"))</f>
        <v/>
      </c>
      <c r="D855" s="8"/>
      <c r="E855" s="8"/>
      <c r="F855" s="8"/>
      <c r="G855" s="13"/>
    </row>
    <row r="856" spans="1:7" x14ac:dyDescent="0.3">
      <c r="A856" s="11"/>
      <c r="B856" s="8"/>
      <c r="C856" s="7" t="str">
        <f>IF(B856="","",IFERROR(INDEX(Vidriería!$C$2:$C$301,MATCH(B856,Vidriería!$A$2:$A$301,0))&amp;" "&amp;INDEX(Vidriería!$D$2:$D$301,MATCH(B856,Vidriería!$A$2:$A$301,0)),"ID no existe"))</f>
        <v/>
      </c>
      <c r="D856" s="8"/>
      <c r="E856" s="8"/>
      <c r="F856" s="8"/>
      <c r="G856" s="13"/>
    </row>
    <row r="857" spans="1:7" x14ac:dyDescent="0.3">
      <c r="A857" s="11"/>
      <c r="B857" s="8"/>
      <c r="C857" s="7" t="str">
        <f>IF(B857="","",IFERROR(INDEX(Vidriería!$C$2:$C$301,MATCH(B857,Vidriería!$A$2:$A$301,0))&amp;" "&amp;INDEX(Vidriería!$D$2:$D$301,MATCH(B857,Vidriería!$A$2:$A$301,0)),"ID no existe"))</f>
        <v/>
      </c>
      <c r="D857" s="8"/>
      <c r="E857" s="8"/>
      <c r="F857" s="8"/>
      <c r="G857" s="13"/>
    </row>
    <row r="858" spans="1:7" x14ac:dyDescent="0.3">
      <c r="A858" s="11"/>
      <c r="B858" s="8"/>
      <c r="C858" s="7" t="str">
        <f>IF(B858="","",IFERROR(INDEX(Vidriería!$C$2:$C$301,MATCH(B858,Vidriería!$A$2:$A$301,0))&amp;" "&amp;INDEX(Vidriería!$D$2:$D$301,MATCH(B858,Vidriería!$A$2:$A$301,0)),"ID no existe"))</f>
        <v/>
      </c>
      <c r="D858" s="8"/>
      <c r="E858" s="8"/>
      <c r="F858" s="8"/>
      <c r="G858" s="13"/>
    </row>
    <row r="859" spans="1:7" x14ac:dyDescent="0.3">
      <c r="A859" s="11"/>
      <c r="B859" s="8"/>
      <c r="C859" s="7" t="str">
        <f>IF(B859="","",IFERROR(INDEX(Vidriería!$C$2:$C$301,MATCH(B859,Vidriería!$A$2:$A$301,0))&amp;" "&amp;INDEX(Vidriería!$D$2:$D$301,MATCH(B859,Vidriería!$A$2:$A$301,0)),"ID no existe"))</f>
        <v/>
      </c>
      <c r="D859" s="8"/>
      <c r="E859" s="8"/>
      <c r="F859" s="8"/>
      <c r="G859" s="13"/>
    </row>
    <row r="860" spans="1:7" x14ac:dyDescent="0.3">
      <c r="A860" s="11"/>
      <c r="B860" s="8"/>
      <c r="C860" s="7" t="str">
        <f>IF(B860="","",IFERROR(INDEX(Vidriería!$C$2:$C$301,MATCH(B860,Vidriería!$A$2:$A$301,0))&amp;" "&amp;INDEX(Vidriería!$D$2:$D$301,MATCH(B860,Vidriería!$A$2:$A$301,0)),"ID no existe"))</f>
        <v/>
      </c>
      <c r="D860" s="8"/>
      <c r="E860" s="8"/>
      <c r="F860" s="8"/>
      <c r="G860" s="13"/>
    </row>
    <row r="861" spans="1:7" x14ac:dyDescent="0.3">
      <c r="A861" s="11"/>
      <c r="B861" s="8"/>
      <c r="C861" s="7" t="str">
        <f>IF(B861="","",IFERROR(INDEX(Vidriería!$C$2:$C$301,MATCH(B861,Vidriería!$A$2:$A$301,0))&amp;" "&amp;INDEX(Vidriería!$D$2:$D$301,MATCH(B861,Vidriería!$A$2:$A$301,0)),"ID no existe"))</f>
        <v/>
      </c>
      <c r="D861" s="8"/>
      <c r="E861" s="8"/>
      <c r="F861" s="8"/>
      <c r="G861" s="13"/>
    </row>
    <row r="862" spans="1:7" x14ac:dyDescent="0.3">
      <c r="A862" s="11"/>
      <c r="B862" s="8"/>
      <c r="C862" s="7" t="str">
        <f>IF(B862="","",IFERROR(INDEX(Vidriería!$C$2:$C$301,MATCH(B862,Vidriería!$A$2:$A$301,0))&amp;" "&amp;INDEX(Vidriería!$D$2:$D$301,MATCH(B862,Vidriería!$A$2:$A$301,0)),"ID no existe"))</f>
        <v/>
      </c>
      <c r="D862" s="8"/>
      <c r="E862" s="8"/>
      <c r="F862" s="8"/>
      <c r="G862" s="13"/>
    </row>
    <row r="863" spans="1:7" x14ac:dyDescent="0.3">
      <c r="A863" s="11"/>
      <c r="B863" s="8"/>
      <c r="C863" s="7" t="str">
        <f>IF(B863="","",IFERROR(INDEX(Vidriería!$C$2:$C$301,MATCH(B863,Vidriería!$A$2:$A$301,0))&amp;" "&amp;INDEX(Vidriería!$D$2:$D$301,MATCH(B863,Vidriería!$A$2:$A$301,0)),"ID no existe"))</f>
        <v/>
      </c>
      <c r="D863" s="8"/>
      <c r="E863" s="8"/>
      <c r="F863" s="8"/>
      <c r="G863" s="13"/>
    </row>
    <row r="864" spans="1:7" x14ac:dyDescent="0.3">
      <c r="A864" s="11"/>
      <c r="B864" s="8"/>
      <c r="C864" s="7" t="str">
        <f>IF(B864="","",IFERROR(INDEX(Vidriería!$C$2:$C$301,MATCH(B864,Vidriería!$A$2:$A$301,0))&amp;" "&amp;INDEX(Vidriería!$D$2:$D$301,MATCH(B864,Vidriería!$A$2:$A$301,0)),"ID no existe"))</f>
        <v/>
      </c>
      <c r="D864" s="8"/>
      <c r="E864" s="8"/>
      <c r="F864" s="8"/>
      <c r="G864" s="13"/>
    </row>
    <row r="865" spans="1:7" x14ac:dyDescent="0.3">
      <c r="A865" s="11"/>
      <c r="B865" s="8"/>
      <c r="C865" s="7" t="str">
        <f>IF(B865="","",IFERROR(INDEX(Vidriería!$C$2:$C$301,MATCH(B865,Vidriería!$A$2:$A$301,0))&amp;" "&amp;INDEX(Vidriería!$D$2:$D$301,MATCH(B865,Vidriería!$A$2:$A$301,0)),"ID no existe"))</f>
        <v/>
      </c>
      <c r="D865" s="8"/>
      <c r="E865" s="8"/>
      <c r="F865" s="8"/>
      <c r="G865" s="13"/>
    </row>
    <row r="866" spans="1:7" x14ac:dyDescent="0.3">
      <c r="A866" s="11"/>
      <c r="B866" s="8"/>
      <c r="C866" s="7" t="str">
        <f>IF(B866="","",IFERROR(INDEX(Vidriería!$C$2:$C$301,MATCH(B866,Vidriería!$A$2:$A$301,0))&amp;" "&amp;INDEX(Vidriería!$D$2:$D$301,MATCH(B866,Vidriería!$A$2:$A$301,0)),"ID no existe"))</f>
        <v/>
      </c>
      <c r="D866" s="8"/>
      <c r="E866" s="8"/>
      <c r="F866" s="8"/>
      <c r="G866" s="13"/>
    </row>
    <row r="867" spans="1:7" x14ac:dyDescent="0.3">
      <c r="A867" s="11"/>
      <c r="B867" s="8"/>
      <c r="C867" s="7" t="str">
        <f>IF(B867="","",IFERROR(INDEX(Vidriería!$C$2:$C$301,MATCH(B867,Vidriería!$A$2:$A$301,0))&amp;" "&amp;INDEX(Vidriería!$D$2:$D$301,MATCH(B867,Vidriería!$A$2:$A$301,0)),"ID no existe"))</f>
        <v/>
      </c>
      <c r="D867" s="8"/>
      <c r="E867" s="8"/>
      <c r="F867" s="8"/>
      <c r="G867" s="13"/>
    </row>
    <row r="868" spans="1:7" x14ac:dyDescent="0.3">
      <c r="A868" s="11"/>
      <c r="B868" s="8"/>
      <c r="C868" s="7" t="str">
        <f>IF(B868="","",IFERROR(INDEX(Vidriería!$C$2:$C$301,MATCH(B868,Vidriería!$A$2:$A$301,0))&amp;" "&amp;INDEX(Vidriería!$D$2:$D$301,MATCH(B868,Vidriería!$A$2:$A$301,0)),"ID no existe"))</f>
        <v/>
      </c>
      <c r="D868" s="8"/>
      <c r="E868" s="8"/>
      <c r="F868" s="8"/>
      <c r="G868" s="13"/>
    </row>
    <row r="869" spans="1:7" x14ac:dyDescent="0.3">
      <c r="A869" s="11"/>
      <c r="B869" s="8"/>
      <c r="C869" s="7" t="str">
        <f>IF(B869="","",IFERROR(INDEX(Vidriería!$C$2:$C$301,MATCH(B869,Vidriería!$A$2:$A$301,0))&amp;" "&amp;INDEX(Vidriería!$D$2:$D$301,MATCH(B869,Vidriería!$A$2:$A$301,0)),"ID no existe"))</f>
        <v/>
      </c>
      <c r="D869" s="8"/>
      <c r="E869" s="8"/>
      <c r="F869" s="8"/>
      <c r="G869" s="13"/>
    </row>
    <row r="870" spans="1:7" x14ac:dyDescent="0.3">
      <c r="A870" s="11"/>
      <c r="B870" s="8"/>
      <c r="C870" s="7" t="str">
        <f>IF(B870="","",IFERROR(INDEX(Vidriería!$C$2:$C$301,MATCH(B870,Vidriería!$A$2:$A$301,0))&amp;" "&amp;INDEX(Vidriería!$D$2:$D$301,MATCH(B870,Vidriería!$A$2:$A$301,0)),"ID no existe"))</f>
        <v/>
      </c>
      <c r="D870" s="8"/>
      <c r="E870" s="8"/>
      <c r="F870" s="8"/>
      <c r="G870" s="13"/>
    </row>
    <row r="871" spans="1:7" x14ac:dyDescent="0.3">
      <c r="A871" s="11"/>
      <c r="B871" s="8"/>
      <c r="C871" s="7" t="str">
        <f>IF(B871="","",IFERROR(INDEX(Vidriería!$C$2:$C$301,MATCH(B871,Vidriería!$A$2:$A$301,0))&amp;" "&amp;INDEX(Vidriería!$D$2:$D$301,MATCH(B871,Vidriería!$A$2:$A$301,0)),"ID no existe"))</f>
        <v/>
      </c>
      <c r="D871" s="8"/>
      <c r="E871" s="8"/>
      <c r="F871" s="8"/>
      <c r="G871" s="13"/>
    </row>
    <row r="872" spans="1:7" x14ac:dyDescent="0.3">
      <c r="A872" s="11"/>
      <c r="B872" s="8"/>
      <c r="C872" s="7" t="str">
        <f>IF(B872="","",IFERROR(INDEX(Vidriería!$C$2:$C$301,MATCH(B872,Vidriería!$A$2:$A$301,0))&amp;" "&amp;INDEX(Vidriería!$D$2:$D$301,MATCH(B872,Vidriería!$A$2:$A$301,0)),"ID no existe"))</f>
        <v/>
      </c>
      <c r="D872" s="8"/>
      <c r="E872" s="8"/>
      <c r="F872" s="8"/>
      <c r="G872" s="13"/>
    </row>
    <row r="873" spans="1:7" x14ac:dyDescent="0.3">
      <c r="A873" s="11"/>
      <c r="B873" s="8"/>
      <c r="C873" s="7" t="str">
        <f>IF(B873="","",IFERROR(INDEX(Vidriería!$C$2:$C$301,MATCH(B873,Vidriería!$A$2:$A$301,0))&amp;" "&amp;INDEX(Vidriería!$D$2:$D$301,MATCH(B873,Vidriería!$A$2:$A$301,0)),"ID no existe"))</f>
        <v/>
      </c>
      <c r="D873" s="8"/>
      <c r="E873" s="8"/>
      <c r="F873" s="8"/>
      <c r="G873" s="13"/>
    </row>
    <row r="874" spans="1:7" x14ac:dyDescent="0.3">
      <c r="A874" s="11"/>
      <c r="B874" s="8"/>
      <c r="C874" s="7" t="str">
        <f>IF(B874="","",IFERROR(INDEX(Vidriería!$C$2:$C$301,MATCH(B874,Vidriería!$A$2:$A$301,0))&amp;" "&amp;INDEX(Vidriería!$D$2:$D$301,MATCH(B874,Vidriería!$A$2:$A$301,0)),"ID no existe"))</f>
        <v/>
      </c>
      <c r="D874" s="8"/>
      <c r="E874" s="8"/>
      <c r="F874" s="8"/>
      <c r="G874" s="13"/>
    </row>
    <row r="875" spans="1:7" x14ac:dyDescent="0.3">
      <c r="A875" s="11"/>
      <c r="B875" s="8"/>
      <c r="C875" s="7" t="str">
        <f>IF(B875="","",IFERROR(INDEX(Vidriería!$C$2:$C$301,MATCH(B875,Vidriería!$A$2:$A$301,0))&amp;" "&amp;INDEX(Vidriería!$D$2:$D$301,MATCH(B875,Vidriería!$A$2:$A$301,0)),"ID no existe"))</f>
        <v/>
      </c>
      <c r="D875" s="8"/>
      <c r="E875" s="8"/>
      <c r="F875" s="8"/>
      <c r="G875" s="13"/>
    </row>
    <row r="876" spans="1:7" x14ac:dyDescent="0.3">
      <c r="A876" s="11"/>
      <c r="B876" s="8"/>
      <c r="C876" s="7" t="str">
        <f>IF(B876="","",IFERROR(INDEX(Vidriería!$C$2:$C$301,MATCH(B876,Vidriería!$A$2:$A$301,0))&amp;" "&amp;INDEX(Vidriería!$D$2:$D$301,MATCH(B876,Vidriería!$A$2:$A$301,0)),"ID no existe"))</f>
        <v/>
      </c>
      <c r="D876" s="8"/>
      <c r="E876" s="8"/>
      <c r="F876" s="8"/>
      <c r="G876" s="13"/>
    </row>
    <row r="877" spans="1:7" x14ac:dyDescent="0.3">
      <c r="A877" s="11"/>
      <c r="B877" s="8"/>
      <c r="C877" s="7" t="str">
        <f>IF(B877="","",IFERROR(INDEX(Vidriería!$C$2:$C$301,MATCH(B877,Vidriería!$A$2:$A$301,0))&amp;" "&amp;INDEX(Vidriería!$D$2:$D$301,MATCH(B877,Vidriería!$A$2:$A$301,0)),"ID no existe"))</f>
        <v/>
      </c>
      <c r="D877" s="8"/>
      <c r="E877" s="8"/>
      <c r="F877" s="8"/>
      <c r="G877" s="13"/>
    </row>
    <row r="878" spans="1:7" x14ac:dyDescent="0.3">
      <c r="A878" s="11"/>
      <c r="B878" s="8"/>
      <c r="C878" s="7" t="str">
        <f>IF(B878="","",IFERROR(INDEX(Vidriería!$C$2:$C$301,MATCH(B878,Vidriería!$A$2:$A$301,0))&amp;" "&amp;INDEX(Vidriería!$D$2:$D$301,MATCH(B878,Vidriería!$A$2:$A$301,0)),"ID no existe"))</f>
        <v/>
      </c>
      <c r="D878" s="8"/>
      <c r="E878" s="8"/>
      <c r="F878" s="8"/>
      <c r="G878" s="13"/>
    </row>
    <row r="879" spans="1:7" x14ac:dyDescent="0.3">
      <c r="A879" s="11"/>
      <c r="B879" s="8"/>
      <c r="C879" s="7" t="str">
        <f>IF(B879="","",IFERROR(INDEX(Vidriería!$C$2:$C$301,MATCH(B879,Vidriería!$A$2:$A$301,0))&amp;" "&amp;INDEX(Vidriería!$D$2:$D$301,MATCH(B879,Vidriería!$A$2:$A$301,0)),"ID no existe"))</f>
        <v/>
      </c>
      <c r="D879" s="8"/>
      <c r="E879" s="8"/>
      <c r="F879" s="8"/>
      <c r="G879" s="13"/>
    </row>
    <row r="880" spans="1:7" x14ac:dyDescent="0.3">
      <c r="A880" s="11"/>
      <c r="B880" s="8"/>
      <c r="C880" s="7" t="str">
        <f>IF(B880="","",IFERROR(INDEX(Vidriería!$C$2:$C$301,MATCH(B880,Vidriería!$A$2:$A$301,0))&amp;" "&amp;INDEX(Vidriería!$D$2:$D$301,MATCH(B880,Vidriería!$A$2:$A$301,0)),"ID no existe"))</f>
        <v/>
      </c>
      <c r="D880" s="8"/>
      <c r="E880" s="8"/>
      <c r="F880" s="8"/>
      <c r="G880" s="13"/>
    </row>
    <row r="881" spans="1:7" x14ac:dyDescent="0.3">
      <c r="A881" s="11"/>
      <c r="B881" s="8"/>
      <c r="C881" s="7" t="str">
        <f>IF(B881="","",IFERROR(INDEX(Vidriería!$C$2:$C$301,MATCH(B881,Vidriería!$A$2:$A$301,0))&amp;" "&amp;INDEX(Vidriería!$D$2:$D$301,MATCH(B881,Vidriería!$A$2:$A$301,0)),"ID no existe"))</f>
        <v/>
      </c>
      <c r="D881" s="8"/>
      <c r="E881" s="8"/>
      <c r="F881" s="8"/>
      <c r="G881" s="13"/>
    </row>
    <row r="882" spans="1:7" x14ac:dyDescent="0.3">
      <c r="A882" s="11"/>
      <c r="B882" s="8"/>
      <c r="C882" s="7" t="str">
        <f>IF(B882="","",IFERROR(INDEX(Vidriería!$C$2:$C$301,MATCH(B882,Vidriería!$A$2:$A$301,0))&amp;" "&amp;INDEX(Vidriería!$D$2:$D$301,MATCH(B882,Vidriería!$A$2:$A$301,0)),"ID no existe"))</f>
        <v/>
      </c>
      <c r="D882" s="8"/>
      <c r="E882" s="8"/>
      <c r="F882" s="8"/>
      <c r="G882" s="13"/>
    </row>
    <row r="883" spans="1:7" x14ac:dyDescent="0.3">
      <c r="A883" s="11"/>
      <c r="B883" s="8"/>
      <c r="C883" s="7" t="str">
        <f>IF(B883="","",IFERROR(INDEX(Vidriería!$C$2:$C$301,MATCH(B883,Vidriería!$A$2:$A$301,0))&amp;" "&amp;INDEX(Vidriería!$D$2:$D$301,MATCH(B883,Vidriería!$A$2:$A$301,0)),"ID no existe"))</f>
        <v/>
      </c>
      <c r="D883" s="8"/>
      <c r="E883" s="8"/>
      <c r="F883" s="8"/>
      <c r="G883" s="13"/>
    </row>
    <row r="884" spans="1:7" x14ac:dyDescent="0.3">
      <c r="A884" s="11"/>
      <c r="B884" s="8"/>
      <c r="C884" s="7" t="str">
        <f>IF(B884="","",IFERROR(INDEX(Vidriería!$C$2:$C$301,MATCH(B884,Vidriería!$A$2:$A$301,0))&amp;" "&amp;INDEX(Vidriería!$D$2:$D$301,MATCH(B884,Vidriería!$A$2:$A$301,0)),"ID no existe"))</f>
        <v/>
      </c>
      <c r="D884" s="8"/>
      <c r="E884" s="8"/>
      <c r="F884" s="8"/>
      <c r="G884" s="13"/>
    </row>
    <row r="885" spans="1:7" x14ac:dyDescent="0.3">
      <c r="A885" s="11"/>
      <c r="B885" s="8"/>
      <c r="C885" s="7" t="str">
        <f>IF(B885="","",IFERROR(INDEX(Vidriería!$C$2:$C$301,MATCH(B885,Vidriería!$A$2:$A$301,0))&amp;" "&amp;INDEX(Vidriería!$D$2:$D$301,MATCH(B885,Vidriería!$A$2:$A$301,0)),"ID no existe"))</f>
        <v/>
      </c>
      <c r="D885" s="8"/>
      <c r="E885" s="8"/>
      <c r="F885" s="8"/>
      <c r="G885" s="13"/>
    </row>
    <row r="886" spans="1:7" x14ac:dyDescent="0.3">
      <c r="A886" s="11"/>
      <c r="B886" s="8"/>
      <c r="C886" s="7" t="str">
        <f>IF(B886="","",IFERROR(INDEX(Vidriería!$C$2:$C$301,MATCH(B886,Vidriería!$A$2:$A$301,0))&amp;" "&amp;INDEX(Vidriería!$D$2:$D$301,MATCH(B886,Vidriería!$A$2:$A$301,0)),"ID no existe"))</f>
        <v/>
      </c>
      <c r="D886" s="8"/>
      <c r="E886" s="8"/>
      <c r="F886" s="8"/>
      <c r="G886" s="13"/>
    </row>
    <row r="887" spans="1:7" x14ac:dyDescent="0.3">
      <c r="A887" s="11"/>
      <c r="B887" s="8"/>
      <c r="C887" s="7" t="str">
        <f>IF(B887="","",IFERROR(INDEX(Vidriería!$C$2:$C$301,MATCH(B887,Vidriería!$A$2:$A$301,0))&amp;" "&amp;INDEX(Vidriería!$D$2:$D$301,MATCH(B887,Vidriería!$A$2:$A$301,0)),"ID no existe"))</f>
        <v/>
      </c>
      <c r="D887" s="8"/>
      <c r="E887" s="8"/>
      <c r="F887" s="8"/>
      <c r="G887" s="13"/>
    </row>
    <row r="888" spans="1:7" x14ac:dyDescent="0.3">
      <c r="A888" s="11"/>
      <c r="B888" s="8"/>
      <c r="C888" s="7" t="str">
        <f>IF(B888="","",IFERROR(INDEX(Vidriería!$C$2:$C$301,MATCH(B888,Vidriería!$A$2:$A$301,0))&amp;" "&amp;INDEX(Vidriería!$D$2:$D$301,MATCH(B888,Vidriería!$A$2:$A$301,0)),"ID no existe"))</f>
        <v/>
      </c>
      <c r="D888" s="8"/>
      <c r="E888" s="8"/>
      <c r="F888" s="8"/>
      <c r="G888" s="13"/>
    </row>
    <row r="889" spans="1:7" x14ac:dyDescent="0.3">
      <c r="A889" s="11"/>
      <c r="B889" s="8"/>
      <c r="C889" s="7" t="str">
        <f>IF(B889="","",IFERROR(INDEX(Vidriería!$C$2:$C$301,MATCH(B889,Vidriería!$A$2:$A$301,0))&amp;" "&amp;INDEX(Vidriería!$D$2:$D$301,MATCH(B889,Vidriería!$A$2:$A$301,0)),"ID no existe"))</f>
        <v/>
      </c>
      <c r="D889" s="8"/>
      <c r="E889" s="8"/>
      <c r="F889" s="8"/>
      <c r="G889" s="13"/>
    </row>
    <row r="890" spans="1:7" x14ac:dyDescent="0.3">
      <c r="A890" s="11"/>
      <c r="B890" s="8"/>
      <c r="C890" s="7" t="str">
        <f>IF(B890="","",IFERROR(INDEX(Vidriería!$C$2:$C$301,MATCH(B890,Vidriería!$A$2:$A$301,0))&amp;" "&amp;INDEX(Vidriería!$D$2:$D$301,MATCH(B890,Vidriería!$A$2:$A$301,0)),"ID no existe"))</f>
        <v/>
      </c>
      <c r="D890" s="8"/>
      <c r="E890" s="8"/>
      <c r="F890" s="8"/>
      <c r="G890" s="13"/>
    </row>
    <row r="891" spans="1:7" x14ac:dyDescent="0.3">
      <c r="A891" s="11"/>
      <c r="B891" s="8"/>
      <c r="C891" s="7" t="str">
        <f>IF(B891="","",IFERROR(INDEX(Vidriería!$C$2:$C$301,MATCH(B891,Vidriería!$A$2:$A$301,0))&amp;" "&amp;INDEX(Vidriería!$D$2:$D$301,MATCH(B891,Vidriería!$A$2:$A$301,0)),"ID no existe"))</f>
        <v/>
      </c>
      <c r="D891" s="8"/>
      <c r="E891" s="8"/>
      <c r="F891" s="8"/>
      <c r="G891" s="13"/>
    </row>
    <row r="892" spans="1:7" x14ac:dyDescent="0.3">
      <c r="A892" s="11"/>
      <c r="B892" s="8"/>
      <c r="C892" s="7" t="str">
        <f>IF(B892="","",IFERROR(INDEX(Vidriería!$C$2:$C$301,MATCH(B892,Vidriería!$A$2:$A$301,0))&amp;" "&amp;INDEX(Vidriería!$D$2:$D$301,MATCH(B892,Vidriería!$A$2:$A$301,0)),"ID no existe"))</f>
        <v/>
      </c>
      <c r="D892" s="8"/>
      <c r="E892" s="8"/>
      <c r="F892" s="8"/>
      <c r="G892" s="13"/>
    </row>
    <row r="893" spans="1:7" x14ac:dyDescent="0.3">
      <c r="A893" s="11"/>
      <c r="B893" s="8"/>
      <c r="C893" s="7" t="str">
        <f>IF(B893="","",IFERROR(INDEX(Vidriería!$C$2:$C$301,MATCH(B893,Vidriería!$A$2:$A$301,0))&amp;" "&amp;INDEX(Vidriería!$D$2:$D$301,MATCH(B893,Vidriería!$A$2:$A$301,0)),"ID no existe"))</f>
        <v/>
      </c>
      <c r="D893" s="8"/>
      <c r="E893" s="8"/>
      <c r="F893" s="8"/>
      <c r="G893" s="13"/>
    </row>
    <row r="894" spans="1:7" x14ac:dyDescent="0.3">
      <c r="A894" s="11"/>
      <c r="B894" s="8"/>
      <c r="C894" s="7" t="str">
        <f>IF(B894="","",IFERROR(INDEX(Vidriería!$C$2:$C$301,MATCH(B894,Vidriería!$A$2:$A$301,0))&amp;" "&amp;INDEX(Vidriería!$D$2:$D$301,MATCH(B894,Vidriería!$A$2:$A$301,0)),"ID no existe"))</f>
        <v/>
      </c>
      <c r="D894" s="8"/>
      <c r="E894" s="8"/>
      <c r="F894" s="8"/>
      <c r="G894" s="13"/>
    </row>
    <row r="895" spans="1:7" x14ac:dyDescent="0.3">
      <c r="A895" s="11"/>
      <c r="B895" s="8"/>
      <c r="C895" s="7" t="str">
        <f>IF(B895="","",IFERROR(INDEX(Vidriería!$C$2:$C$301,MATCH(B895,Vidriería!$A$2:$A$301,0))&amp;" "&amp;INDEX(Vidriería!$D$2:$D$301,MATCH(B895,Vidriería!$A$2:$A$301,0)),"ID no existe"))</f>
        <v/>
      </c>
      <c r="D895" s="8"/>
      <c r="E895" s="8"/>
      <c r="F895" s="8"/>
      <c r="G895" s="13"/>
    </row>
    <row r="896" spans="1:7" x14ac:dyDescent="0.3">
      <c r="A896" s="11"/>
      <c r="B896" s="8"/>
      <c r="C896" s="7" t="str">
        <f>IF(B896="","",IFERROR(INDEX(Vidriería!$C$2:$C$301,MATCH(B896,Vidriería!$A$2:$A$301,0))&amp;" "&amp;INDEX(Vidriería!$D$2:$D$301,MATCH(B896,Vidriería!$A$2:$A$301,0)),"ID no existe"))</f>
        <v/>
      </c>
      <c r="D896" s="8"/>
      <c r="E896" s="8"/>
      <c r="F896" s="8"/>
      <c r="G896" s="13"/>
    </row>
    <row r="897" spans="1:7" x14ac:dyDescent="0.3">
      <c r="A897" s="11"/>
      <c r="B897" s="8"/>
      <c r="C897" s="7" t="str">
        <f>IF(B897="","",IFERROR(INDEX(Vidriería!$C$2:$C$301,MATCH(B897,Vidriería!$A$2:$A$301,0))&amp;" "&amp;INDEX(Vidriería!$D$2:$D$301,MATCH(B897,Vidriería!$A$2:$A$301,0)),"ID no existe"))</f>
        <v/>
      </c>
      <c r="D897" s="8"/>
      <c r="E897" s="8"/>
      <c r="F897" s="8"/>
      <c r="G897" s="13"/>
    </row>
    <row r="898" spans="1:7" x14ac:dyDescent="0.3">
      <c r="A898" s="11"/>
      <c r="B898" s="8"/>
      <c r="C898" s="7" t="str">
        <f>IF(B898="","",IFERROR(INDEX(Vidriería!$C$2:$C$301,MATCH(B898,Vidriería!$A$2:$A$301,0))&amp;" "&amp;INDEX(Vidriería!$D$2:$D$301,MATCH(B898,Vidriería!$A$2:$A$301,0)),"ID no existe"))</f>
        <v/>
      </c>
      <c r="D898" s="8"/>
      <c r="E898" s="8"/>
      <c r="F898" s="8"/>
      <c r="G898" s="13"/>
    </row>
    <row r="899" spans="1:7" x14ac:dyDescent="0.3">
      <c r="A899" s="11"/>
      <c r="B899" s="8"/>
      <c r="C899" s="7" t="str">
        <f>IF(B899="","",IFERROR(INDEX(Vidriería!$C$2:$C$301,MATCH(B899,Vidriería!$A$2:$A$301,0))&amp;" "&amp;INDEX(Vidriería!$D$2:$D$301,MATCH(B899,Vidriería!$A$2:$A$301,0)),"ID no existe"))</f>
        <v/>
      </c>
      <c r="D899" s="8"/>
      <c r="E899" s="8"/>
      <c r="F899" s="8"/>
      <c r="G899" s="13"/>
    </row>
    <row r="900" spans="1:7" x14ac:dyDescent="0.3">
      <c r="A900" s="11"/>
      <c r="B900" s="8"/>
      <c r="C900" s="7" t="str">
        <f>IF(B900="","",IFERROR(INDEX(Vidriería!$C$2:$C$301,MATCH(B900,Vidriería!$A$2:$A$301,0))&amp;" "&amp;INDEX(Vidriería!$D$2:$D$301,MATCH(B900,Vidriería!$A$2:$A$301,0)),"ID no existe"))</f>
        <v/>
      </c>
      <c r="D900" s="8"/>
      <c r="E900" s="8"/>
      <c r="F900" s="8"/>
      <c r="G900" s="13"/>
    </row>
    <row r="901" spans="1:7" x14ac:dyDescent="0.3">
      <c r="A901" s="11"/>
      <c r="B901" s="8"/>
      <c r="C901" s="7" t="str">
        <f>IF(B901="","",IFERROR(INDEX(Vidriería!$C$2:$C$301,MATCH(B901,Vidriería!$A$2:$A$301,0))&amp;" "&amp;INDEX(Vidriería!$D$2:$D$301,MATCH(B901,Vidriería!$A$2:$A$301,0)),"ID no existe"))</f>
        <v/>
      </c>
      <c r="D901" s="8"/>
      <c r="E901" s="8"/>
      <c r="F901" s="8"/>
      <c r="G901" s="13"/>
    </row>
    <row r="902" spans="1:7" x14ac:dyDescent="0.3">
      <c r="A902" s="11"/>
      <c r="B902" s="8"/>
      <c r="C902" s="7" t="str">
        <f>IF(B902="","",IFERROR(INDEX(Vidriería!$C$2:$C$301,MATCH(B902,Vidriería!$A$2:$A$301,0))&amp;" "&amp;INDEX(Vidriería!$D$2:$D$301,MATCH(B902,Vidriería!$A$2:$A$301,0)),"ID no existe"))</f>
        <v/>
      </c>
      <c r="D902" s="8"/>
      <c r="E902" s="8"/>
      <c r="F902" s="8"/>
      <c r="G902" s="13"/>
    </row>
    <row r="903" spans="1:7" x14ac:dyDescent="0.3">
      <c r="A903" s="11"/>
      <c r="B903" s="8"/>
      <c r="C903" s="7" t="str">
        <f>IF(B903="","",IFERROR(INDEX(Vidriería!$C$2:$C$301,MATCH(B903,Vidriería!$A$2:$A$301,0))&amp;" "&amp;INDEX(Vidriería!$D$2:$D$301,MATCH(B903,Vidriería!$A$2:$A$301,0)),"ID no existe"))</f>
        <v/>
      </c>
      <c r="D903" s="8"/>
      <c r="E903" s="8"/>
      <c r="F903" s="8"/>
      <c r="G903" s="13"/>
    </row>
    <row r="904" spans="1:7" x14ac:dyDescent="0.3">
      <c r="A904" s="11"/>
      <c r="B904" s="8"/>
      <c r="C904" s="7" t="str">
        <f>IF(B904="","",IFERROR(INDEX(Vidriería!$C$2:$C$301,MATCH(B904,Vidriería!$A$2:$A$301,0))&amp;" "&amp;INDEX(Vidriería!$D$2:$D$301,MATCH(B904,Vidriería!$A$2:$A$301,0)),"ID no existe"))</f>
        <v/>
      </c>
      <c r="D904" s="8"/>
      <c r="E904" s="8"/>
      <c r="F904" s="8"/>
      <c r="G904" s="13"/>
    </row>
    <row r="905" spans="1:7" x14ac:dyDescent="0.3">
      <c r="A905" s="11"/>
      <c r="B905" s="8"/>
      <c r="C905" s="7" t="str">
        <f>IF(B905="","",IFERROR(INDEX(Vidriería!$C$2:$C$301,MATCH(B905,Vidriería!$A$2:$A$301,0))&amp;" "&amp;INDEX(Vidriería!$D$2:$D$301,MATCH(B905,Vidriería!$A$2:$A$301,0)),"ID no existe"))</f>
        <v/>
      </c>
      <c r="D905" s="8"/>
      <c r="E905" s="8"/>
      <c r="F905" s="8"/>
      <c r="G905" s="13"/>
    </row>
    <row r="906" spans="1:7" x14ac:dyDescent="0.3">
      <c r="A906" s="11"/>
      <c r="B906" s="8"/>
      <c r="C906" s="7" t="str">
        <f>IF(B906="","",IFERROR(INDEX(Vidriería!$C$2:$C$301,MATCH(B906,Vidriería!$A$2:$A$301,0))&amp;" "&amp;INDEX(Vidriería!$D$2:$D$301,MATCH(B906,Vidriería!$A$2:$A$301,0)),"ID no existe"))</f>
        <v/>
      </c>
      <c r="D906" s="8"/>
      <c r="E906" s="8"/>
      <c r="F906" s="8"/>
      <c r="G906" s="13"/>
    </row>
    <row r="907" spans="1:7" x14ac:dyDescent="0.3">
      <c r="A907" s="11"/>
      <c r="B907" s="8"/>
      <c r="C907" s="7" t="str">
        <f>IF(B907="","",IFERROR(INDEX(Vidriería!$C$2:$C$301,MATCH(B907,Vidriería!$A$2:$A$301,0))&amp;" "&amp;INDEX(Vidriería!$D$2:$D$301,MATCH(B907,Vidriería!$A$2:$A$301,0)),"ID no existe"))</f>
        <v/>
      </c>
      <c r="D907" s="8"/>
      <c r="E907" s="8"/>
      <c r="F907" s="8"/>
      <c r="G907" s="13"/>
    </row>
    <row r="908" spans="1:7" x14ac:dyDescent="0.3">
      <c r="A908" s="11"/>
      <c r="B908" s="8"/>
      <c r="C908" s="7" t="str">
        <f>IF(B908="","",IFERROR(INDEX(Vidriería!$C$2:$C$301,MATCH(B908,Vidriería!$A$2:$A$301,0))&amp;" "&amp;INDEX(Vidriería!$D$2:$D$301,MATCH(B908,Vidriería!$A$2:$A$301,0)),"ID no existe"))</f>
        <v/>
      </c>
      <c r="D908" s="8"/>
      <c r="E908" s="8"/>
      <c r="F908" s="8"/>
      <c r="G908" s="13"/>
    </row>
    <row r="909" spans="1:7" x14ac:dyDescent="0.3">
      <c r="A909" s="11"/>
      <c r="B909" s="8"/>
      <c r="C909" s="7" t="str">
        <f>IF(B909="","",IFERROR(INDEX(Vidriería!$C$2:$C$301,MATCH(B909,Vidriería!$A$2:$A$301,0))&amp;" "&amp;INDEX(Vidriería!$D$2:$D$301,MATCH(B909,Vidriería!$A$2:$A$301,0)),"ID no existe"))</f>
        <v/>
      </c>
      <c r="D909" s="8"/>
      <c r="E909" s="8"/>
      <c r="F909" s="8"/>
      <c r="G909" s="13"/>
    </row>
    <row r="910" spans="1:7" x14ac:dyDescent="0.3">
      <c r="A910" s="11"/>
      <c r="B910" s="8"/>
      <c r="C910" s="7" t="str">
        <f>IF(B910="","",IFERROR(INDEX(Vidriería!$C$2:$C$301,MATCH(B910,Vidriería!$A$2:$A$301,0))&amp;" "&amp;INDEX(Vidriería!$D$2:$D$301,MATCH(B910,Vidriería!$A$2:$A$301,0)),"ID no existe"))</f>
        <v/>
      </c>
      <c r="D910" s="8"/>
      <c r="E910" s="8"/>
      <c r="F910" s="8"/>
      <c r="G910" s="13"/>
    </row>
    <row r="911" spans="1:7" x14ac:dyDescent="0.3">
      <c r="A911" s="11"/>
      <c r="B911" s="8"/>
      <c r="C911" s="7" t="str">
        <f>IF(B911="","",IFERROR(INDEX(Vidriería!$C$2:$C$301,MATCH(B911,Vidriería!$A$2:$A$301,0))&amp;" "&amp;INDEX(Vidriería!$D$2:$D$301,MATCH(B911,Vidriería!$A$2:$A$301,0)),"ID no existe"))</f>
        <v/>
      </c>
      <c r="D911" s="8"/>
      <c r="E911" s="8"/>
      <c r="F911" s="8"/>
      <c r="G911" s="13"/>
    </row>
    <row r="912" spans="1:7" x14ac:dyDescent="0.3">
      <c r="A912" s="11"/>
      <c r="B912" s="8"/>
      <c r="C912" s="7" t="str">
        <f>IF(B912="","",IFERROR(INDEX(Vidriería!$C$2:$C$301,MATCH(B912,Vidriería!$A$2:$A$301,0))&amp;" "&amp;INDEX(Vidriería!$D$2:$D$301,MATCH(B912,Vidriería!$A$2:$A$301,0)),"ID no existe"))</f>
        <v/>
      </c>
      <c r="D912" s="8"/>
      <c r="E912" s="8"/>
      <c r="F912" s="8"/>
      <c r="G912" s="13"/>
    </row>
    <row r="913" spans="1:7" x14ac:dyDescent="0.3">
      <c r="A913" s="11"/>
      <c r="B913" s="8"/>
      <c r="C913" s="7" t="str">
        <f>IF(B913="","",IFERROR(INDEX(Vidriería!$C$2:$C$301,MATCH(B913,Vidriería!$A$2:$A$301,0))&amp;" "&amp;INDEX(Vidriería!$D$2:$D$301,MATCH(B913,Vidriería!$A$2:$A$301,0)),"ID no existe"))</f>
        <v/>
      </c>
      <c r="D913" s="8"/>
      <c r="E913" s="8"/>
      <c r="F913" s="8"/>
      <c r="G913" s="13"/>
    </row>
    <row r="914" spans="1:7" x14ac:dyDescent="0.3">
      <c r="A914" s="11"/>
      <c r="B914" s="8"/>
      <c r="C914" s="7" t="str">
        <f>IF(B914="","",IFERROR(INDEX(Vidriería!$C$2:$C$301,MATCH(B914,Vidriería!$A$2:$A$301,0))&amp;" "&amp;INDEX(Vidriería!$D$2:$D$301,MATCH(B914,Vidriería!$A$2:$A$301,0)),"ID no existe"))</f>
        <v/>
      </c>
      <c r="D914" s="8"/>
      <c r="E914" s="8"/>
      <c r="F914" s="8"/>
      <c r="G914" s="13"/>
    </row>
    <row r="915" spans="1:7" x14ac:dyDescent="0.3">
      <c r="A915" s="11"/>
      <c r="B915" s="8"/>
      <c r="C915" s="7" t="str">
        <f>IF(B915="","",IFERROR(INDEX(Vidriería!$C$2:$C$301,MATCH(B915,Vidriería!$A$2:$A$301,0))&amp;" "&amp;INDEX(Vidriería!$D$2:$D$301,MATCH(B915,Vidriería!$A$2:$A$301,0)),"ID no existe"))</f>
        <v/>
      </c>
      <c r="D915" s="8"/>
      <c r="E915" s="8"/>
      <c r="F915" s="8"/>
      <c r="G915" s="13"/>
    </row>
    <row r="916" spans="1:7" x14ac:dyDescent="0.3">
      <c r="A916" s="11"/>
      <c r="B916" s="8"/>
      <c r="C916" s="7" t="str">
        <f>IF(B916="","",IFERROR(INDEX(Vidriería!$C$2:$C$301,MATCH(B916,Vidriería!$A$2:$A$301,0))&amp;" "&amp;INDEX(Vidriería!$D$2:$D$301,MATCH(B916,Vidriería!$A$2:$A$301,0)),"ID no existe"))</f>
        <v/>
      </c>
      <c r="D916" s="8"/>
      <c r="E916" s="8"/>
      <c r="F916" s="8"/>
      <c r="G916" s="13"/>
    </row>
    <row r="917" spans="1:7" x14ac:dyDescent="0.3">
      <c r="A917" s="11"/>
      <c r="B917" s="8"/>
      <c r="C917" s="7" t="str">
        <f>IF(B917="","",IFERROR(INDEX(Vidriería!$C$2:$C$301,MATCH(B917,Vidriería!$A$2:$A$301,0))&amp;" "&amp;INDEX(Vidriería!$D$2:$D$301,MATCH(B917,Vidriería!$A$2:$A$301,0)),"ID no existe"))</f>
        <v/>
      </c>
      <c r="D917" s="8"/>
      <c r="E917" s="8"/>
      <c r="F917" s="8"/>
      <c r="G917" s="13"/>
    </row>
    <row r="918" spans="1:7" x14ac:dyDescent="0.3">
      <c r="A918" s="11"/>
      <c r="B918" s="8"/>
      <c r="C918" s="7" t="str">
        <f>IF(B918="","",IFERROR(INDEX(Vidriería!$C$2:$C$301,MATCH(B918,Vidriería!$A$2:$A$301,0))&amp;" "&amp;INDEX(Vidriería!$D$2:$D$301,MATCH(B918,Vidriería!$A$2:$A$301,0)),"ID no existe"))</f>
        <v/>
      </c>
      <c r="D918" s="8"/>
      <c r="E918" s="8"/>
      <c r="F918" s="8"/>
      <c r="G918" s="13"/>
    </row>
    <row r="919" spans="1:7" x14ac:dyDescent="0.3">
      <c r="A919" s="11"/>
      <c r="B919" s="8"/>
      <c r="C919" s="7" t="str">
        <f>IF(B919="","",IFERROR(INDEX(Vidriería!$C$2:$C$301,MATCH(B919,Vidriería!$A$2:$A$301,0))&amp;" "&amp;INDEX(Vidriería!$D$2:$D$301,MATCH(B919,Vidriería!$A$2:$A$301,0)),"ID no existe"))</f>
        <v/>
      </c>
      <c r="D919" s="8"/>
      <c r="E919" s="8"/>
      <c r="F919" s="8"/>
      <c r="G919" s="13"/>
    </row>
    <row r="920" spans="1:7" x14ac:dyDescent="0.3">
      <c r="A920" s="11"/>
      <c r="B920" s="8"/>
      <c r="C920" s="7" t="str">
        <f>IF(B920="","",IFERROR(INDEX(Vidriería!$C$2:$C$301,MATCH(B920,Vidriería!$A$2:$A$301,0))&amp;" "&amp;INDEX(Vidriería!$D$2:$D$301,MATCH(B920,Vidriería!$A$2:$A$301,0)),"ID no existe"))</f>
        <v/>
      </c>
      <c r="D920" s="8"/>
      <c r="E920" s="8"/>
      <c r="F920" s="8"/>
      <c r="G920" s="13"/>
    </row>
    <row r="921" spans="1:7" x14ac:dyDescent="0.3">
      <c r="A921" s="11"/>
      <c r="B921" s="8"/>
      <c r="C921" s="7" t="str">
        <f>IF(B921="","",IFERROR(INDEX(Vidriería!$C$2:$C$301,MATCH(B921,Vidriería!$A$2:$A$301,0))&amp;" "&amp;INDEX(Vidriería!$D$2:$D$301,MATCH(B921,Vidriería!$A$2:$A$301,0)),"ID no existe"))</f>
        <v/>
      </c>
      <c r="D921" s="8"/>
      <c r="E921" s="8"/>
      <c r="F921" s="8"/>
      <c r="G921" s="13"/>
    </row>
    <row r="922" spans="1:7" x14ac:dyDescent="0.3">
      <c r="A922" s="11"/>
      <c r="B922" s="8"/>
      <c r="C922" s="7" t="str">
        <f>IF(B922="","",IFERROR(INDEX(Vidriería!$C$2:$C$301,MATCH(B922,Vidriería!$A$2:$A$301,0))&amp;" "&amp;INDEX(Vidriería!$D$2:$D$301,MATCH(B922,Vidriería!$A$2:$A$301,0)),"ID no existe"))</f>
        <v/>
      </c>
      <c r="D922" s="8"/>
      <c r="E922" s="8"/>
      <c r="F922" s="8"/>
      <c r="G922" s="13"/>
    </row>
    <row r="923" spans="1:7" x14ac:dyDescent="0.3">
      <c r="A923" s="11"/>
      <c r="B923" s="8"/>
      <c r="C923" s="7" t="str">
        <f>IF(B923="","",IFERROR(INDEX(Vidriería!$C$2:$C$301,MATCH(B923,Vidriería!$A$2:$A$301,0))&amp;" "&amp;INDEX(Vidriería!$D$2:$D$301,MATCH(B923,Vidriería!$A$2:$A$301,0)),"ID no existe"))</f>
        <v/>
      </c>
      <c r="D923" s="8"/>
      <c r="E923" s="8"/>
      <c r="F923" s="8"/>
      <c r="G923" s="13"/>
    </row>
    <row r="924" spans="1:7" x14ac:dyDescent="0.3">
      <c r="A924" s="11"/>
      <c r="B924" s="8"/>
      <c r="C924" s="7" t="str">
        <f>IF(B924="","",IFERROR(INDEX(Vidriería!$C$2:$C$301,MATCH(B924,Vidriería!$A$2:$A$301,0))&amp;" "&amp;INDEX(Vidriería!$D$2:$D$301,MATCH(B924,Vidriería!$A$2:$A$301,0)),"ID no existe"))</f>
        <v/>
      </c>
      <c r="D924" s="8"/>
      <c r="E924" s="8"/>
      <c r="F924" s="8"/>
      <c r="G924" s="13"/>
    </row>
    <row r="925" spans="1:7" x14ac:dyDescent="0.3">
      <c r="A925" s="11"/>
      <c r="B925" s="8"/>
      <c r="C925" s="7" t="str">
        <f>IF(B925="","",IFERROR(INDEX(Vidriería!$C$2:$C$301,MATCH(B925,Vidriería!$A$2:$A$301,0))&amp;" "&amp;INDEX(Vidriería!$D$2:$D$301,MATCH(B925,Vidriería!$A$2:$A$301,0)),"ID no existe"))</f>
        <v/>
      </c>
      <c r="D925" s="8"/>
      <c r="E925" s="8"/>
      <c r="F925" s="8"/>
      <c r="G925" s="13"/>
    </row>
    <row r="926" spans="1:7" x14ac:dyDescent="0.3">
      <c r="A926" s="11"/>
      <c r="B926" s="8"/>
      <c r="C926" s="7" t="str">
        <f>IF(B926="","",IFERROR(INDEX(Vidriería!$C$2:$C$301,MATCH(B926,Vidriería!$A$2:$A$301,0))&amp;" "&amp;INDEX(Vidriería!$D$2:$D$301,MATCH(B926,Vidriería!$A$2:$A$301,0)),"ID no existe"))</f>
        <v/>
      </c>
      <c r="D926" s="8"/>
      <c r="E926" s="8"/>
      <c r="F926" s="8"/>
      <c r="G926" s="13"/>
    </row>
    <row r="927" spans="1:7" x14ac:dyDescent="0.3">
      <c r="A927" s="11"/>
      <c r="B927" s="8"/>
      <c r="C927" s="7" t="str">
        <f>IF(B927="","",IFERROR(INDEX(Vidriería!$C$2:$C$301,MATCH(B927,Vidriería!$A$2:$A$301,0))&amp;" "&amp;INDEX(Vidriería!$D$2:$D$301,MATCH(B927,Vidriería!$A$2:$A$301,0)),"ID no existe"))</f>
        <v/>
      </c>
      <c r="D927" s="8"/>
      <c r="E927" s="8"/>
      <c r="F927" s="8"/>
      <c r="G927" s="13"/>
    </row>
    <row r="928" spans="1:7" x14ac:dyDescent="0.3">
      <c r="A928" s="11"/>
      <c r="B928" s="8"/>
      <c r="C928" s="7" t="str">
        <f>IF(B928="","",IFERROR(INDEX(Vidriería!$C$2:$C$301,MATCH(B928,Vidriería!$A$2:$A$301,0))&amp;" "&amp;INDEX(Vidriería!$D$2:$D$301,MATCH(B928,Vidriería!$A$2:$A$301,0)),"ID no existe"))</f>
        <v/>
      </c>
      <c r="D928" s="8"/>
      <c r="E928" s="8"/>
      <c r="F928" s="8"/>
      <c r="G928" s="13"/>
    </row>
    <row r="929" spans="1:7" x14ac:dyDescent="0.3">
      <c r="A929" s="11"/>
      <c r="B929" s="8"/>
      <c r="C929" s="7" t="str">
        <f>IF(B929="","",IFERROR(INDEX(Vidriería!$C$2:$C$301,MATCH(B929,Vidriería!$A$2:$A$301,0))&amp;" "&amp;INDEX(Vidriería!$D$2:$D$301,MATCH(B929,Vidriería!$A$2:$A$301,0)),"ID no existe"))</f>
        <v/>
      </c>
      <c r="D929" s="8"/>
      <c r="E929" s="8"/>
      <c r="F929" s="8"/>
      <c r="G929" s="13"/>
    </row>
    <row r="930" spans="1:7" x14ac:dyDescent="0.3">
      <c r="A930" s="11"/>
      <c r="B930" s="8"/>
      <c r="C930" s="7" t="str">
        <f>IF(B930="","",IFERROR(INDEX(Vidriería!$C$2:$C$301,MATCH(B930,Vidriería!$A$2:$A$301,0))&amp;" "&amp;INDEX(Vidriería!$D$2:$D$301,MATCH(B930,Vidriería!$A$2:$A$301,0)),"ID no existe"))</f>
        <v/>
      </c>
      <c r="D930" s="8"/>
      <c r="E930" s="8"/>
      <c r="F930" s="8"/>
      <c r="G930" s="13"/>
    </row>
    <row r="931" spans="1:7" x14ac:dyDescent="0.3">
      <c r="A931" s="11"/>
      <c r="B931" s="8"/>
      <c r="C931" s="7" t="str">
        <f>IF(B931="","",IFERROR(INDEX(Vidriería!$C$2:$C$301,MATCH(B931,Vidriería!$A$2:$A$301,0))&amp;" "&amp;INDEX(Vidriería!$D$2:$D$301,MATCH(B931,Vidriería!$A$2:$A$301,0)),"ID no existe"))</f>
        <v/>
      </c>
      <c r="D931" s="8"/>
      <c r="E931" s="8"/>
      <c r="F931" s="8"/>
      <c r="G931" s="13"/>
    </row>
    <row r="932" spans="1:7" x14ac:dyDescent="0.3">
      <c r="A932" s="11"/>
      <c r="B932" s="8"/>
      <c r="C932" s="7" t="str">
        <f>IF(B932="","",IFERROR(INDEX(Vidriería!$C$2:$C$301,MATCH(B932,Vidriería!$A$2:$A$301,0))&amp;" "&amp;INDEX(Vidriería!$D$2:$D$301,MATCH(B932,Vidriería!$A$2:$A$301,0)),"ID no existe"))</f>
        <v/>
      </c>
      <c r="D932" s="8"/>
      <c r="E932" s="8"/>
      <c r="F932" s="8"/>
      <c r="G932" s="13"/>
    </row>
    <row r="933" spans="1:7" x14ac:dyDescent="0.3">
      <c r="A933" s="11"/>
      <c r="B933" s="8"/>
      <c r="C933" s="7" t="str">
        <f>IF(B933="","",IFERROR(INDEX(Vidriería!$C$2:$C$301,MATCH(B933,Vidriería!$A$2:$A$301,0))&amp;" "&amp;INDEX(Vidriería!$D$2:$D$301,MATCH(B933,Vidriería!$A$2:$A$301,0)),"ID no existe"))</f>
        <v/>
      </c>
      <c r="D933" s="8"/>
      <c r="E933" s="8"/>
      <c r="F933" s="8"/>
      <c r="G933" s="13"/>
    </row>
    <row r="934" spans="1:7" x14ac:dyDescent="0.3">
      <c r="A934" s="11"/>
      <c r="B934" s="8"/>
      <c r="C934" s="7" t="str">
        <f>IF(B934="","",IFERROR(INDEX(Vidriería!$C$2:$C$301,MATCH(B934,Vidriería!$A$2:$A$301,0))&amp;" "&amp;INDEX(Vidriería!$D$2:$D$301,MATCH(B934,Vidriería!$A$2:$A$301,0)),"ID no existe"))</f>
        <v/>
      </c>
      <c r="D934" s="8"/>
      <c r="E934" s="8"/>
      <c r="F934" s="8"/>
      <c r="G934" s="13"/>
    </row>
    <row r="935" spans="1:7" x14ac:dyDescent="0.3">
      <c r="A935" s="11"/>
      <c r="B935" s="8"/>
      <c r="C935" s="7" t="str">
        <f>IF(B935="","",IFERROR(INDEX(Vidriería!$C$2:$C$301,MATCH(B935,Vidriería!$A$2:$A$301,0))&amp;" "&amp;INDEX(Vidriería!$D$2:$D$301,MATCH(B935,Vidriería!$A$2:$A$301,0)),"ID no existe"))</f>
        <v/>
      </c>
      <c r="D935" s="8"/>
      <c r="E935" s="8"/>
      <c r="F935" s="8"/>
      <c r="G935" s="13"/>
    </row>
    <row r="936" spans="1:7" x14ac:dyDescent="0.3">
      <c r="A936" s="11"/>
      <c r="B936" s="8"/>
      <c r="C936" s="7" t="str">
        <f>IF(B936="","",IFERROR(INDEX(Vidriería!$C$2:$C$301,MATCH(B936,Vidriería!$A$2:$A$301,0))&amp;" "&amp;INDEX(Vidriería!$D$2:$D$301,MATCH(B936,Vidriería!$A$2:$A$301,0)),"ID no existe"))</f>
        <v/>
      </c>
      <c r="D936" s="8"/>
      <c r="E936" s="8"/>
      <c r="F936" s="8"/>
      <c r="G936" s="13"/>
    </row>
    <row r="937" spans="1:7" x14ac:dyDescent="0.3">
      <c r="A937" s="11"/>
      <c r="B937" s="8"/>
      <c r="C937" s="7" t="str">
        <f>IF(B937="","",IFERROR(INDEX(Vidriería!$C$2:$C$301,MATCH(B937,Vidriería!$A$2:$A$301,0))&amp;" "&amp;INDEX(Vidriería!$D$2:$D$301,MATCH(B937,Vidriería!$A$2:$A$301,0)),"ID no existe"))</f>
        <v/>
      </c>
      <c r="D937" s="8"/>
      <c r="E937" s="8"/>
      <c r="F937" s="8"/>
      <c r="G937" s="13"/>
    </row>
    <row r="938" spans="1:7" x14ac:dyDescent="0.3">
      <c r="A938" s="11"/>
      <c r="B938" s="8"/>
      <c r="C938" s="7" t="str">
        <f>IF(B938="","",IFERROR(INDEX(Vidriería!$C$2:$C$301,MATCH(B938,Vidriería!$A$2:$A$301,0))&amp;" "&amp;INDEX(Vidriería!$D$2:$D$301,MATCH(B938,Vidriería!$A$2:$A$301,0)),"ID no existe"))</f>
        <v/>
      </c>
      <c r="D938" s="8"/>
      <c r="E938" s="8"/>
      <c r="F938" s="8"/>
      <c r="G938" s="13"/>
    </row>
    <row r="939" spans="1:7" x14ac:dyDescent="0.3">
      <c r="A939" s="11"/>
      <c r="B939" s="8"/>
      <c r="C939" s="7" t="str">
        <f>IF(B939="","",IFERROR(INDEX(Vidriería!$C$2:$C$301,MATCH(B939,Vidriería!$A$2:$A$301,0))&amp;" "&amp;INDEX(Vidriería!$D$2:$D$301,MATCH(B939,Vidriería!$A$2:$A$301,0)),"ID no existe"))</f>
        <v/>
      </c>
      <c r="D939" s="8"/>
      <c r="E939" s="8"/>
      <c r="F939" s="8"/>
      <c r="G939" s="13"/>
    </row>
    <row r="940" spans="1:7" x14ac:dyDescent="0.3">
      <c r="A940" s="11"/>
      <c r="B940" s="8"/>
      <c r="C940" s="7" t="str">
        <f>IF(B940="","",IFERROR(INDEX(Vidriería!$C$2:$C$301,MATCH(B940,Vidriería!$A$2:$A$301,0))&amp;" "&amp;INDEX(Vidriería!$D$2:$D$301,MATCH(B940,Vidriería!$A$2:$A$301,0)),"ID no existe"))</f>
        <v/>
      </c>
      <c r="D940" s="8"/>
      <c r="E940" s="8"/>
      <c r="F940" s="8"/>
      <c r="G940" s="13"/>
    </row>
    <row r="941" spans="1:7" x14ac:dyDescent="0.3">
      <c r="A941" s="11"/>
      <c r="B941" s="8"/>
      <c r="C941" s="7" t="str">
        <f>IF(B941="","",IFERROR(INDEX(Vidriería!$C$2:$C$301,MATCH(B941,Vidriería!$A$2:$A$301,0))&amp;" "&amp;INDEX(Vidriería!$D$2:$D$301,MATCH(B941,Vidriería!$A$2:$A$301,0)),"ID no existe"))</f>
        <v/>
      </c>
      <c r="D941" s="8"/>
      <c r="E941" s="8"/>
      <c r="F941" s="8"/>
      <c r="G941" s="13"/>
    </row>
    <row r="942" spans="1:7" x14ac:dyDescent="0.3">
      <c r="A942" s="11"/>
      <c r="B942" s="8"/>
      <c r="C942" s="7" t="str">
        <f>IF(B942="","",IFERROR(INDEX(Vidriería!$C$2:$C$301,MATCH(B942,Vidriería!$A$2:$A$301,0))&amp;" "&amp;INDEX(Vidriería!$D$2:$D$301,MATCH(B942,Vidriería!$A$2:$A$301,0)),"ID no existe"))</f>
        <v/>
      </c>
      <c r="D942" s="8"/>
      <c r="E942" s="8"/>
      <c r="F942" s="8"/>
      <c r="G942" s="13"/>
    </row>
    <row r="943" spans="1:7" x14ac:dyDescent="0.3">
      <c r="A943" s="11"/>
      <c r="B943" s="8"/>
      <c r="C943" s="7" t="str">
        <f>IF(B943="","",IFERROR(INDEX(Vidriería!$C$2:$C$301,MATCH(B943,Vidriería!$A$2:$A$301,0))&amp;" "&amp;INDEX(Vidriería!$D$2:$D$301,MATCH(B943,Vidriería!$A$2:$A$301,0)),"ID no existe"))</f>
        <v/>
      </c>
      <c r="D943" s="8"/>
      <c r="E943" s="8"/>
      <c r="F943" s="8"/>
      <c r="G943" s="13"/>
    </row>
    <row r="944" spans="1:7" x14ac:dyDescent="0.3">
      <c r="A944" s="11"/>
      <c r="B944" s="8"/>
      <c r="C944" s="7" t="str">
        <f>IF(B944="","",IFERROR(INDEX(Vidriería!$C$2:$C$301,MATCH(B944,Vidriería!$A$2:$A$301,0))&amp;" "&amp;INDEX(Vidriería!$D$2:$D$301,MATCH(B944,Vidriería!$A$2:$A$301,0)),"ID no existe"))</f>
        <v/>
      </c>
      <c r="D944" s="8"/>
      <c r="E944" s="8"/>
      <c r="F944" s="8"/>
      <c r="G944" s="13"/>
    </row>
    <row r="945" spans="1:7" x14ac:dyDescent="0.3">
      <c r="A945" s="11"/>
      <c r="B945" s="8"/>
      <c r="C945" s="7" t="str">
        <f>IF(B945="","",IFERROR(INDEX(Vidriería!$C$2:$C$301,MATCH(B945,Vidriería!$A$2:$A$301,0))&amp;" "&amp;INDEX(Vidriería!$D$2:$D$301,MATCH(B945,Vidriería!$A$2:$A$301,0)),"ID no existe"))</f>
        <v/>
      </c>
      <c r="D945" s="8"/>
      <c r="E945" s="8"/>
      <c r="F945" s="8"/>
      <c r="G945" s="13"/>
    </row>
    <row r="946" spans="1:7" x14ac:dyDescent="0.3">
      <c r="A946" s="11"/>
      <c r="B946" s="8"/>
      <c r="C946" s="7" t="str">
        <f>IF(B946="","",IFERROR(INDEX(Vidriería!$C$2:$C$301,MATCH(B946,Vidriería!$A$2:$A$301,0))&amp;" "&amp;INDEX(Vidriería!$D$2:$D$301,MATCH(B946,Vidriería!$A$2:$A$301,0)),"ID no existe"))</f>
        <v/>
      </c>
      <c r="D946" s="8"/>
      <c r="E946" s="8"/>
      <c r="F946" s="8"/>
      <c r="G946" s="13"/>
    </row>
    <row r="947" spans="1:7" x14ac:dyDescent="0.3">
      <c r="A947" s="11"/>
      <c r="B947" s="8"/>
      <c r="C947" s="7" t="str">
        <f>IF(B947="","",IFERROR(INDEX(Vidriería!$C$2:$C$301,MATCH(B947,Vidriería!$A$2:$A$301,0))&amp;" "&amp;INDEX(Vidriería!$D$2:$D$301,MATCH(B947,Vidriería!$A$2:$A$301,0)),"ID no existe"))</f>
        <v/>
      </c>
      <c r="D947" s="8"/>
      <c r="E947" s="8"/>
      <c r="F947" s="8"/>
      <c r="G947" s="13"/>
    </row>
    <row r="948" spans="1:7" x14ac:dyDescent="0.3">
      <c r="A948" s="11"/>
      <c r="B948" s="8"/>
      <c r="C948" s="7" t="str">
        <f>IF(B948="","",IFERROR(INDEX(Vidriería!$C$2:$C$301,MATCH(B948,Vidriería!$A$2:$A$301,0))&amp;" "&amp;INDEX(Vidriería!$D$2:$D$301,MATCH(B948,Vidriería!$A$2:$A$301,0)),"ID no existe"))</f>
        <v/>
      </c>
      <c r="D948" s="8"/>
      <c r="E948" s="8"/>
      <c r="F948" s="8"/>
      <c r="G948" s="13"/>
    </row>
    <row r="949" spans="1:7" x14ac:dyDescent="0.3">
      <c r="A949" s="11"/>
      <c r="B949" s="8"/>
      <c r="C949" s="7" t="str">
        <f>IF(B949="","",IFERROR(INDEX(Vidriería!$C$2:$C$301,MATCH(B949,Vidriería!$A$2:$A$301,0))&amp;" "&amp;INDEX(Vidriería!$D$2:$D$301,MATCH(B949,Vidriería!$A$2:$A$301,0)),"ID no existe"))</f>
        <v/>
      </c>
      <c r="D949" s="8"/>
      <c r="E949" s="8"/>
      <c r="F949" s="8"/>
      <c r="G949" s="13"/>
    </row>
    <row r="950" spans="1:7" x14ac:dyDescent="0.3">
      <c r="A950" s="11"/>
      <c r="B950" s="8"/>
      <c r="C950" s="7" t="str">
        <f>IF(B950="","",IFERROR(INDEX(Vidriería!$C$2:$C$301,MATCH(B950,Vidriería!$A$2:$A$301,0))&amp;" "&amp;INDEX(Vidriería!$D$2:$D$301,MATCH(B950,Vidriería!$A$2:$A$301,0)),"ID no existe"))</f>
        <v/>
      </c>
      <c r="D950" s="8"/>
      <c r="E950" s="8"/>
      <c r="F950" s="8"/>
      <c r="G950" s="13"/>
    </row>
    <row r="951" spans="1:7" x14ac:dyDescent="0.3">
      <c r="A951" s="11"/>
      <c r="B951" s="8"/>
      <c r="C951" s="7" t="str">
        <f>IF(B951="","",IFERROR(INDEX(Vidriería!$C$2:$C$301,MATCH(B951,Vidriería!$A$2:$A$301,0))&amp;" "&amp;INDEX(Vidriería!$D$2:$D$301,MATCH(B951,Vidriería!$A$2:$A$301,0)),"ID no existe"))</f>
        <v/>
      </c>
      <c r="D951" s="8"/>
      <c r="E951" s="8"/>
      <c r="F951" s="8"/>
      <c r="G951" s="13"/>
    </row>
    <row r="952" spans="1:7" x14ac:dyDescent="0.3">
      <c r="A952" s="11"/>
      <c r="B952" s="8"/>
      <c r="C952" s="7" t="str">
        <f>IF(B952="","",IFERROR(INDEX(Vidriería!$C$2:$C$301,MATCH(B952,Vidriería!$A$2:$A$301,0))&amp;" "&amp;INDEX(Vidriería!$D$2:$D$301,MATCH(B952,Vidriería!$A$2:$A$301,0)),"ID no existe"))</f>
        <v/>
      </c>
      <c r="D952" s="8"/>
      <c r="E952" s="8"/>
      <c r="F952" s="8"/>
      <c r="G952" s="13"/>
    </row>
    <row r="953" spans="1:7" x14ac:dyDescent="0.3">
      <c r="A953" s="11"/>
      <c r="B953" s="8"/>
      <c r="C953" s="7" t="str">
        <f>IF(B953="","",IFERROR(INDEX(Vidriería!$C$2:$C$301,MATCH(B953,Vidriería!$A$2:$A$301,0))&amp;" "&amp;INDEX(Vidriería!$D$2:$D$301,MATCH(B953,Vidriería!$A$2:$A$301,0)),"ID no existe"))</f>
        <v/>
      </c>
      <c r="D953" s="8"/>
      <c r="E953" s="8"/>
      <c r="F953" s="8"/>
      <c r="G953" s="13"/>
    </row>
    <row r="954" spans="1:7" x14ac:dyDescent="0.3">
      <c r="A954" s="11"/>
      <c r="B954" s="8"/>
      <c r="C954" s="7" t="str">
        <f>IF(B954="","",IFERROR(INDEX(Vidriería!$C$2:$C$301,MATCH(B954,Vidriería!$A$2:$A$301,0))&amp;" "&amp;INDEX(Vidriería!$D$2:$D$301,MATCH(B954,Vidriería!$A$2:$A$301,0)),"ID no existe"))</f>
        <v/>
      </c>
      <c r="D954" s="8"/>
      <c r="E954" s="8"/>
      <c r="F954" s="8"/>
      <c r="G954" s="13"/>
    </row>
    <row r="955" spans="1:7" x14ac:dyDescent="0.3">
      <c r="A955" s="11"/>
      <c r="B955" s="8"/>
      <c r="C955" s="7" t="str">
        <f>IF(B955="","",IFERROR(INDEX(Vidriería!$C$2:$C$301,MATCH(B955,Vidriería!$A$2:$A$301,0))&amp;" "&amp;INDEX(Vidriería!$D$2:$D$301,MATCH(B955,Vidriería!$A$2:$A$301,0)),"ID no existe"))</f>
        <v/>
      </c>
      <c r="D955" s="8"/>
      <c r="E955" s="8"/>
      <c r="F955" s="8"/>
      <c r="G955" s="13"/>
    </row>
    <row r="956" spans="1:7" x14ac:dyDescent="0.3">
      <c r="A956" s="11"/>
      <c r="B956" s="8"/>
      <c r="C956" s="7" t="str">
        <f>IF(B956="","",IFERROR(INDEX(Vidriería!$C$2:$C$301,MATCH(B956,Vidriería!$A$2:$A$301,0))&amp;" "&amp;INDEX(Vidriería!$D$2:$D$301,MATCH(B956,Vidriería!$A$2:$A$301,0)),"ID no existe"))</f>
        <v/>
      </c>
      <c r="D956" s="8"/>
      <c r="E956" s="8"/>
      <c r="F956" s="8"/>
      <c r="G956" s="13"/>
    </row>
    <row r="957" spans="1:7" x14ac:dyDescent="0.3">
      <c r="A957" s="11"/>
      <c r="B957" s="8"/>
      <c r="C957" s="7" t="str">
        <f>IF(B957="","",IFERROR(INDEX(Vidriería!$C$2:$C$301,MATCH(B957,Vidriería!$A$2:$A$301,0))&amp;" "&amp;INDEX(Vidriería!$D$2:$D$301,MATCH(B957,Vidriería!$A$2:$A$301,0)),"ID no existe"))</f>
        <v/>
      </c>
      <c r="D957" s="8"/>
      <c r="E957" s="8"/>
      <c r="F957" s="8"/>
      <c r="G957" s="13"/>
    </row>
    <row r="958" spans="1:7" x14ac:dyDescent="0.3">
      <c r="A958" s="11"/>
      <c r="B958" s="8"/>
      <c r="C958" s="7" t="str">
        <f>IF(B958="","",IFERROR(INDEX(Vidriería!$C$2:$C$301,MATCH(B958,Vidriería!$A$2:$A$301,0))&amp;" "&amp;INDEX(Vidriería!$D$2:$D$301,MATCH(B958,Vidriería!$A$2:$A$301,0)),"ID no existe"))</f>
        <v/>
      </c>
      <c r="D958" s="8"/>
      <c r="E958" s="8"/>
      <c r="F958" s="8"/>
      <c r="G958" s="13"/>
    </row>
    <row r="959" spans="1:7" x14ac:dyDescent="0.3">
      <c r="A959" s="11"/>
      <c r="B959" s="8"/>
      <c r="C959" s="7" t="str">
        <f>IF(B959="","",IFERROR(INDEX(Vidriería!$C$2:$C$301,MATCH(B959,Vidriería!$A$2:$A$301,0))&amp;" "&amp;INDEX(Vidriería!$D$2:$D$301,MATCH(B959,Vidriería!$A$2:$A$301,0)),"ID no existe"))</f>
        <v/>
      </c>
      <c r="D959" s="8"/>
      <c r="E959" s="8"/>
      <c r="F959" s="8"/>
      <c r="G959" s="13"/>
    </row>
    <row r="960" spans="1:7" x14ac:dyDescent="0.3">
      <c r="A960" s="11"/>
      <c r="B960" s="8"/>
      <c r="C960" s="7" t="str">
        <f>IF(B960="","",IFERROR(INDEX(Vidriería!$C$2:$C$301,MATCH(B960,Vidriería!$A$2:$A$301,0))&amp;" "&amp;INDEX(Vidriería!$D$2:$D$301,MATCH(B960,Vidriería!$A$2:$A$301,0)),"ID no existe"))</f>
        <v/>
      </c>
      <c r="D960" s="8"/>
      <c r="E960" s="8"/>
      <c r="F960" s="8"/>
      <c r="G960" s="13"/>
    </row>
    <row r="961" spans="1:7" x14ac:dyDescent="0.3">
      <c r="A961" s="11"/>
      <c r="B961" s="8"/>
      <c r="C961" s="7" t="str">
        <f>IF(B961="","",IFERROR(INDEX(Vidriería!$C$2:$C$301,MATCH(B961,Vidriería!$A$2:$A$301,0))&amp;" "&amp;INDEX(Vidriería!$D$2:$D$301,MATCH(B961,Vidriería!$A$2:$A$301,0)),"ID no existe"))</f>
        <v/>
      </c>
      <c r="D961" s="8"/>
      <c r="E961" s="8"/>
      <c r="F961" s="8"/>
      <c r="G961" s="13"/>
    </row>
    <row r="962" spans="1:7" x14ac:dyDescent="0.3">
      <c r="A962" s="11"/>
      <c r="B962" s="8"/>
      <c r="C962" s="7" t="str">
        <f>IF(B962="","",IFERROR(INDEX(Vidriería!$C$2:$C$301,MATCH(B962,Vidriería!$A$2:$A$301,0))&amp;" "&amp;INDEX(Vidriería!$D$2:$D$301,MATCH(B962,Vidriería!$A$2:$A$301,0)),"ID no existe"))</f>
        <v/>
      </c>
      <c r="D962" s="8"/>
      <c r="E962" s="8"/>
      <c r="F962" s="8"/>
      <c r="G962" s="13"/>
    </row>
    <row r="963" spans="1:7" x14ac:dyDescent="0.3">
      <c r="A963" s="11"/>
      <c r="B963" s="8"/>
      <c r="C963" s="7" t="str">
        <f>IF(B963="","",IFERROR(INDEX(Vidriería!$C$2:$C$301,MATCH(B963,Vidriería!$A$2:$A$301,0))&amp;" "&amp;INDEX(Vidriería!$D$2:$D$301,MATCH(B963,Vidriería!$A$2:$A$301,0)),"ID no existe"))</f>
        <v/>
      </c>
      <c r="D963" s="8"/>
      <c r="E963" s="8"/>
      <c r="F963" s="8"/>
      <c r="G963" s="13"/>
    </row>
    <row r="964" spans="1:7" x14ac:dyDescent="0.3">
      <c r="A964" s="11"/>
      <c r="B964" s="8"/>
      <c r="C964" s="7" t="str">
        <f>IF(B964="","",IFERROR(INDEX(Vidriería!$C$2:$C$301,MATCH(B964,Vidriería!$A$2:$A$301,0))&amp;" "&amp;INDEX(Vidriería!$D$2:$D$301,MATCH(B964,Vidriería!$A$2:$A$301,0)),"ID no existe"))</f>
        <v/>
      </c>
      <c r="D964" s="8"/>
      <c r="E964" s="8"/>
      <c r="F964" s="8"/>
      <c r="G964" s="13"/>
    </row>
    <row r="965" spans="1:7" x14ac:dyDescent="0.3">
      <c r="A965" s="11"/>
      <c r="B965" s="8"/>
      <c r="C965" s="7" t="str">
        <f>IF(B965="","",IFERROR(INDEX(Vidriería!$C$2:$C$301,MATCH(B965,Vidriería!$A$2:$A$301,0))&amp;" "&amp;INDEX(Vidriería!$D$2:$D$301,MATCH(B965,Vidriería!$A$2:$A$301,0)),"ID no existe"))</f>
        <v/>
      </c>
      <c r="D965" s="8"/>
      <c r="E965" s="8"/>
      <c r="F965" s="8"/>
      <c r="G965" s="13"/>
    </row>
    <row r="966" spans="1:7" x14ac:dyDescent="0.3">
      <c r="A966" s="11"/>
      <c r="B966" s="8"/>
      <c r="C966" s="7" t="str">
        <f>IF(B966="","",IFERROR(INDEX(Vidriería!$C$2:$C$301,MATCH(B966,Vidriería!$A$2:$A$301,0))&amp;" "&amp;INDEX(Vidriería!$D$2:$D$301,MATCH(B966,Vidriería!$A$2:$A$301,0)),"ID no existe"))</f>
        <v/>
      </c>
      <c r="D966" s="8"/>
      <c r="E966" s="8"/>
      <c r="F966" s="8"/>
      <c r="G966" s="13"/>
    </row>
    <row r="967" spans="1:7" x14ac:dyDescent="0.3">
      <c r="A967" s="11"/>
      <c r="B967" s="8"/>
      <c r="C967" s="7" t="str">
        <f>IF(B967="","",IFERROR(INDEX(Vidriería!$C$2:$C$301,MATCH(B967,Vidriería!$A$2:$A$301,0))&amp;" "&amp;INDEX(Vidriería!$D$2:$D$301,MATCH(B967,Vidriería!$A$2:$A$301,0)),"ID no existe"))</f>
        <v/>
      </c>
      <c r="D967" s="8"/>
      <c r="E967" s="8"/>
      <c r="F967" s="8"/>
      <c r="G967" s="13"/>
    </row>
    <row r="968" spans="1:7" x14ac:dyDescent="0.3">
      <c r="A968" s="11"/>
      <c r="B968" s="8"/>
      <c r="C968" s="7" t="str">
        <f>IF(B968="","",IFERROR(INDEX(Vidriería!$C$2:$C$301,MATCH(B968,Vidriería!$A$2:$A$301,0))&amp;" "&amp;INDEX(Vidriería!$D$2:$D$301,MATCH(B968,Vidriería!$A$2:$A$301,0)),"ID no existe"))</f>
        <v/>
      </c>
      <c r="D968" s="8"/>
      <c r="E968" s="8"/>
      <c r="F968" s="8"/>
      <c r="G968" s="13"/>
    </row>
    <row r="969" spans="1:7" x14ac:dyDescent="0.3">
      <c r="A969" s="11"/>
      <c r="B969" s="8"/>
      <c r="C969" s="7" t="str">
        <f>IF(B969="","",IFERROR(INDEX(Vidriería!$C$2:$C$301,MATCH(B969,Vidriería!$A$2:$A$301,0))&amp;" "&amp;INDEX(Vidriería!$D$2:$D$301,MATCH(B969,Vidriería!$A$2:$A$301,0)),"ID no existe"))</f>
        <v/>
      </c>
      <c r="D969" s="8"/>
      <c r="E969" s="8"/>
      <c r="F969" s="8"/>
      <c r="G969" s="13"/>
    </row>
    <row r="970" spans="1:7" x14ac:dyDescent="0.3">
      <c r="A970" s="11"/>
      <c r="B970" s="8"/>
      <c r="C970" s="7" t="str">
        <f>IF(B970="","",IFERROR(INDEX(Vidriería!$C$2:$C$301,MATCH(B970,Vidriería!$A$2:$A$301,0))&amp;" "&amp;INDEX(Vidriería!$D$2:$D$301,MATCH(B970,Vidriería!$A$2:$A$301,0)),"ID no existe"))</f>
        <v/>
      </c>
      <c r="D970" s="8"/>
      <c r="E970" s="8"/>
      <c r="F970" s="8"/>
      <c r="G970" s="13"/>
    </row>
    <row r="971" spans="1:7" x14ac:dyDescent="0.3">
      <c r="A971" s="11"/>
      <c r="B971" s="8"/>
      <c r="C971" s="7" t="str">
        <f>IF(B971="","",IFERROR(INDEX(Vidriería!$C$2:$C$301,MATCH(B971,Vidriería!$A$2:$A$301,0))&amp;" "&amp;INDEX(Vidriería!$D$2:$D$301,MATCH(B971,Vidriería!$A$2:$A$301,0)),"ID no existe"))</f>
        <v/>
      </c>
      <c r="D971" s="8"/>
      <c r="E971" s="8"/>
      <c r="F971" s="8"/>
      <c r="G971" s="13"/>
    </row>
    <row r="972" spans="1:7" x14ac:dyDescent="0.3">
      <c r="A972" s="11"/>
      <c r="B972" s="8"/>
      <c r="C972" s="7" t="str">
        <f>IF(B972="","",IFERROR(INDEX(Vidriería!$C$2:$C$301,MATCH(B972,Vidriería!$A$2:$A$301,0))&amp;" "&amp;INDEX(Vidriería!$D$2:$D$301,MATCH(B972,Vidriería!$A$2:$A$301,0)),"ID no existe"))</f>
        <v/>
      </c>
      <c r="D972" s="8"/>
      <c r="E972" s="8"/>
      <c r="F972" s="8"/>
      <c r="G972" s="13"/>
    </row>
    <row r="973" spans="1:7" x14ac:dyDescent="0.3">
      <c r="A973" s="11"/>
      <c r="B973" s="8"/>
      <c r="C973" s="7" t="str">
        <f>IF(B973="","",IFERROR(INDEX(Vidriería!$C$2:$C$301,MATCH(B973,Vidriería!$A$2:$A$301,0))&amp;" "&amp;INDEX(Vidriería!$D$2:$D$301,MATCH(B973,Vidriería!$A$2:$A$301,0)),"ID no existe"))</f>
        <v/>
      </c>
      <c r="D973" s="8"/>
      <c r="E973" s="8"/>
      <c r="F973" s="8"/>
      <c r="G973" s="13"/>
    </row>
    <row r="974" spans="1:7" x14ac:dyDescent="0.3">
      <c r="A974" s="11"/>
      <c r="B974" s="8"/>
      <c r="C974" s="7" t="str">
        <f>IF(B974="","",IFERROR(INDEX(Vidriería!$C$2:$C$301,MATCH(B974,Vidriería!$A$2:$A$301,0))&amp;" "&amp;INDEX(Vidriería!$D$2:$D$301,MATCH(B974,Vidriería!$A$2:$A$301,0)),"ID no existe"))</f>
        <v/>
      </c>
      <c r="D974" s="8"/>
      <c r="E974" s="8"/>
      <c r="F974" s="8"/>
      <c r="G974" s="13"/>
    </row>
    <row r="975" spans="1:7" x14ac:dyDescent="0.3">
      <c r="A975" s="11"/>
      <c r="B975" s="8"/>
      <c r="C975" s="7" t="str">
        <f>IF(B975="","",IFERROR(INDEX(Vidriería!$C$2:$C$301,MATCH(B975,Vidriería!$A$2:$A$301,0))&amp;" "&amp;INDEX(Vidriería!$D$2:$D$301,MATCH(B975,Vidriería!$A$2:$A$301,0)),"ID no existe"))</f>
        <v/>
      </c>
      <c r="D975" s="8"/>
      <c r="E975" s="8"/>
      <c r="F975" s="8"/>
      <c r="G975" s="13"/>
    </row>
    <row r="976" spans="1:7" x14ac:dyDescent="0.3">
      <c r="A976" s="11"/>
      <c r="B976" s="8"/>
      <c r="C976" s="7" t="str">
        <f>IF(B976="","",IFERROR(INDEX(Vidriería!$C$2:$C$301,MATCH(B976,Vidriería!$A$2:$A$301,0))&amp;" "&amp;INDEX(Vidriería!$D$2:$D$301,MATCH(B976,Vidriería!$A$2:$A$301,0)),"ID no existe"))</f>
        <v/>
      </c>
      <c r="D976" s="8"/>
      <c r="E976" s="8"/>
      <c r="F976" s="8"/>
      <c r="G976" s="13"/>
    </row>
    <row r="977" spans="1:7" x14ac:dyDescent="0.3">
      <c r="A977" s="11"/>
      <c r="B977" s="8"/>
      <c r="C977" s="7" t="str">
        <f>IF(B977="","",IFERROR(INDEX(Vidriería!$C$2:$C$301,MATCH(B977,Vidriería!$A$2:$A$301,0))&amp;" "&amp;INDEX(Vidriería!$D$2:$D$301,MATCH(B977,Vidriería!$A$2:$A$301,0)),"ID no existe"))</f>
        <v/>
      </c>
      <c r="D977" s="8"/>
      <c r="E977" s="8"/>
      <c r="F977" s="8"/>
      <c r="G977" s="13"/>
    </row>
    <row r="978" spans="1:7" x14ac:dyDescent="0.3">
      <c r="A978" s="11"/>
      <c r="B978" s="8"/>
      <c r="C978" s="7" t="str">
        <f>IF(B978="","",IFERROR(INDEX(Vidriería!$C$2:$C$301,MATCH(B978,Vidriería!$A$2:$A$301,0))&amp;" "&amp;INDEX(Vidriería!$D$2:$D$301,MATCH(B978,Vidriería!$A$2:$A$301,0)),"ID no existe"))</f>
        <v/>
      </c>
      <c r="D978" s="8"/>
      <c r="E978" s="8"/>
      <c r="F978" s="8"/>
      <c r="G978" s="13"/>
    </row>
    <row r="979" spans="1:7" x14ac:dyDescent="0.3">
      <c r="A979" s="11"/>
      <c r="B979" s="8"/>
      <c r="C979" s="7" t="str">
        <f>IF(B979="","",IFERROR(INDEX(Vidriería!$C$2:$C$301,MATCH(B979,Vidriería!$A$2:$A$301,0))&amp;" "&amp;INDEX(Vidriería!$D$2:$D$301,MATCH(B979,Vidriería!$A$2:$A$301,0)),"ID no existe"))</f>
        <v/>
      </c>
      <c r="D979" s="8"/>
      <c r="E979" s="8"/>
      <c r="F979" s="8"/>
      <c r="G979" s="13"/>
    </row>
    <row r="980" spans="1:7" x14ac:dyDescent="0.3">
      <c r="A980" s="11"/>
      <c r="B980" s="8"/>
      <c r="C980" s="7" t="str">
        <f>IF(B980="","",IFERROR(INDEX(Vidriería!$C$2:$C$301,MATCH(B980,Vidriería!$A$2:$A$301,0))&amp;" "&amp;INDEX(Vidriería!$D$2:$D$301,MATCH(B980,Vidriería!$A$2:$A$301,0)),"ID no existe"))</f>
        <v/>
      </c>
      <c r="D980" s="8"/>
      <c r="E980" s="8"/>
      <c r="F980" s="8"/>
      <c r="G980" s="13"/>
    </row>
    <row r="981" spans="1:7" x14ac:dyDescent="0.3">
      <c r="A981" s="11"/>
      <c r="B981" s="8"/>
      <c r="C981" s="7" t="str">
        <f>IF(B981="","",IFERROR(INDEX(Vidriería!$C$2:$C$301,MATCH(B981,Vidriería!$A$2:$A$301,0))&amp;" "&amp;INDEX(Vidriería!$D$2:$D$301,MATCH(B981,Vidriería!$A$2:$A$301,0)),"ID no existe"))</f>
        <v/>
      </c>
      <c r="D981" s="8"/>
      <c r="E981" s="8"/>
      <c r="F981" s="8"/>
      <c r="G981" s="13"/>
    </row>
    <row r="982" spans="1:7" x14ac:dyDescent="0.3">
      <c r="A982" s="11"/>
      <c r="B982" s="8"/>
      <c r="C982" s="7" t="str">
        <f>IF(B982="","",IFERROR(INDEX(Vidriería!$C$2:$C$301,MATCH(B982,Vidriería!$A$2:$A$301,0))&amp;" "&amp;INDEX(Vidriería!$D$2:$D$301,MATCH(B982,Vidriería!$A$2:$A$301,0)),"ID no existe"))</f>
        <v/>
      </c>
      <c r="D982" s="8"/>
      <c r="E982" s="8"/>
      <c r="F982" s="8"/>
      <c r="G982" s="13"/>
    </row>
    <row r="983" spans="1:7" x14ac:dyDescent="0.3">
      <c r="A983" s="11"/>
      <c r="B983" s="8"/>
      <c r="C983" s="7" t="str">
        <f>IF(B983="","",IFERROR(INDEX(Vidriería!$C$2:$C$301,MATCH(B983,Vidriería!$A$2:$A$301,0))&amp;" "&amp;INDEX(Vidriería!$D$2:$D$301,MATCH(B983,Vidriería!$A$2:$A$301,0)),"ID no existe"))</f>
        <v/>
      </c>
      <c r="D983" s="8"/>
      <c r="E983" s="8"/>
      <c r="F983" s="8"/>
      <c r="G983" s="13"/>
    </row>
    <row r="984" spans="1:7" x14ac:dyDescent="0.3">
      <c r="A984" s="11"/>
      <c r="B984" s="8"/>
      <c r="C984" s="7" t="str">
        <f>IF(B984="","",IFERROR(INDEX(Vidriería!$C$2:$C$301,MATCH(B984,Vidriería!$A$2:$A$301,0))&amp;" "&amp;INDEX(Vidriería!$D$2:$D$301,MATCH(B984,Vidriería!$A$2:$A$301,0)),"ID no existe"))</f>
        <v/>
      </c>
      <c r="D984" s="8"/>
      <c r="E984" s="8"/>
      <c r="F984" s="8"/>
      <c r="G984" s="13"/>
    </row>
    <row r="985" spans="1:7" x14ac:dyDescent="0.3">
      <c r="A985" s="11"/>
      <c r="B985" s="8"/>
      <c r="C985" s="7" t="str">
        <f>IF(B985="","",IFERROR(INDEX(Vidriería!$C$2:$C$301,MATCH(B985,Vidriería!$A$2:$A$301,0))&amp;" "&amp;INDEX(Vidriería!$D$2:$D$301,MATCH(B985,Vidriería!$A$2:$A$301,0)),"ID no existe"))</f>
        <v/>
      </c>
      <c r="D985" s="8"/>
      <c r="E985" s="8"/>
      <c r="F985" s="8"/>
      <c r="G985" s="13"/>
    </row>
    <row r="986" spans="1:7" x14ac:dyDescent="0.3">
      <c r="A986" s="11"/>
      <c r="B986" s="8"/>
      <c r="C986" s="7" t="str">
        <f>IF(B986="","",IFERROR(INDEX(Vidriería!$C$2:$C$301,MATCH(B986,Vidriería!$A$2:$A$301,0))&amp;" "&amp;INDEX(Vidriería!$D$2:$D$301,MATCH(B986,Vidriería!$A$2:$A$301,0)),"ID no existe"))</f>
        <v/>
      </c>
      <c r="D986" s="8"/>
      <c r="E986" s="8"/>
      <c r="F986" s="8"/>
      <c r="G986" s="13"/>
    </row>
    <row r="987" spans="1:7" x14ac:dyDescent="0.3">
      <c r="A987" s="11"/>
      <c r="B987" s="8"/>
      <c r="C987" s="7" t="str">
        <f>IF(B987="","",IFERROR(INDEX(Vidriería!$C$2:$C$301,MATCH(B987,Vidriería!$A$2:$A$301,0))&amp;" "&amp;INDEX(Vidriería!$D$2:$D$301,MATCH(B987,Vidriería!$A$2:$A$301,0)),"ID no existe"))</f>
        <v/>
      </c>
      <c r="D987" s="8"/>
      <c r="E987" s="8"/>
      <c r="F987" s="8"/>
      <c r="G987" s="13"/>
    </row>
    <row r="988" spans="1:7" x14ac:dyDescent="0.3">
      <c r="A988" s="11"/>
      <c r="B988" s="8"/>
      <c r="C988" s="7" t="str">
        <f>IF(B988="","",IFERROR(INDEX(Vidriería!$C$2:$C$301,MATCH(B988,Vidriería!$A$2:$A$301,0))&amp;" "&amp;INDEX(Vidriería!$D$2:$D$301,MATCH(B988,Vidriería!$A$2:$A$301,0)),"ID no existe"))</f>
        <v/>
      </c>
      <c r="D988" s="8"/>
      <c r="E988" s="8"/>
      <c r="F988" s="8"/>
      <c r="G988" s="13"/>
    </row>
    <row r="989" spans="1:7" x14ac:dyDescent="0.3">
      <c r="A989" s="11"/>
      <c r="B989" s="8"/>
      <c r="C989" s="7" t="str">
        <f>IF(B989="","",IFERROR(INDEX(Vidriería!$C$2:$C$301,MATCH(B989,Vidriería!$A$2:$A$301,0))&amp;" "&amp;INDEX(Vidriería!$D$2:$D$301,MATCH(B989,Vidriería!$A$2:$A$301,0)),"ID no existe"))</f>
        <v/>
      </c>
      <c r="D989" s="8"/>
      <c r="E989" s="8"/>
      <c r="F989" s="8"/>
      <c r="G989" s="13"/>
    </row>
    <row r="990" spans="1:7" x14ac:dyDescent="0.3">
      <c r="A990" s="11"/>
      <c r="B990" s="8"/>
      <c r="C990" s="7" t="str">
        <f>IF(B990="","",IFERROR(INDEX(Vidriería!$C$2:$C$301,MATCH(B990,Vidriería!$A$2:$A$301,0))&amp;" "&amp;INDEX(Vidriería!$D$2:$D$301,MATCH(B990,Vidriería!$A$2:$A$301,0)),"ID no existe"))</f>
        <v/>
      </c>
      <c r="D990" s="8"/>
      <c r="E990" s="8"/>
      <c r="F990" s="8"/>
      <c r="G990" s="13"/>
    </row>
    <row r="991" spans="1:7" x14ac:dyDescent="0.3">
      <c r="A991" s="11"/>
      <c r="B991" s="8"/>
      <c r="C991" s="7" t="str">
        <f>IF(B991="","",IFERROR(INDEX(Vidriería!$C$2:$C$301,MATCH(B991,Vidriería!$A$2:$A$301,0))&amp;" "&amp;INDEX(Vidriería!$D$2:$D$301,MATCH(B991,Vidriería!$A$2:$A$301,0)),"ID no existe"))</f>
        <v/>
      </c>
      <c r="D991" s="8"/>
      <c r="E991" s="8"/>
      <c r="F991" s="8"/>
      <c r="G991" s="13"/>
    </row>
    <row r="992" spans="1:7" x14ac:dyDescent="0.3">
      <c r="A992" s="11"/>
      <c r="B992" s="8"/>
      <c r="C992" s="7" t="str">
        <f>IF(B992="","",IFERROR(INDEX(Vidriería!$C$2:$C$301,MATCH(B992,Vidriería!$A$2:$A$301,0))&amp;" "&amp;INDEX(Vidriería!$D$2:$D$301,MATCH(B992,Vidriería!$A$2:$A$301,0)),"ID no existe"))</f>
        <v/>
      </c>
      <c r="D992" s="8"/>
      <c r="E992" s="8"/>
      <c r="F992" s="8"/>
      <c r="G992" s="13"/>
    </row>
    <row r="993" spans="1:7" x14ac:dyDescent="0.3">
      <c r="A993" s="11"/>
      <c r="B993" s="8"/>
      <c r="C993" s="7" t="str">
        <f>IF(B993="","",IFERROR(INDEX(Vidriería!$C$2:$C$301,MATCH(B993,Vidriería!$A$2:$A$301,0))&amp;" "&amp;INDEX(Vidriería!$D$2:$D$301,MATCH(B993,Vidriería!$A$2:$A$301,0)),"ID no existe"))</f>
        <v/>
      </c>
      <c r="D993" s="8"/>
      <c r="E993" s="8"/>
      <c r="F993" s="8"/>
      <c r="G993" s="13"/>
    </row>
    <row r="994" spans="1:7" x14ac:dyDescent="0.3">
      <c r="A994" s="11"/>
      <c r="B994" s="8"/>
      <c r="C994" s="7" t="str">
        <f>IF(B994="","",IFERROR(INDEX(Vidriería!$C$2:$C$301,MATCH(B994,Vidriería!$A$2:$A$301,0))&amp;" "&amp;INDEX(Vidriería!$D$2:$D$301,MATCH(B994,Vidriería!$A$2:$A$301,0)),"ID no existe"))</f>
        <v/>
      </c>
      <c r="D994" s="8"/>
      <c r="E994" s="8"/>
      <c r="F994" s="8"/>
      <c r="G994" s="13"/>
    </row>
    <row r="995" spans="1:7" x14ac:dyDescent="0.3">
      <c r="A995" s="11"/>
      <c r="B995" s="8"/>
      <c r="C995" s="7" t="str">
        <f>IF(B995="","",IFERROR(INDEX(Vidriería!$C$2:$C$301,MATCH(B995,Vidriería!$A$2:$A$301,0))&amp;" "&amp;INDEX(Vidriería!$D$2:$D$301,MATCH(B995,Vidriería!$A$2:$A$301,0)),"ID no existe"))</f>
        <v/>
      </c>
      <c r="D995" s="8"/>
      <c r="E995" s="8"/>
      <c r="F995" s="8"/>
      <c r="G995" s="13"/>
    </row>
    <row r="996" spans="1:7" x14ac:dyDescent="0.3">
      <c r="A996" s="11"/>
      <c r="B996" s="8"/>
      <c r="C996" s="7" t="str">
        <f>IF(B996="","",IFERROR(INDEX(Vidriería!$C$2:$C$301,MATCH(B996,Vidriería!$A$2:$A$301,0))&amp;" "&amp;INDEX(Vidriería!$D$2:$D$301,MATCH(B996,Vidriería!$A$2:$A$301,0)),"ID no existe"))</f>
        <v/>
      </c>
      <c r="D996" s="8"/>
      <c r="E996" s="8"/>
      <c r="F996" s="8"/>
      <c r="G996" s="13"/>
    </row>
    <row r="997" spans="1:7" x14ac:dyDescent="0.3">
      <c r="A997" s="11"/>
      <c r="B997" s="8"/>
      <c r="C997" s="7" t="str">
        <f>IF(B997="","",IFERROR(INDEX(Vidriería!$C$2:$C$301,MATCH(B997,Vidriería!$A$2:$A$301,0))&amp;" "&amp;INDEX(Vidriería!$D$2:$D$301,MATCH(B997,Vidriería!$A$2:$A$301,0)),"ID no existe"))</f>
        <v/>
      </c>
      <c r="D997" s="8"/>
      <c r="E997" s="8"/>
      <c r="F997" s="8"/>
      <c r="G997" s="13"/>
    </row>
    <row r="998" spans="1:7" x14ac:dyDescent="0.3">
      <c r="A998" s="11"/>
      <c r="B998" s="8"/>
      <c r="C998" s="7" t="str">
        <f>IF(B998="","",IFERROR(INDEX(Vidriería!$C$2:$C$301,MATCH(B998,Vidriería!$A$2:$A$301,0))&amp;" "&amp;INDEX(Vidriería!$D$2:$D$301,MATCH(B998,Vidriería!$A$2:$A$301,0)),"ID no existe"))</f>
        <v/>
      </c>
      <c r="D998" s="8"/>
      <c r="E998" s="8"/>
      <c r="F998" s="8"/>
      <c r="G998" s="13"/>
    </row>
    <row r="999" spans="1:7" x14ac:dyDescent="0.3">
      <c r="A999" s="11"/>
      <c r="B999" s="8"/>
      <c r="C999" s="7" t="str">
        <f>IF(B999="","",IFERROR(INDEX(Vidriería!$C$2:$C$301,MATCH(B999,Vidriería!$A$2:$A$301,0))&amp;" "&amp;INDEX(Vidriería!$D$2:$D$301,MATCH(B999,Vidriería!$A$2:$A$301,0)),"ID no existe"))</f>
        <v/>
      </c>
      <c r="D999" s="8"/>
      <c r="E999" s="8"/>
      <c r="F999" s="8"/>
      <c r="G999" s="13"/>
    </row>
    <row r="1000" spans="1:7" x14ac:dyDescent="0.3">
      <c r="A1000" s="11"/>
      <c r="B1000" s="8"/>
      <c r="C1000" s="7" t="str">
        <f>IF(B1000="","",IFERROR(INDEX(Vidriería!$C$2:$C$301,MATCH(B1000,Vidriería!$A$2:$A$301,0))&amp;" "&amp;INDEX(Vidriería!$D$2:$D$301,MATCH(B1000,Vidriería!$A$2:$A$301,0)),"ID no existe"))</f>
        <v/>
      </c>
      <c r="D1000" s="8"/>
      <c r="E1000" s="8"/>
      <c r="F1000" s="8"/>
      <c r="G1000" s="13"/>
    </row>
    <row r="1001" spans="1:7" x14ac:dyDescent="0.3">
      <c r="A1001" s="11"/>
      <c r="B1001" s="8"/>
      <c r="C1001" s="7" t="str">
        <f>IF(B1001="","",IFERROR(INDEX(Vidriería!$C$2:$C$301,MATCH(B1001,Vidriería!$A$2:$A$301,0))&amp;" "&amp;INDEX(Vidriería!$D$2:$D$301,MATCH(B1001,Vidriería!$A$2:$A$301,0)),"ID no existe"))</f>
        <v/>
      </c>
      <c r="D1001" s="8"/>
      <c r="E1001" s="8"/>
      <c r="F1001" s="8"/>
      <c r="G1001" s="13"/>
    </row>
    <row r="1002" spans="1:7" x14ac:dyDescent="0.3">
      <c r="A1002" s="11"/>
      <c r="B1002" s="8"/>
      <c r="C1002" s="7" t="str">
        <f>IF(B1002="","",IFERROR(INDEX(Vidriería!$C$2:$C$301,MATCH(B1002,Vidriería!$A$2:$A$301,0))&amp;" "&amp;INDEX(Vidriería!$D$2:$D$301,MATCH(B1002,Vidriería!$A$2:$A$301,0)),"ID no existe"))</f>
        <v/>
      </c>
      <c r="D1002" s="8"/>
      <c r="E1002" s="8"/>
      <c r="F1002" s="8"/>
      <c r="G1002" s="13"/>
    </row>
    <row r="1003" spans="1:7" x14ac:dyDescent="0.3">
      <c r="A1003" s="11"/>
      <c r="B1003" s="8"/>
      <c r="C1003" s="7" t="str">
        <f>IF(B1003="","",IFERROR(INDEX(Vidriería!$C$2:$C$301,MATCH(B1003,Vidriería!$A$2:$A$301,0))&amp;" "&amp;INDEX(Vidriería!$D$2:$D$301,MATCH(B1003,Vidriería!$A$2:$A$301,0)),"ID no existe"))</f>
        <v/>
      </c>
      <c r="D1003" s="8"/>
      <c r="E1003" s="8"/>
      <c r="F1003" s="8"/>
      <c r="G1003" s="13"/>
    </row>
    <row r="1004" spans="1:7" x14ac:dyDescent="0.3">
      <c r="A1004" s="11"/>
      <c r="B1004" s="8"/>
      <c r="C1004" s="7" t="str">
        <f>IF(B1004="","",IFERROR(INDEX(Vidriería!$C$2:$C$301,MATCH(B1004,Vidriería!$A$2:$A$301,0))&amp;" "&amp;INDEX(Vidriería!$D$2:$D$301,MATCH(B1004,Vidriería!$A$2:$A$301,0)),"ID no existe"))</f>
        <v/>
      </c>
      <c r="D1004" s="8"/>
      <c r="E1004" s="8"/>
      <c r="F1004" s="8"/>
      <c r="G1004" s="13"/>
    </row>
    <row r="1005" spans="1:7" x14ac:dyDescent="0.3">
      <c r="A1005" s="11"/>
      <c r="B1005" s="8"/>
      <c r="C1005" s="7" t="str">
        <f>IF(B1005="","",IFERROR(INDEX(Vidriería!$C$2:$C$301,MATCH(B1005,Vidriería!$A$2:$A$301,0))&amp;" "&amp;INDEX(Vidriería!$D$2:$D$301,MATCH(B1005,Vidriería!$A$2:$A$301,0)),"ID no existe"))</f>
        <v/>
      </c>
      <c r="D1005" s="8"/>
      <c r="E1005" s="8"/>
      <c r="F1005" s="8"/>
      <c r="G1005" s="13"/>
    </row>
    <row r="1006" spans="1:7" x14ac:dyDescent="0.3">
      <c r="A1006" s="11"/>
      <c r="B1006" s="8"/>
      <c r="C1006" s="7" t="str">
        <f>IF(B1006="","",IFERROR(INDEX(Vidriería!$C$2:$C$301,MATCH(B1006,Vidriería!$A$2:$A$301,0))&amp;" "&amp;INDEX(Vidriería!$D$2:$D$301,MATCH(B1006,Vidriería!$A$2:$A$301,0)),"ID no existe"))</f>
        <v/>
      </c>
      <c r="D1006" s="8"/>
      <c r="E1006" s="8"/>
      <c r="F1006" s="8"/>
      <c r="G1006" s="13"/>
    </row>
    <row r="1007" spans="1:7" x14ac:dyDescent="0.3">
      <c r="A1007" s="11"/>
      <c r="B1007" s="8"/>
      <c r="C1007" s="7" t="str">
        <f>IF(B1007="","",IFERROR(INDEX(Vidriería!$C$2:$C$301,MATCH(B1007,Vidriería!$A$2:$A$301,0))&amp;" "&amp;INDEX(Vidriería!$D$2:$D$301,MATCH(B1007,Vidriería!$A$2:$A$301,0)),"ID no existe"))</f>
        <v/>
      </c>
      <c r="D1007" s="8"/>
      <c r="E1007" s="8"/>
      <c r="F1007" s="8"/>
      <c r="G1007" s="13"/>
    </row>
    <row r="1008" spans="1:7" x14ac:dyDescent="0.3">
      <c r="A1008" s="11"/>
      <c r="B1008" s="8"/>
      <c r="C1008" s="7" t="str">
        <f>IF(B1008="","",IFERROR(INDEX(Vidriería!$C$2:$C$301,MATCH(B1008,Vidriería!$A$2:$A$301,0))&amp;" "&amp;INDEX(Vidriería!$D$2:$D$301,MATCH(B1008,Vidriería!$A$2:$A$301,0)),"ID no existe"))</f>
        <v/>
      </c>
      <c r="D1008" s="8"/>
      <c r="E1008" s="8"/>
      <c r="F1008" s="8"/>
      <c r="G1008" s="13"/>
    </row>
    <row r="1009" spans="1:7" x14ac:dyDescent="0.3">
      <c r="A1009" s="11"/>
      <c r="B1009" s="8"/>
      <c r="C1009" s="7" t="str">
        <f>IF(B1009="","",IFERROR(INDEX(Vidriería!$C$2:$C$301,MATCH(B1009,Vidriería!$A$2:$A$301,0))&amp;" "&amp;INDEX(Vidriería!$D$2:$D$301,MATCH(B1009,Vidriería!$A$2:$A$301,0)),"ID no existe"))</f>
        <v/>
      </c>
      <c r="D1009" s="8"/>
      <c r="E1009" s="8"/>
      <c r="F1009" s="8"/>
      <c r="G1009" s="13"/>
    </row>
    <row r="1010" spans="1:7" x14ac:dyDescent="0.3">
      <c r="A1010" s="11"/>
      <c r="B1010" s="8"/>
      <c r="C1010" s="7" t="str">
        <f>IF(B1010="","",IFERROR(INDEX(Vidriería!$C$2:$C$301,MATCH(B1010,Vidriería!$A$2:$A$301,0))&amp;" "&amp;INDEX(Vidriería!$D$2:$D$301,MATCH(B1010,Vidriería!$A$2:$A$301,0)),"ID no existe"))</f>
        <v/>
      </c>
      <c r="D1010" s="8"/>
      <c r="E1010" s="8"/>
      <c r="F1010" s="8"/>
      <c r="G1010" s="13"/>
    </row>
    <row r="1011" spans="1:7" x14ac:dyDescent="0.3">
      <c r="A1011" s="11"/>
      <c r="B1011" s="8"/>
      <c r="C1011" s="7" t="str">
        <f>IF(B1011="","",IFERROR(INDEX(Vidriería!$C$2:$C$301,MATCH(B1011,Vidriería!$A$2:$A$301,0))&amp;" "&amp;INDEX(Vidriería!$D$2:$D$301,MATCH(B1011,Vidriería!$A$2:$A$301,0)),"ID no existe"))</f>
        <v/>
      </c>
      <c r="D1011" s="8"/>
      <c r="E1011" s="8"/>
      <c r="F1011" s="8"/>
      <c r="G1011" s="13"/>
    </row>
    <row r="1012" spans="1:7" x14ac:dyDescent="0.3">
      <c r="A1012" s="11"/>
      <c r="B1012" s="8"/>
      <c r="C1012" s="7" t="str">
        <f>IF(B1012="","",IFERROR(INDEX(Vidriería!$C$2:$C$301,MATCH(B1012,Vidriería!$A$2:$A$301,0))&amp;" "&amp;INDEX(Vidriería!$D$2:$D$301,MATCH(B1012,Vidriería!$A$2:$A$301,0)),"ID no existe"))</f>
        <v/>
      </c>
      <c r="D1012" s="8"/>
      <c r="E1012" s="8"/>
      <c r="F1012" s="8"/>
      <c r="G1012" s="13"/>
    </row>
    <row r="1013" spans="1:7" x14ac:dyDescent="0.3">
      <c r="A1013" s="11"/>
      <c r="B1013" s="8"/>
      <c r="C1013" s="7" t="str">
        <f>IF(B1013="","",IFERROR(INDEX(Vidriería!$C$2:$C$301,MATCH(B1013,Vidriería!$A$2:$A$301,0))&amp;" "&amp;INDEX(Vidriería!$D$2:$D$301,MATCH(B1013,Vidriería!$A$2:$A$301,0)),"ID no existe"))</f>
        <v/>
      </c>
      <c r="D1013" s="8"/>
      <c r="E1013" s="8"/>
      <c r="F1013" s="8"/>
      <c r="G1013" s="13"/>
    </row>
    <row r="1014" spans="1:7" x14ac:dyDescent="0.3">
      <c r="A1014" s="11"/>
      <c r="B1014" s="8"/>
      <c r="C1014" s="7" t="str">
        <f>IF(B1014="","",IFERROR(INDEX(Vidriería!$C$2:$C$301,MATCH(B1014,Vidriería!$A$2:$A$301,0))&amp;" "&amp;INDEX(Vidriería!$D$2:$D$301,MATCH(B1014,Vidriería!$A$2:$A$301,0)),"ID no existe"))</f>
        <v/>
      </c>
      <c r="D1014" s="8"/>
      <c r="E1014" s="8"/>
      <c r="F1014" s="8"/>
      <c r="G1014" s="13"/>
    </row>
    <row r="1015" spans="1:7" x14ac:dyDescent="0.3">
      <c r="A1015" s="11"/>
      <c r="B1015" s="8"/>
      <c r="C1015" s="7" t="str">
        <f>IF(B1015="","",IFERROR(INDEX(Vidriería!$C$2:$C$301,MATCH(B1015,Vidriería!$A$2:$A$301,0))&amp;" "&amp;INDEX(Vidriería!$D$2:$D$301,MATCH(B1015,Vidriería!$A$2:$A$301,0)),"ID no existe"))</f>
        <v/>
      </c>
      <c r="D1015" s="8"/>
      <c r="E1015" s="8"/>
      <c r="F1015" s="8"/>
      <c r="G1015" s="13"/>
    </row>
    <row r="1016" spans="1:7" x14ac:dyDescent="0.3">
      <c r="A1016" s="11"/>
      <c r="B1016" s="8"/>
      <c r="C1016" s="7" t="str">
        <f>IF(B1016="","",IFERROR(INDEX(Vidriería!$C$2:$C$301,MATCH(B1016,Vidriería!$A$2:$A$301,0))&amp;" "&amp;INDEX(Vidriería!$D$2:$D$301,MATCH(B1016,Vidriería!$A$2:$A$301,0)),"ID no existe"))</f>
        <v/>
      </c>
      <c r="D1016" s="8"/>
      <c r="E1016" s="8"/>
      <c r="F1016" s="8"/>
      <c r="G1016" s="13"/>
    </row>
    <row r="1017" spans="1:7" x14ac:dyDescent="0.3">
      <c r="A1017" s="11"/>
      <c r="B1017" s="8"/>
      <c r="C1017" s="7" t="str">
        <f>IF(B1017="","",IFERROR(INDEX(Vidriería!$C$2:$C$301,MATCH(B1017,Vidriería!$A$2:$A$301,0))&amp;" "&amp;INDEX(Vidriería!$D$2:$D$301,MATCH(B1017,Vidriería!$A$2:$A$301,0)),"ID no existe"))</f>
        <v/>
      </c>
      <c r="D1017" s="8"/>
      <c r="E1017" s="8"/>
      <c r="F1017" s="8"/>
      <c r="G1017" s="13"/>
    </row>
    <row r="1018" spans="1:7" x14ac:dyDescent="0.3">
      <c r="A1018" s="11"/>
      <c r="B1018" s="8"/>
      <c r="C1018" s="7" t="str">
        <f>IF(B1018="","",IFERROR(INDEX(Vidriería!$C$2:$C$301,MATCH(B1018,Vidriería!$A$2:$A$301,0))&amp;" "&amp;INDEX(Vidriería!$D$2:$D$301,MATCH(B1018,Vidriería!$A$2:$A$301,0)),"ID no existe"))</f>
        <v/>
      </c>
      <c r="D1018" s="8"/>
      <c r="E1018" s="8"/>
      <c r="F1018" s="8"/>
      <c r="G1018" s="13"/>
    </row>
    <row r="1019" spans="1:7" x14ac:dyDescent="0.3">
      <c r="A1019" s="11"/>
      <c r="B1019" s="8"/>
      <c r="C1019" s="7" t="str">
        <f>IF(B1019="","",IFERROR(INDEX(Vidriería!$C$2:$C$301,MATCH(B1019,Vidriería!$A$2:$A$301,0))&amp;" "&amp;INDEX(Vidriería!$D$2:$D$301,MATCH(B1019,Vidriería!$A$2:$A$301,0)),"ID no existe"))</f>
        <v/>
      </c>
      <c r="D1019" s="8"/>
      <c r="E1019" s="8"/>
      <c r="F1019" s="8"/>
      <c r="G1019" s="13"/>
    </row>
    <row r="1020" spans="1:7" x14ac:dyDescent="0.3">
      <c r="A1020" s="11"/>
      <c r="B1020" s="8"/>
      <c r="C1020" s="7" t="str">
        <f>IF(B1020="","",IFERROR(INDEX(Vidriería!$C$2:$C$301,MATCH(B1020,Vidriería!$A$2:$A$301,0))&amp;" "&amp;INDEX(Vidriería!$D$2:$D$301,MATCH(B1020,Vidriería!$A$2:$A$301,0)),"ID no existe"))</f>
        <v/>
      </c>
      <c r="D1020" s="8"/>
      <c r="E1020" s="8"/>
      <c r="F1020" s="8"/>
      <c r="G1020" s="13"/>
    </row>
    <row r="1021" spans="1:7" x14ac:dyDescent="0.3">
      <c r="A1021" s="11"/>
      <c r="B1021" s="8"/>
      <c r="C1021" s="7" t="str">
        <f>IF(B1021="","",IFERROR(INDEX(Vidriería!$C$2:$C$301,MATCH(B1021,Vidriería!$A$2:$A$301,0))&amp;" "&amp;INDEX(Vidriería!$D$2:$D$301,MATCH(B1021,Vidriería!$A$2:$A$301,0)),"ID no existe"))</f>
        <v/>
      </c>
      <c r="D1021" s="8"/>
      <c r="E1021" s="8"/>
      <c r="F1021" s="8"/>
      <c r="G1021" s="13"/>
    </row>
    <row r="1022" spans="1:7" x14ac:dyDescent="0.3">
      <c r="A1022" s="11"/>
      <c r="B1022" s="8"/>
      <c r="C1022" s="7" t="str">
        <f>IF(B1022="","",IFERROR(INDEX(Vidriería!$C$2:$C$301,MATCH(B1022,Vidriería!$A$2:$A$301,0))&amp;" "&amp;INDEX(Vidriería!$D$2:$D$301,MATCH(B1022,Vidriería!$A$2:$A$301,0)),"ID no existe"))</f>
        <v/>
      </c>
      <c r="D1022" s="8"/>
      <c r="E1022" s="8"/>
      <c r="F1022" s="8"/>
      <c r="G1022" s="13"/>
    </row>
    <row r="1023" spans="1:7" x14ac:dyDescent="0.3">
      <c r="A1023" s="11"/>
      <c r="B1023" s="8"/>
      <c r="C1023" s="7" t="str">
        <f>IF(B1023="","",IFERROR(INDEX(Vidriería!$C$2:$C$301,MATCH(B1023,Vidriería!$A$2:$A$301,0))&amp;" "&amp;INDEX(Vidriería!$D$2:$D$301,MATCH(B1023,Vidriería!$A$2:$A$301,0)),"ID no existe"))</f>
        <v/>
      </c>
      <c r="D1023" s="8"/>
      <c r="E1023" s="8"/>
      <c r="F1023" s="8"/>
      <c r="G1023" s="13"/>
    </row>
    <row r="1024" spans="1:7" x14ac:dyDescent="0.3">
      <c r="A1024" s="11"/>
      <c r="B1024" s="8"/>
      <c r="C1024" s="7" t="str">
        <f>IF(B1024="","",IFERROR(INDEX(Vidriería!$C$2:$C$301,MATCH(B1024,Vidriería!$A$2:$A$301,0))&amp;" "&amp;INDEX(Vidriería!$D$2:$D$301,MATCH(B1024,Vidriería!$A$2:$A$301,0)),"ID no existe"))</f>
        <v/>
      </c>
      <c r="D1024" s="8"/>
      <c r="E1024" s="8"/>
      <c r="F1024" s="8"/>
      <c r="G1024" s="13"/>
    </row>
    <row r="1025" spans="1:7" x14ac:dyDescent="0.3">
      <c r="A1025" s="11"/>
      <c r="B1025" s="8"/>
      <c r="C1025" s="7" t="str">
        <f>IF(B1025="","",IFERROR(INDEX(Vidriería!$C$2:$C$301,MATCH(B1025,Vidriería!$A$2:$A$301,0))&amp;" "&amp;INDEX(Vidriería!$D$2:$D$301,MATCH(B1025,Vidriería!$A$2:$A$301,0)),"ID no existe"))</f>
        <v/>
      </c>
      <c r="D1025" s="8"/>
      <c r="E1025" s="8"/>
      <c r="F1025" s="8"/>
      <c r="G1025" s="13"/>
    </row>
    <row r="1026" spans="1:7" x14ac:dyDescent="0.3">
      <c r="A1026" s="11"/>
      <c r="B1026" s="8"/>
      <c r="C1026" s="7" t="str">
        <f>IF(B1026="","",IFERROR(INDEX(Vidriería!$C$2:$C$301,MATCH(B1026,Vidriería!$A$2:$A$301,0))&amp;" "&amp;INDEX(Vidriería!$D$2:$D$301,MATCH(B1026,Vidriería!$A$2:$A$301,0)),"ID no existe"))</f>
        <v/>
      </c>
      <c r="D1026" s="8"/>
      <c r="E1026" s="8"/>
      <c r="F1026" s="8"/>
      <c r="G1026" s="13"/>
    </row>
    <row r="1027" spans="1:7" x14ac:dyDescent="0.3">
      <c r="A1027" s="11"/>
      <c r="B1027" s="8"/>
      <c r="C1027" s="7" t="str">
        <f>IF(B1027="","",IFERROR(INDEX(Vidriería!$C$2:$C$301,MATCH(B1027,Vidriería!$A$2:$A$301,0))&amp;" "&amp;INDEX(Vidriería!$D$2:$D$301,MATCH(B1027,Vidriería!$A$2:$A$301,0)),"ID no existe"))</f>
        <v/>
      </c>
      <c r="D1027" s="8"/>
      <c r="E1027" s="8"/>
      <c r="F1027" s="8"/>
      <c r="G1027" s="13"/>
    </row>
    <row r="1028" spans="1:7" x14ac:dyDescent="0.3">
      <c r="A1028" s="11"/>
      <c r="B1028" s="8"/>
      <c r="C1028" s="7" t="str">
        <f>IF(B1028="","",IFERROR(INDEX(Vidriería!$C$2:$C$301,MATCH(B1028,Vidriería!$A$2:$A$301,0))&amp;" "&amp;INDEX(Vidriería!$D$2:$D$301,MATCH(B1028,Vidriería!$A$2:$A$301,0)),"ID no existe"))</f>
        <v/>
      </c>
      <c r="D1028" s="8"/>
      <c r="E1028" s="8"/>
      <c r="F1028" s="8"/>
      <c r="G1028" s="13"/>
    </row>
    <row r="1029" spans="1:7" x14ac:dyDescent="0.3">
      <c r="A1029" s="11"/>
      <c r="B1029" s="8"/>
      <c r="C1029" s="7" t="str">
        <f>IF(B1029="","",IFERROR(INDEX(Vidriería!$C$2:$C$301,MATCH(B1029,Vidriería!$A$2:$A$301,0))&amp;" "&amp;INDEX(Vidriería!$D$2:$D$301,MATCH(B1029,Vidriería!$A$2:$A$301,0)),"ID no existe"))</f>
        <v/>
      </c>
      <c r="D1029" s="8"/>
      <c r="E1029" s="8"/>
      <c r="F1029" s="8"/>
      <c r="G1029" s="13"/>
    </row>
    <row r="1030" spans="1:7" x14ac:dyDescent="0.3">
      <c r="A1030" s="11"/>
      <c r="B1030" s="8"/>
      <c r="C1030" s="7" t="str">
        <f>IF(B1030="","",IFERROR(INDEX(Vidriería!$C$2:$C$301,MATCH(B1030,Vidriería!$A$2:$A$301,0))&amp;" "&amp;INDEX(Vidriería!$D$2:$D$301,MATCH(B1030,Vidriería!$A$2:$A$301,0)),"ID no existe"))</f>
        <v/>
      </c>
      <c r="D1030" s="8"/>
      <c r="E1030" s="8"/>
      <c r="F1030" s="8"/>
      <c r="G1030" s="13"/>
    </row>
    <row r="1031" spans="1:7" x14ac:dyDescent="0.3">
      <c r="A1031" s="11"/>
      <c r="B1031" s="8"/>
      <c r="C1031" s="7" t="str">
        <f>IF(B1031="","",IFERROR(INDEX(Vidriería!$C$2:$C$301,MATCH(B1031,Vidriería!$A$2:$A$301,0))&amp;" "&amp;INDEX(Vidriería!$D$2:$D$301,MATCH(B1031,Vidriería!$A$2:$A$301,0)),"ID no existe"))</f>
        <v/>
      </c>
      <c r="D1031" s="8"/>
      <c r="E1031" s="8"/>
      <c r="F1031" s="8"/>
      <c r="G1031" s="13"/>
    </row>
    <row r="1032" spans="1:7" x14ac:dyDescent="0.3">
      <c r="A1032" s="11"/>
      <c r="B1032" s="8"/>
      <c r="C1032" s="7" t="str">
        <f>IF(B1032="","",IFERROR(INDEX(Vidriería!$C$2:$C$301,MATCH(B1032,Vidriería!$A$2:$A$301,0))&amp;" "&amp;INDEX(Vidriería!$D$2:$D$301,MATCH(B1032,Vidriería!$A$2:$A$301,0)),"ID no existe"))</f>
        <v/>
      </c>
      <c r="D1032" s="8"/>
      <c r="E1032" s="8"/>
      <c r="F1032" s="8"/>
      <c r="G1032" s="13"/>
    </row>
    <row r="1033" spans="1:7" x14ac:dyDescent="0.3">
      <c r="A1033" s="11"/>
      <c r="B1033" s="8"/>
      <c r="C1033" s="7" t="str">
        <f>IF(B1033="","",IFERROR(INDEX(Vidriería!$C$2:$C$301,MATCH(B1033,Vidriería!$A$2:$A$301,0))&amp;" "&amp;INDEX(Vidriería!$D$2:$D$301,MATCH(B1033,Vidriería!$A$2:$A$301,0)),"ID no existe"))</f>
        <v/>
      </c>
      <c r="D1033" s="8"/>
      <c r="E1033" s="8"/>
      <c r="F1033" s="8"/>
      <c r="G1033" s="13"/>
    </row>
    <row r="1034" spans="1:7" x14ac:dyDescent="0.3">
      <c r="A1034" s="11"/>
      <c r="B1034" s="8"/>
      <c r="C1034" s="7" t="str">
        <f>IF(B1034="","",IFERROR(INDEX(Vidriería!$C$2:$C$301,MATCH(B1034,Vidriería!$A$2:$A$301,0))&amp;" "&amp;INDEX(Vidriería!$D$2:$D$301,MATCH(B1034,Vidriería!$A$2:$A$301,0)),"ID no existe"))</f>
        <v/>
      </c>
      <c r="D1034" s="8"/>
      <c r="E1034" s="8"/>
      <c r="F1034" s="8"/>
      <c r="G1034" s="13"/>
    </row>
    <row r="1035" spans="1:7" x14ac:dyDescent="0.3">
      <c r="A1035" s="11"/>
      <c r="B1035" s="8"/>
      <c r="C1035" s="7" t="str">
        <f>IF(B1035="","",IFERROR(INDEX(Vidriería!$C$2:$C$301,MATCH(B1035,Vidriería!$A$2:$A$301,0))&amp;" "&amp;INDEX(Vidriería!$D$2:$D$301,MATCH(B1035,Vidriería!$A$2:$A$301,0)),"ID no existe"))</f>
        <v/>
      </c>
      <c r="D1035" s="8"/>
      <c r="E1035" s="8"/>
      <c r="F1035" s="8"/>
      <c r="G1035" s="13"/>
    </row>
    <row r="1036" spans="1:7" x14ac:dyDescent="0.3">
      <c r="A1036" s="11"/>
      <c r="B1036" s="8"/>
      <c r="C1036" s="7" t="str">
        <f>IF(B1036="","",IFERROR(INDEX(Vidriería!$C$2:$C$301,MATCH(B1036,Vidriería!$A$2:$A$301,0))&amp;" "&amp;INDEX(Vidriería!$D$2:$D$301,MATCH(B1036,Vidriería!$A$2:$A$301,0)),"ID no existe"))</f>
        <v/>
      </c>
      <c r="D1036" s="8"/>
      <c r="E1036" s="8"/>
      <c r="F1036" s="8"/>
      <c r="G1036" s="13"/>
    </row>
    <row r="1037" spans="1:7" x14ac:dyDescent="0.3">
      <c r="A1037" s="11"/>
      <c r="B1037" s="8"/>
      <c r="C1037" s="7" t="str">
        <f>IF(B1037="","",IFERROR(INDEX(Vidriería!$C$2:$C$301,MATCH(B1037,Vidriería!$A$2:$A$301,0))&amp;" "&amp;INDEX(Vidriería!$D$2:$D$301,MATCH(B1037,Vidriería!$A$2:$A$301,0)),"ID no existe"))</f>
        <v/>
      </c>
      <c r="D1037" s="8"/>
      <c r="E1037" s="8"/>
      <c r="F1037" s="8"/>
      <c r="G1037" s="13"/>
    </row>
    <row r="1038" spans="1:7" x14ac:dyDescent="0.3">
      <c r="A1038" s="11"/>
      <c r="B1038" s="8"/>
      <c r="C1038" s="7" t="str">
        <f>IF(B1038="","",IFERROR(INDEX(Vidriería!$C$2:$C$301,MATCH(B1038,Vidriería!$A$2:$A$301,0))&amp;" "&amp;INDEX(Vidriería!$D$2:$D$301,MATCH(B1038,Vidriería!$A$2:$A$301,0)),"ID no existe"))</f>
        <v/>
      </c>
      <c r="D1038" s="8"/>
      <c r="E1038" s="8"/>
      <c r="F1038" s="8"/>
      <c r="G1038" s="13"/>
    </row>
    <row r="1039" spans="1:7" x14ac:dyDescent="0.3">
      <c r="A1039" s="11"/>
      <c r="B1039" s="8"/>
      <c r="C1039" s="7" t="str">
        <f>IF(B1039="","",IFERROR(INDEX(Vidriería!$C$2:$C$301,MATCH(B1039,Vidriería!$A$2:$A$301,0))&amp;" "&amp;INDEX(Vidriería!$D$2:$D$301,MATCH(B1039,Vidriería!$A$2:$A$301,0)),"ID no existe"))</f>
        <v/>
      </c>
      <c r="D1039" s="8"/>
      <c r="E1039" s="8"/>
      <c r="F1039" s="8"/>
      <c r="G1039" s="13"/>
    </row>
    <row r="1040" spans="1:7" x14ac:dyDescent="0.3">
      <c r="A1040" s="11"/>
      <c r="B1040" s="8"/>
      <c r="C1040" s="7" t="str">
        <f>IF(B1040="","",IFERROR(INDEX(Vidriería!$C$2:$C$301,MATCH(B1040,Vidriería!$A$2:$A$301,0))&amp;" "&amp;INDEX(Vidriería!$D$2:$D$301,MATCH(B1040,Vidriería!$A$2:$A$301,0)),"ID no existe"))</f>
        <v/>
      </c>
      <c r="D1040" s="8"/>
      <c r="E1040" s="8"/>
      <c r="F1040" s="8"/>
      <c r="G1040" s="13"/>
    </row>
    <row r="1041" spans="1:7" x14ac:dyDescent="0.3">
      <c r="A1041" s="11"/>
      <c r="B1041" s="8"/>
      <c r="C1041" s="7" t="str">
        <f>IF(B1041="","",IFERROR(INDEX(Vidriería!$C$2:$C$301,MATCH(B1041,Vidriería!$A$2:$A$301,0))&amp;" "&amp;INDEX(Vidriería!$D$2:$D$301,MATCH(B1041,Vidriería!$A$2:$A$301,0)),"ID no existe"))</f>
        <v/>
      </c>
      <c r="D1041" s="8"/>
      <c r="E1041" s="8"/>
      <c r="F1041" s="8"/>
      <c r="G1041" s="13"/>
    </row>
    <row r="1042" spans="1:7" x14ac:dyDescent="0.3">
      <c r="A1042" s="11"/>
      <c r="B1042" s="8"/>
      <c r="C1042" s="7" t="str">
        <f>IF(B1042="","",IFERROR(INDEX(Vidriería!$C$2:$C$301,MATCH(B1042,Vidriería!$A$2:$A$301,0))&amp;" "&amp;INDEX(Vidriería!$D$2:$D$301,MATCH(B1042,Vidriería!$A$2:$A$301,0)),"ID no existe"))</f>
        <v/>
      </c>
      <c r="D1042" s="8"/>
      <c r="E1042" s="8"/>
      <c r="F1042" s="8"/>
      <c r="G1042" s="13"/>
    </row>
    <row r="1043" spans="1:7" x14ac:dyDescent="0.3">
      <c r="A1043" s="11"/>
      <c r="B1043" s="8"/>
      <c r="C1043" s="7" t="str">
        <f>IF(B1043="","",IFERROR(INDEX(Vidriería!$C$2:$C$301,MATCH(B1043,Vidriería!$A$2:$A$301,0))&amp;" "&amp;INDEX(Vidriería!$D$2:$D$301,MATCH(B1043,Vidriería!$A$2:$A$301,0)),"ID no existe"))</f>
        <v/>
      </c>
      <c r="D1043" s="8"/>
      <c r="E1043" s="8"/>
      <c r="F1043" s="8"/>
      <c r="G1043" s="13"/>
    </row>
    <row r="1044" spans="1:7" x14ac:dyDescent="0.3">
      <c r="A1044" s="11"/>
      <c r="B1044" s="8"/>
      <c r="C1044" s="7" t="str">
        <f>IF(B1044="","",IFERROR(INDEX(Vidriería!$C$2:$C$301,MATCH(B1044,Vidriería!$A$2:$A$301,0))&amp;" "&amp;INDEX(Vidriería!$D$2:$D$301,MATCH(B1044,Vidriería!$A$2:$A$301,0)),"ID no existe"))</f>
        <v/>
      </c>
      <c r="D1044" s="8"/>
      <c r="E1044" s="8"/>
      <c r="F1044" s="8"/>
      <c r="G1044" s="13"/>
    </row>
    <row r="1045" spans="1:7" x14ac:dyDescent="0.3">
      <c r="A1045" s="11"/>
      <c r="B1045" s="8"/>
      <c r="C1045" s="7" t="str">
        <f>IF(B1045="","",IFERROR(INDEX(Vidriería!$C$2:$C$301,MATCH(B1045,Vidriería!$A$2:$A$301,0))&amp;" "&amp;INDEX(Vidriería!$D$2:$D$301,MATCH(B1045,Vidriería!$A$2:$A$301,0)),"ID no existe"))</f>
        <v/>
      </c>
      <c r="D1045" s="8"/>
      <c r="E1045" s="8"/>
      <c r="F1045" s="8"/>
      <c r="G1045" s="13"/>
    </row>
    <row r="1046" spans="1:7" x14ac:dyDescent="0.3">
      <c r="A1046" s="11"/>
      <c r="B1046" s="8"/>
      <c r="C1046" s="7" t="str">
        <f>IF(B1046="","",IFERROR(INDEX(Vidriería!$C$2:$C$301,MATCH(B1046,Vidriería!$A$2:$A$301,0))&amp;" "&amp;INDEX(Vidriería!$D$2:$D$301,MATCH(B1046,Vidriería!$A$2:$A$301,0)),"ID no existe"))</f>
        <v/>
      </c>
      <c r="D1046" s="8"/>
      <c r="E1046" s="8"/>
      <c r="F1046" s="8"/>
      <c r="G1046" s="13"/>
    </row>
    <row r="1047" spans="1:7" x14ac:dyDescent="0.3">
      <c r="A1047" s="11"/>
      <c r="B1047" s="8"/>
      <c r="C1047" s="7" t="str">
        <f>IF(B1047="","",IFERROR(INDEX(Vidriería!$C$2:$C$301,MATCH(B1047,Vidriería!$A$2:$A$301,0))&amp;" "&amp;INDEX(Vidriería!$D$2:$D$301,MATCH(B1047,Vidriería!$A$2:$A$301,0)),"ID no existe"))</f>
        <v/>
      </c>
      <c r="D1047" s="8"/>
      <c r="E1047" s="8"/>
      <c r="F1047" s="8"/>
      <c r="G1047" s="13"/>
    </row>
    <row r="1048" spans="1:7" x14ac:dyDescent="0.3">
      <c r="A1048" s="11"/>
      <c r="B1048" s="8"/>
      <c r="C1048" s="7" t="str">
        <f>IF(B1048="","",IFERROR(INDEX(Vidriería!$C$2:$C$301,MATCH(B1048,Vidriería!$A$2:$A$301,0))&amp;" "&amp;INDEX(Vidriería!$D$2:$D$301,MATCH(B1048,Vidriería!$A$2:$A$301,0)),"ID no existe"))</f>
        <v/>
      </c>
      <c r="D1048" s="8"/>
      <c r="E1048" s="8"/>
      <c r="F1048" s="8"/>
      <c r="G1048" s="13"/>
    </row>
    <row r="1049" spans="1:7" x14ac:dyDescent="0.3">
      <c r="A1049" s="11"/>
      <c r="B1049" s="8"/>
      <c r="C1049" s="7" t="str">
        <f>IF(B1049="","",IFERROR(INDEX(Vidriería!$C$2:$C$301,MATCH(B1049,Vidriería!$A$2:$A$301,0))&amp;" "&amp;INDEX(Vidriería!$D$2:$D$301,MATCH(B1049,Vidriería!$A$2:$A$301,0)),"ID no existe"))</f>
        <v/>
      </c>
      <c r="D1049" s="8"/>
      <c r="E1049" s="8"/>
      <c r="F1049" s="8"/>
      <c r="G1049" s="13"/>
    </row>
    <row r="1050" spans="1:7" x14ac:dyDescent="0.3">
      <c r="A1050" s="11"/>
      <c r="B1050" s="8"/>
      <c r="C1050" s="7" t="str">
        <f>IF(B1050="","",IFERROR(INDEX(Vidriería!$C$2:$C$301,MATCH(B1050,Vidriería!$A$2:$A$301,0))&amp;" "&amp;INDEX(Vidriería!$D$2:$D$301,MATCH(B1050,Vidriería!$A$2:$A$301,0)),"ID no existe"))</f>
        <v/>
      </c>
      <c r="D1050" s="8"/>
      <c r="E1050" s="8"/>
      <c r="F1050" s="8"/>
      <c r="G1050" s="13"/>
    </row>
    <row r="1051" spans="1:7" x14ac:dyDescent="0.3">
      <c r="A1051" s="11"/>
      <c r="B1051" s="8"/>
      <c r="C1051" s="7" t="str">
        <f>IF(B1051="","",IFERROR(INDEX(Vidriería!$C$2:$C$301,MATCH(B1051,Vidriería!$A$2:$A$301,0))&amp;" "&amp;INDEX(Vidriería!$D$2:$D$301,MATCH(B1051,Vidriería!$A$2:$A$301,0)),"ID no existe"))</f>
        <v/>
      </c>
      <c r="D1051" s="8"/>
      <c r="E1051" s="8"/>
      <c r="F1051" s="8"/>
      <c r="G1051" s="13"/>
    </row>
    <row r="1052" spans="1:7" x14ac:dyDescent="0.3">
      <c r="A1052" s="11"/>
      <c r="B1052" s="8"/>
      <c r="C1052" s="7" t="str">
        <f>IF(B1052="","",IFERROR(INDEX(Vidriería!$C$2:$C$301,MATCH(B1052,Vidriería!$A$2:$A$301,0))&amp;" "&amp;INDEX(Vidriería!$D$2:$D$301,MATCH(B1052,Vidriería!$A$2:$A$301,0)),"ID no existe"))</f>
        <v/>
      </c>
      <c r="D1052" s="8"/>
      <c r="E1052" s="8"/>
      <c r="F1052" s="8"/>
      <c r="G1052" s="13"/>
    </row>
    <row r="1053" spans="1:7" x14ac:dyDescent="0.3">
      <c r="A1053" s="11"/>
      <c r="B1053" s="8"/>
      <c r="C1053" s="7" t="str">
        <f>IF(B1053="","",IFERROR(INDEX(Vidriería!$C$2:$C$301,MATCH(B1053,Vidriería!$A$2:$A$301,0))&amp;" "&amp;INDEX(Vidriería!$D$2:$D$301,MATCH(B1053,Vidriería!$A$2:$A$301,0)),"ID no existe"))</f>
        <v/>
      </c>
      <c r="D1053" s="8"/>
      <c r="E1053" s="8"/>
      <c r="F1053" s="8"/>
      <c r="G1053" s="13"/>
    </row>
    <row r="1054" spans="1:7" x14ac:dyDescent="0.3">
      <c r="A1054" s="11"/>
      <c r="B1054" s="8"/>
      <c r="C1054" s="7" t="str">
        <f>IF(B1054="","",IFERROR(INDEX(Vidriería!$C$2:$C$301,MATCH(B1054,Vidriería!$A$2:$A$301,0))&amp;" "&amp;INDEX(Vidriería!$D$2:$D$301,MATCH(B1054,Vidriería!$A$2:$A$301,0)),"ID no existe"))</f>
        <v/>
      </c>
      <c r="D1054" s="8"/>
      <c r="E1054" s="8"/>
      <c r="F1054" s="8"/>
      <c r="G1054" s="13"/>
    </row>
    <row r="1055" spans="1:7" x14ac:dyDescent="0.3">
      <c r="A1055" s="11"/>
      <c r="B1055" s="8"/>
      <c r="C1055" s="7" t="str">
        <f>IF(B1055="","",IFERROR(INDEX(Vidriería!$C$2:$C$301,MATCH(B1055,Vidriería!$A$2:$A$301,0))&amp;" "&amp;INDEX(Vidriería!$D$2:$D$301,MATCH(B1055,Vidriería!$A$2:$A$301,0)),"ID no existe"))</f>
        <v/>
      </c>
      <c r="D1055" s="8"/>
      <c r="E1055" s="8"/>
      <c r="F1055" s="8"/>
      <c r="G1055" s="13"/>
    </row>
    <row r="1056" spans="1:7" x14ac:dyDescent="0.3">
      <c r="A1056" s="11"/>
      <c r="B1056" s="8"/>
      <c r="C1056" s="7" t="str">
        <f>IF(B1056="","",IFERROR(INDEX(Vidriería!$C$2:$C$301,MATCH(B1056,Vidriería!$A$2:$A$301,0))&amp;" "&amp;INDEX(Vidriería!$D$2:$D$301,MATCH(B1056,Vidriería!$A$2:$A$301,0)),"ID no existe"))</f>
        <v/>
      </c>
      <c r="D1056" s="8"/>
      <c r="E1056" s="8"/>
      <c r="F1056" s="8"/>
      <c r="G1056" s="13"/>
    </row>
    <row r="1057" spans="1:7" x14ac:dyDescent="0.3">
      <c r="A1057" s="11"/>
      <c r="B1057" s="8"/>
      <c r="C1057" s="7" t="str">
        <f>IF(B1057="","",IFERROR(INDEX(Vidriería!$C$2:$C$301,MATCH(B1057,Vidriería!$A$2:$A$301,0))&amp;" "&amp;INDEX(Vidriería!$D$2:$D$301,MATCH(B1057,Vidriería!$A$2:$A$301,0)),"ID no existe"))</f>
        <v/>
      </c>
      <c r="D1057" s="8"/>
      <c r="E1057" s="8"/>
      <c r="F1057" s="8"/>
      <c r="G1057" s="13"/>
    </row>
    <row r="1058" spans="1:7" x14ac:dyDescent="0.3">
      <c r="A1058" s="11"/>
      <c r="B1058" s="8"/>
      <c r="C1058" s="7" t="str">
        <f>IF(B1058="","",IFERROR(INDEX(Vidriería!$C$2:$C$301,MATCH(B1058,Vidriería!$A$2:$A$301,0))&amp;" "&amp;INDEX(Vidriería!$D$2:$D$301,MATCH(B1058,Vidriería!$A$2:$A$301,0)),"ID no existe"))</f>
        <v/>
      </c>
      <c r="D1058" s="8"/>
      <c r="E1058" s="8"/>
      <c r="F1058" s="8"/>
      <c r="G1058" s="13"/>
    </row>
    <row r="1059" spans="1:7" x14ac:dyDescent="0.3">
      <c r="A1059" s="11"/>
      <c r="B1059" s="8"/>
      <c r="C1059" s="7" t="str">
        <f>IF(B1059="","",IFERROR(INDEX(Vidriería!$C$2:$C$301,MATCH(B1059,Vidriería!$A$2:$A$301,0))&amp;" "&amp;INDEX(Vidriería!$D$2:$D$301,MATCH(B1059,Vidriería!$A$2:$A$301,0)),"ID no existe"))</f>
        <v/>
      </c>
      <c r="D1059" s="8"/>
      <c r="E1059" s="8"/>
      <c r="F1059" s="8"/>
      <c r="G1059" s="13"/>
    </row>
    <row r="1060" spans="1:7" x14ac:dyDescent="0.3">
      <c r="A1060" s="11"/>
      <c r="B1060" s="8"/>
      <c r="C1060" s="7" t="str">
        <f>IF(B1060="","",IFERROR(INDEX(Vidriería!$C$2:$C$301,MATCH(B1060,Vidriería!$A$2:$A$301,0))&amp;" "&amp;INDEX(Vidriería!$D$2:$D$301,MATCH(B1060,Vidriería!$A$2:$A$301,0)),"ID no existe"))</f>
        <v/>
      </c>
      <c r="D1060" s="8"/>
      <c r="E1060" s="8"/>
      <c r="F1060" s="8"/>
      <c r="G1060" s="13"/>
    </row>
    <row r="1061" spans="1:7" x14ac:dyDescent="0.3">
      <c r="A1061" s="11"/>
      <c r="B1061" s="8"/>
      <c r="C1061" s="7" t="str">
        <f>IF(B1061="","",IFERROR(INDEX(Vidriería!$C$2:$C$301,MATCH(B1061,Vidriería!$A$2:$A$301,0))&amp;" "&amp;INDEX(Vidriería!$D$2:$D$301,MATCH(B1061,Vidriería!$A$2:$A$301,0)),"ID no existe"))</f>
        <v/>
      </c>
      <c r="D1061" s="8"/>
      <c r="E1061" s="8"/>
      <c r="F1061" s="8"/>
      <c r="G1061" s="13"/>
    </row>
    <row r="1062" spans="1:7" x14ac:dyDescent="0.3">
      <c r="A1062" s="11"/>
      <c r="B1062" s="8"/>
      <c r="C1062" s="7" t="str">
        <f>IF(B1062="","",IFERROR(INDEX(Vidriería!$C$2:$C$301,MATCH(B1062,Vidriería!$A$2:$A$301,0))&amp;" "&amp;INDEX(Vidriería!$D$2:$D$301,MATCH(B1062,Vidriería!$A$2:$A$301,0)),"ID no existe"))</f>
        <v/>
      </c>
      <c r="D1062" s="8"/>
      <c r="E1062" s="8"/>
      <c r="F1062" s="8"/>
      <c r="G1062" s="13"/>
    </row>
    <row r="1063" spans="1:7" x14ac:dyDescent="0.3">
      <c r="A1063" s="11"/>
      <c r="B1063" s="8"/>
      <c r="C1063" s="7" t="str">
        <f>IF(B1063="","",IFERROR(INDEX(Vidriería!$C$2:$C$301,MATCH(B1063,Vidriería!$A$2:$A$301,0))&amp;" "&amp;INDEX(Vidriería!$D$2:$D$301,MATCH(B1063,Vidriería!$A$2:$A$301,0)),"ID no existe"))</f>
        <v/>
      </c>
      <c r="D1063" s="8"/>
      <c r="E1063" s="8"/>
      <c r="F1063" s="8"/>
      <c r="G1063" s="13"/>
    </row>
    <row r="1064" spans="1:7" x14ac:dyDescent="0.3">
      <c r="A1064" s="11"/>
      <c r="B1064" s="8"/>
      <c r="C1064" s="7" t="str">
        <f>IF(B1064="","",IFERROR(INDEX(Vidriería!$C$2:$C$301,MATCH(B1064,Vidriería!$A$2:$A$301,0))&amp;" "&amp;INDEX(Vidriería!$D$2:$D$301,MATCH(B1064,Vidriería!$A$2:$A$301,0)),"ID no existe"))</f>
        <v/>
      </c>
      <c r="D1064" s="8"/>
      <c r="E1064" s="8"/>
      <c r="F1064" s="8"/>
      <c r="G1064" s="13"/>
    </row>
    <row r="1065" spans="1:7" x14ac:dyDescent="0.3">
      <c r="A1065" s="11"/>
      <c r="B1065" s="8"/>
      <c r="C1065" s="7" t="str">
        <f>IF(B1065="","",IFERROR(INDEX(Vidriería!$C$2:$C$301,MATCH(B1065,Vidriería!$A$2:$A$301,0))&amp;" "&amp;INDEX(Vidriería!$D$2:$D$301,MATCH(B1065,Vidriería!$A$2:$A$301,0)),"ID no existe"))</f>
        <v/>
      </c>
      <c r="D1065" s="8"/>
      <c r="E1065" s="8"/>
      <c r="F1065" s="8"/>
      <c r="G1065" s="13"/>
    </row>
    <row r="1066" spans="1:7" x14ac:dyDescent="0.3">
      <c r="A1066" s="11"/>
      <c r="B1066" s="8"/>
      <c r="C1066" s="7" t="str">
        <f>IF(B1066="","",IFERROR(INDEX(Vidriería!$C$2:$C$301,MATCH(B1066,Vidriería!$A$2:$A$301,0))&amp;" "&amp;INDEX(Vidriería!$D$2:$D$301,MATCH(B1066,Vidriería!$A$2:$A$301,0)),"ID no existe"))</f>
        <v/>
      </c>
      <c r="D1066" s="8"/>
      <c r="E1066" s="8"/>
      <c r="F1066" s="8"/>
      <c r="G1066" s="13"/>
    </row>
    <row r="1067" spans="1:7" x14ac:dyDescent="0.3">
      <c r="A1067" s="11"/>
      <c r="B1067" s="8"/>
      <c r="C1067" s="7" t="str">
        <f>IF(B1067="","",IFERROR(INDEX(Vidriería!$C$2:$C$301,MATCH(B1067,Vidriería!$A$2:$A$301,0))&amp;" "&amp;INDEX(Vidriería!$D$2:$D$301,MATCH(B1067,Vidriería!$A$2:$A$301,0)),"ID no existe"))</f>
        <v/>
      </c>
      <c r="D1067" s="8"/>
      <c r="E1067" s="8"/>
      <c r="F1067" s="8"/>
      <c r="G1067" s="13"/>
    </row>
    <row r="1068" spans="1:7" x14ac:dyDescent="0.3">
      <c r="A1068" s="11"/>
      <c r="B1068" s="8"/>
      <c r="C1068" s="7" t="str">
        <f>IF(B1068="","",IFERROR(INDEX(Vidriería!$C$2:$C$301,MATCH(B1068,Vidriería!$A$2:$A$301,0))&amp;" "&amp;INDEX(Vidriería!$D$2:$D$301,MATCH(B1068,Vidriería!$A$2:$A$301,0)),"ID no existe"))</f>
        <v/>
      </c>
      <c r="D1068" s="8"/>
      <c r="E1068" s="8"/>
      <c r="F1068" s="8"/>
      <c r="G1068" s="13"/>
    </row>
    <row r="1069" spans="1:7" x14ac:dyDescent="0.3">
      <c r="A1069" s="11"/>
      <c r="B1069" s="8"/>
      <c r="C1069" s="7" t="str">
        <f>IF(B1069="","",IFERROR(INDEX(Vidriería!$C$2:$C$301,MATCH(B1069,Vidriería!$A$2:$A$301,0))&amp;" "&amp;INDEX(Vidriería!$D$2:$D$301,MATCH(B1069,Vidriería!$A$2:$A$301,0)),"ID no existe"))</f>
        <v/>
      </c>
      <c r="D1069" s="8"/>
      <c r="E1069" s="8"/>
      <c r="F1069" s="8"/>
      <c r="G1069" s="13"/>
    </row>
    <row r="1070" spans="1:7" x14ac:dyDescent="0.3">
      <c r="A1070" s="11"/>
      <c r="B1070" s="8"/>
      <c r="C1070" s="7" t="str">
        <f>IF(B1070="","",IFERROR(INDEX(Vidriería!$C$2:$C$301,MATCH(B1070,Vidriería!$A$2:$A$301,0))&amp;" "&amp;INDEX(Vidriería!$D$2:$D$301,MATCH(B1070,Vidriería!$A$2:$A$301,0)),"ID no existe"))</f>
        <v/>
      </c>
      <c r="D1070" s="8"/>
      <c r="E1070" s="8"/>
      <c r="F1070" s="8"/>
      <c r="G1070" s="13"/>
    </row>
    <row r="1071" spans="1:7" x14ac:dyDescent="0.3">
      <c r="A1071" s="11"/>
      <c r="B1071" s="8"/>
      <c r="C1071" s="7" t="str">
        <f>IF(B1071="","",IFERROR(INDEX(Vidriería!$C$2:$C$301,MATCH(B1071,Vidriería!$A$2:$A$301,0))&amp;" "&amp;INDEX(Vidriería!$D$2:$D$301,MATCH(B1071,Vidriería!$A$2:$A$301,0)),"ID no existe"))</f>
        <v/>
      </c>
      <c r="D1071" s="8"/>
      <c r="E1071" s="8"/>
      <c r="F1071" s="8"/>
      <c r="G1071" s="13"/>
    </row>
    <row r="1072" spans="1:7" x14ac:dyDescent="0.3">
      <c r="A1072" s="11"/>
      <c r="B1072" s="8"/>
      <c r="C1072" s="7" t="str">
        <f>IF(B1072="","",IFERROR(INDEX(Vidriería!$C$2:$C$301,MATCH(B1072,Vidriería!$A$2:$A$301,0))&amp;" "&amp;INDEX(Vidriería!$D$2:$D$301,MATCH(B1072,Vidriería!$A$2:$A$301,0)),"ID no existe"))</f>
        <v/>
      </c>
      <c r="D1072" s="8"/>
      <c r="E1072" s="8"/>
      <c r="F1072" s="8"/>
      <c r="G1072" s="13"/>
    </row>
    <row r="1073" spans="1:7" x14ac:dyDescent="0.3">
      <c r="A1073" s="11"/>
      <c r="B1073" s="8"/>
      <c r="C1073" s="7" t="str">
        <f>IF(B1073="","",IFERROR(INDEX(Vidriería!$C$2:$C$301,MATCH(B1073,Vidriería!$A$2:$A$301,0))&amp;" "&amp;INDEX(Vidriería!$D$2:$D$301,MATCH(B1073,Vidriería!$A$2:$A$301,0)),"ID no existe"))</f>
        <v/>
      </c>
      <c r="D1073" s="8"/>
      <c r="E1073" s="8"/>
      <c r="F1073" s="8"/>
      <c r="G1073" s="13"/>
    </row>
    <row r="1074" spans="1:7" x14ac:dyDescent="0.3">
      <c r="A1074" s="11"/>
      <c r="B1074" s="8"/>
      <c r="C1074" s="7" t="str">
        <f>IF(B1074="","",IFERROR(INDEX(Vidriería!$C$2:$C$301,MATCH(B1074,Vidriería!$A$2:$A$301,0))&amp;" "&amp;INDEX(Vidriería!$D$2:$D$301,MATCH(B1074,Vidriería!$A$2:$A$301,0)),"ID no existe"))</f>
        <v/>
      </c>
      <c r="D1074" s="8"/>
      <c r="E1074" s="8"/>
      <c r="F1074" s="8"/>
      <c r="G1074" s="13"/>
    </row>
    <row r="1075" spans="1:7" x14ac:dyDescent="0.3">
      <c r="A1075" s="11"/>
      <c r="B1075" s="8"/>
      <c r="C1075" s="7" t="str">
        <f>IF(B1075="","",IFERROR(INDEX(Vidriería!$C$2:$C$301,MATCH(B1075,Vidriería!$A$2:$A$301,0))&amp;" "&amp;INDEX(Vidriería!$D$2:$D$301,MATCH(B1075,Vidriería!$A$2:$A$301,0)),"ID no existe"))</f>
        <v/>
      </c>
      <c r="D1075" s="8"/>
      <c r="E1075" s="8"/>
      <c r="F1075" s="8"/>
      <c r="G1075" s="13"/>
    </row>
    <row r="1076" spans="1:7" x14ac:dyDescent="0.3">
      <c r="A1076" s="11"/>
      <c r="B1076" s="8"/>
      <c r="C1076" s="7" t="str">
        <f>IF(B1076="","",IFERROR(INDEX(Vidriería!$C$2:$C$301,MATCH(B1076,Vidriería!$A$2:$A$301,0))&amp;" "&amp;INDEX(Vidriería!$D$2:$D$301,MATCH(B1076,Vidriería!$A$2:$A$301,0)),"ID no existe"))</f>
        <v/>
      </c>
      <c r="D1076" s="8"/>
      <c r="E1076" s="8"/>
      <c r="F1076" s="8"/>
      <c r="G1076" s="13"/>
    </row>
    <row r="1077" spans="1:7" x14ac:dyDescent="0.3">
      <c r="A1077" s="11"/>
      <c r="B1077" s="8"/>
      <c r="C1077" s="7" t="str">
        <f>IF(B1077="","",IFERROR(INDEX(Vidriería!$C$2:$C$301,MATCH(B1077,Vidriería!$A$2:$A$301,0))&amp;" "&amp;INDEX(Vidriería!$D$2:$D$301,MATCH(B1077,Vidriería!$A$2:$A$301,0)),"ID no existe"))</f>
        <v/>
      </c>
      <c r="D1077" s="8"/>
      <c r="E1077" s="8"/>
      <c r="F1077" s="8"/>
      <c r="G1077" s="13"/>
    </row>
    <row r="1078" spans="1:7" x14ac:dyDescent="0.3">
      <c r="A1078" s="11"/>
      <c r="B1078" s="8"/>
      <c r="C1078" s="7" t="str">
        <f>IF(B1078="","",IFERROR(INDEX(Vidriería!$C$2:$C$301,MATCH(B1078,Vidriería!$A$2:$A$301,0))&amp;" "&amp;INDEX(Vidriería!$D$2:$D$301,MATCH(B1078,Vidriería!$A$2:$A$301,0)),"ID no existe"))</f>
        <v/>
      </c>
      <c r="D1078" s="8"/>
      <c r="E1078" s="8"/>
      <c r="F1078" s="8"/>
      <c r="G1078" s="13"/>
    </row>
    <row r="1079" spans="1:7" x14ac:dyDescent="0.3">
      <c r="A1079" s="11"/>
      <c r="B1079" s="8"/>
      <c r="C1079" s="7" t="str">
        <f>IF(B1079="","",IFERROR(INDEX(Vidriería!$C$2:$C$301,MATCH(B1079,Vidriería!$A$2:$A$301,0))&amp;" "&amp;INDEX(Vidriería!$D$2:$D$301,MATCH(B1079,Vidriería!$A$2:$A$301,0)),"ID no existe"))</f>
        <v/>
      </c>
      <c r="D1079" s="8"/>
      <c r="E1079" s="8"/>
      <c r="F1079" s="8"/>
      <c r="G1079" s="13"/>
    </row>
    <row r="1080" spans="1:7" x14ac:dyDescent="0.3">
      <c r="A1080" s="11"/>
      <c r="B1080" s="8"/>
      <c r="C1080" s="7" t="str">
        <f>IF(B1080="","",IFERROR(INDEX(Vidriería!$C$2:$C$301,MATCH(B1080,Vidriería!$A$2:$A$301,0))&amp;" "&amp;INDEX(Vidriería!$D$2:$D$301,MATCH(B1080,Vidriería!$A$2:$A$301,0)),"ID no existe"))</f>
        <v/>
      </c>
      <c r="D1080" s="8"/>
      <c r="E1080" s="8"/>
      <c r="F1080" s="8"/>
      <c r="G1080" s="13"/>
    </row>
    <row r="1081" spans="1:7" x14ac:dyDescent="0.3">
      <c r="A1081" s="11"/>
      <c r="B1081" s="8"/>
      <c r="C1081" s="7" t="str">
        <f>IF(B1081="","",IFERROR(INDEX(Vidriería!$C$2:$C$301,MATCH(B1081,Vidriería!$A$2:$A$301,0))&amp;" "&amp;INDEX(Vidriería!$D$2:$D$301,MATCH(B1081,Vidriería!$A$2:$A$301,0)),"ID no existe"))</f>
        <v/>
      </c>
      <c r="D1081" s="8"/>
      <c r="E1081" s="8"/>
      <c r="F1081" s="8"/>
      <c r="G1081" s="13"/>
    </row>
    <row r="1082" spans="1:7" x14ac:dyDescent="0.3">
      <c r="A1082" s="11"/>
      <c r="B1082" s="8"/>
      <c r="C1082" s="7" t="str">
        <f>IF(B1082="","",IFERROR(INDEX(Vidriería!$C$2:$C$301,MATCH(B1082,Vidriería!$A$2:$A$301,0))&amp;" "&amp;INDEX(Vidriería!$D$2:$D$301,MATCH(B1082,Vidriería!$A$2:$A$301,0)),"ID no existe"))</f>
        <v/>
      </c>
      <c r="D1082" s="8"/>
      <c r="E1082" s="8"/>
      <c r="F1082" s="8"/>
      <c r="G1082" s="13"/>
    </row>
    <row r="1083" spans="1:7" x14ac:dyDescent="0.3">
      <c r="A1083" s="11"/>
      <c r="B1083" s="8"/>
      <c r="C1083" s="7" t="str">
        <f>IF(B1083="","",IFERROR(INDEX(Vidriería!$C$2:$C$301,MATCH(B1083,Vidriería!$A$2:$A$301,0))&amp;" "&amp;INDEX(Vidriería!$D$2:$D$301,MATCH(B1083,Vidriería!$A$2:$A$301,0)),"ID no existe"))</f>
        <v/>
      </c>
      <c r="D1083" s="8"/>
      <c r="E1083" s="8"/>
      <c r="F1083" s="8"/>
      <c r="G1083" s="13"/>
    </row>
    <row r="1084" spans="1:7" x14ac:dyDescent="0.3">
      <c r="A1084" s="11"/>
      <c r="B1084" s="8"/>
      <c r="C1084" s="7" t="str">
        <f>IF(B1084="","",IFERROR(INDEX(Vidriería!$C$2:$C$301,MATCH(B1084,Vidriería!$A$2:$A$301,0))&amp;" "&amp;INDEX(Vidriería!$D$2:$D$301,MATCH(B1084,Vidriería!$A$2:$A$301,0)),"ID no existe"))</f>
        <v/>
      </c>
      <c r="D1084" s="8"/>
      <c r="E1084" s="8"/>
      <c r="F1084" s="8"/>
      <c r="G1084" s="13"/>
    </row>
    <row r="1085" spans="1:7" x14ac:dyDescent="0.3">
      <c r="A1085" s="11"/>
      <c r="B1085" s="8"/>
      <c r="C1085" s="7" t="str">
        <f>IF(B1085="","",IFERROR(INDEX(Vidriería!$C$2:$C$301,MATCH(B1085,Vidriería!$A$2:$A$301,0))&amp;" "&amp;INDEX(Vidriería!$D$2:$D$301,MATCH(B1085,Vidriería!$A$2:$A$301,0)),"ID no existe"))</f>
        <v/>
      </c>
      <c r="D1085" s="8"/>
      <c r="E1085" s="8"/>
      <c r="F1085" s="8"/>
      <c r="G1085" s="13"/>
    </row>
    <row r="1086" spans="1:7" x14ac:dyDescent="0.3">
      <c r="A1086" s="11"/>
      <c r="B1086" s="8"/>
      <c r="C1086" s="7" t="str">
        <f>IF(B1086="","",IFERROR(INDEX(Vidriería!$C$2:$C$301,MATCH(B1086,Vidriería!$A$2:$A$301,0))&amp;" "&amp;INDEX(Vidriería!$D$2:$D$301,MATCH(B1086,Vidriería!$A$2:$A$301,0)),"ID no existe"))</f>
        <v/>
      </c>
      <c r="D1086" s="8"/>
      <c r="E1086" s="8"/>
      <c r="F1086" s="8"/>
      <c r="G1086" s="13"/>
    </row>
    <row r="1087" spans="1:7" x14ac:dyDescent="0.3">
      <c r="A1087" s="11"/>
      <c r="B1087" s="8"/>
      <c r="C1087" s="7" t="str">
        <f>IF(B1087="","",IFERROR(INDEX(Vidriería!$C$2:$C$301,MATCH(B1087,Vidriería!$A$2:$A$301,0))&amp;" "&amp;INDEX(Vidriería!$D$2:$D$301,MATCH(B1087,Vidriería!$A$2:$A$301,0)),"ID no existe"))</f>
        <v/>
      </c>
      <c r="D1087" s="8"/>
      <c r="E1087" s="8"/>
      <c r="F1087" s="8"/>
      <c r="G1087" s="13"/>
    </row>
    <row r="1088" spans="1:7" x14ac:dyDescent="0.3">
      <c r="A1088" s="11"/>
      <c r="B1088" s="8"/>
      <c r="C1088" s="7" t="str">
        <f>IF(B1088="","",IFERROR(INDEX(Vidriería!$C$2:$C$301,MATCH(B1088,Vidriería!$A$2:$A$301,0))&amp;" "&amp;INDEX(Vidriería!$D$2:$D$301,MATCH(B1088,Vidriería!$A$2:$A$301,0)),"ID no existe"))</f>
        <v/>
      </c>
      <c r="D1088" s="8"/>
      <c r="E1088" s="8"/>
      <c r="F1088" s="8"/>
      <c r="G1088" s="13"/>
    </row>
    <row r="1089" spans="1:7" x14ac:dyDescent="0.3">
      <c r="A1089" s="11"/>
      <c r="B1089" s="8"/>
      <c r="C1089" s="7" t="str">
        <f>IF(B1089="","",IFERROR(INDEX(Vidriería!$C$2:$C$301,MATCH(B1089,Vidriería!$A$2:$A$301,0))&amp;" "&amp;INDEX(Vidriería!$D$2:$D$301,MATCH(B1089,Vidriería!$A$2:$A$301,0)),"ID no existe"))</f>
        <v/>
      </c>
      <c r="D1089" s="8"/>
      <c r="E1089" s="8"/>
      <c r="F1089" s="8"/>
      <c r="G1089" s="13"/>
    </row>
    <row r="1090" spans="1:7" x14ac:dyDescent="0.3">
      <c r="A1090" s="11"/>
      <c r="B1090" s="8"/>
      <c r="C1090" s="7" t="str">
        <f>IF(B1090="","",IFERROR(INDEX(Vidriería!$C$2:$C$301,MATCH(B1090,Vidriería!$A$2:$A$301,0))&amp;" "&amp;INDEX(Vidriería!$D$2:$D$301,MATCH(B1090,Vidriería!$A$2:$A$301,0)),"ID no existe"))</f>
        <v/>
      </c>
      <c r="D1090" s="8"/>
      <c r="E1090" s="8"/>
      <c r="F1090" s="8"/>
      <c r="G1090" s="13"/>
    </row>
    <row r="1091" spans="1:7" x14ac:dyDescent="0.3">
      <c r="A1091" s="11"/>
      <c r="B1091" s="8"/>
      <c r="C1091" s="7" t="str">
        <f>IF(B1091="","",IFERROR(INDEX(Vidriería!$C$2:$C$301,MATCH(B1091,Vidriería!$A$2:$A$301,0))&amp;" "&amp;INDEX(Vidriería!$D$2:$D$301,MATCH(B1091,Vidriería!$A$2:$A$301,0)),"ID no existe"))</f>
        <v/>
      </c>
      <c r="D1091" s="8"/>
      <c r="E1091" s="8"/>
      <c r="F1091" s="8"/>
      <c r="G1091" s="13"/>
    </row>
    <row r="1092" spans="1:7" x14ac:dyDescent="0.3">
      <c r="A1092" s="11"/>
      <c r="B1092" s="8"/>
      <c r="C1092" s="7" t="str">
        <f>IF(B1092="","",IFERROR(INDEX(Vidriería!$C$2:$C$301,MATCH(B1092,Vidriería!$A$2:$A$301,0))&amp;" "&amp;INDEX(Vidriería!$D$2:$D$301,MATCH(B1092,Vidriería!$A$2:$A$301,0)),"ID no existe"))</f>
        <v/>
      </c>
      <c r="D1092" s="8"/>
      <c r="E1092" s="8"/>
      <c r="F1092" s="8"/>
      <c r="G1092" s="13"/>
    </row>
    <row r="1093" spans="1:7" x14ac:dyDescent="0.3">
      <c r="A1093" s="11"/>
      <c r="B1093" s="8"/>
      <c r="C1093" s="7" t="str">
        <f>IF(B1093="","",IFERROR(INDEX(Vidriería!$C$2:$C$301,MATCH(B1093,Vidriería!$A$2:$A$301,0))&amp;" "&amp;INDEX(Vidriería!$D$2:$D$301,MATCH(B1093,Vidriería!$A$2:$A$301,0)),"ID no existe"))</f>
        <v/>
      </c>
      <c r="D1093" s="8"/>
      <c r="E1093" s="8"/>
      <c r="F1093" s="8"/>
      <c r="G1093" s="13"/>
    </row>
    <row r="1094" spans="1:7" x14ac:dyDescent="0.3">
      <c r="A1094" s="11"/>
      <c r="B1094" s="8"/>
      <c r="C1094" s="7" t="str">
        <f>IF(B1094="","",IFERROR(INDEX(Vidriería!$C$2:$C$301,MATCH(B1094,Vidriería!$A$2:$A$301,0))&amp;" "&amp;INDEX(Vidriería!$D$2:$D$301,MATCH(B1094,Vidriería!$A$2:$A$301,0)),"ID no existe"))</f>
        <v/>
      </c>
      <c r="D1094" s="8"/>
      <c r="E1094" s="8"/>
      <c r="F1094" s="8"/>
      <c r="G1094" s="13"/>
    </row>
    <row r="1095" spans="1:7" x14ac:dyDescent="0.3">
      <c r="A1095" s="11"/>
      <c r="B1095" s="8"/>
      <c r="C1095" s="7" t="str">
        <f>IF(B1095="","",IFERROR(INDEX(Vidriería!$C$2:$C$301,MATCH(B1095,Vidriería!$A$2:$A$301,0))&amp;" "&amp;INDEX(Vidriería!$D$2:$D$301,MATCH(B1095,Vidriería!$A$2:$A$301,0)),"ID no existe"))</f>
        <v/>
      </c>
      <c r="D1095" s="8"/>
      <c r="E1095" s="8"/>
      <c r="F1095" s="8"/>
      <c r="G1095" s="13"/>
    </row>
    <row r="1096" spans="1:7" x14ac:dyDescent="0.3">
      <c r="A1096" s="11"/>
      <c r="B1096" s="8"/>
      <c r="C1096" s="7" t="str">
        <f>IF(B1096="","",IFERROR(INDEX(Vidriería!$C$2:$C$301,MATCH(B1096,Vidriería!$A$2:$A$301,0))&amp;" "&amp;INDEX(Vidriería!$D$2:$D$301,MATCH(B1096,Vidriería!$A$2:$A$301,0)),"ID no existe"))</f>
        <v/>
      </c>
      <c r="D1096" s="8"/>
      <c r="E1096" s="8"/>
      <c r="F1096" s="8"/>
      <c r="G1096" s="13"/>
    </row>
    <row r="1097" spans="1:7" x14ac:dyDescent="0.3">
      <c r="A1097" s="11"/>
      <c r="B1097" s="8"/>
      <c r="C1097" s="7" t="str">
        <f>IF(B1097="","",IFERROR(INDEX(Vidriería!$C$2:$C$301,MATCH(B1097,Vidriería!$A$2:$A$301,0))&amp;" "&amp;INDEX(Vidriería!$D$2:$D$301,MATCH(B1097,Vidriería!$A$2:$A$301,0)),"ID no existe"))</f>
        <v/>
      </c>
      <c r="D1097" s="8"/>
      <c r="E1097" s="8"/>
      <c r="F1097" s="8"/>
      <c r="G1097" s="13"/>
    </row>
    <row r="1098" spans="1:7" x14ac:dyDescent="0.3">
      <c r="A1098" s="11"/>
      <c r="B1098" s="8"/>
      <c r="C1098" s="7" t="str">
        <f>IF(B1098="","",IFERROR(INDEX(Vidriería!$C$2:$C$301,MATCH(B1098,Vidriería!$A$2:$A$301,0))&amp;" "&amp;INDEX(Vidriería!$D$2:$D$301,MATCH(B1098,Vidriería!$A$2:$A$301,0)),"ID no existe"))</f>
        <v/>
      </c>
      <c r="D1098" s="8"/>
      <c r="E1098" s="8"/>
      <c r="F1098" s="8"/>
      <c r="G1098" s="13"/>
    </row>
    <row r="1099" spans="1:7" x14ac:dyDescent="0.3">
      <c r="A1099" s="11"/>
      <c r="B1099" s="8"/>
      <c r="C1099" s="7" t="str">
        <f>IF(B1099="","",IFERROR(INDEX(Vidriería!$C$2:$C$301,MATCH(B1099,Vidriería!$A$2:$A$301,0))&amp;" "&amp;INDEX(Vidriería!$D$2:$D$301,MATCH(B1099,Vidriería!$A$2:$A$301,0)),"ID no existe"))</f>
        <v/>
      </c>
      <c r="D1099" s="8"/>
      <c r="E1099" s="8"/>
      <c r="F1099" s="8"/>
      <c r="G1099" s="13"/>
    </row>
    <row r="1100" spans="1:7" x14ac:dyDescent="0.3">
      <c r="A1100" s="11"/>
      <c r="B1100" s="8"/>
      <c r="C1100" s="7" t="str">
        <f>IF(B1100="","",IFERROR(INDEX(Vidriería!$C$2:$C$301,MATCH(B1100,Vidriería!$A$2:$A$301,0))&amp;" "&amp;INDEX(Vidriería!$D$2:$D$301,MATCH(B1100,Vidriería!$A$2:$A$301,0)),"ID no existe"))</f>
        <v/>
      </c>
      <c r="D1100" s="8"/>
      <c r="E1100" s="8"/>
      <c r="F1100" s="8"/>
      <c r="G1100" s="13"/>
    </row>
    <row r="1101" spans="1:7" x14ac:dyDescent="0.3">
      <c r="A1101" s="11"/>
      <c r="B1101" s="8"/>
      <c r="C1101" s="7" t="str">
        <f>IF(B1101="","",IFERROR(INDEX(Vidriería!$C$2:$C$301,MATCH(B1101,Vidriería!$A$2:$A$301,0))&amp;" "&amp;INDEX(Vidriería!$D$2:$D$301,MATCH(B1101,Vidriería!$A$2:$A$301,0)),"ID no existe"))</f>
        <v/>
      </c>
      <c r="D1101" s="8"/>
      <c r="E1101" s="8"/>
      <c r="F1101" s="8"/>
      <c r="G1101" s="13"/>
    </row>
    <row r="1102" spans="1:7" x14ac:dyDescent="0.3">
      <c r="A1102" s="11"/>
      <c r="B1102" s="8"/>
      <c r="C1102" s="7" t="str">
        <f>IF(B1102="","",IFERROR(INDEX(Vidriería!$C$2:$C$301,MATCH(B1102,Vidriería!$A$2:$A$301,0))&amp;" "&amp;INDEX(Vidriería!$D$2:$D$301,MATCH(B1102,Vidriería!$A$2:$A$301,0)),"ID no existe"))</f>
        <v/>
      </c>
      <c r="D1102" s="8"/>
      <c r="E1102" s="8"/>
      <c r="F1102" s="8"/>
      <c r="G1102" s="13"/>
    </row>
    <row r="1103" spans="1:7" x14ac:dyDescent="0.3">
      <c r="A1103" s="11"/>
      <c r="B1103" s="8"/>
      <c r="C1103" s="7" t="str">
        <f>IF(B1103="","",IFERROR(INDEX(Vidriería!$C$2:$C$301,MATCH(B1103,Vidriería!$A$2:$A$301,0))&amp;" "&amp;INDEX(Vidriería!$D$2:$D$301,MATCH(B1103,Vidriería!$A$2:$A$301,0)),"ID no existe"))</f>
        <v/>
      </c>
      <c r="D1103" s="8"/>
      <c r="E1103" s="8"/>
      <c r="F1103" s="8"/>
      <c r="G1103" s="13"/>
    </row>
    <row r="1104" spans="1:7" x14ac:dyDescent="0.3">
      <c r="A1104" s="11"/>
      <c r="B1104" s="8"/>
      <c r="C1104" s="7" t="str">
        <f>IF(B1104="","",IFERROR(INDEX(Vidriería!$C$2:$C$301,MATCH(B1104,Vidriería!$A$2:$A$301,0))&amp;" "&amp;INDEX(Vidriería!$D$2:$D$301,MATCH(B1104,Vidriería!$A$2:$A$301,0)),"ID no existe"))</f>
        <v/>
      </c>
      <c r="D1104" s="8"/>
      <c r="E1104" s="8"/>
      <c r="F1104" s="8"/>
      <c r="G1104" s="13"/>
    </row>
    <row r="1105" spans="1:7" x14ac:dyDescent="0.3">
      <c r="A1105" s="11"/>
      <c r="B1105" s="8"/>
      <c r="C1105" s="7" t="str">
        <f>IF(B1105="","",IFERROR(INDEX(Vidriería!$C$2:$C$301,MATCH(B1105,Vidriería!$A$2:$A$301,0))&amp;" "&amp;INDEX(Vidriería!$D$2:$D$301,MATCH(B1105,Vidriería!$A$2:$A$301,0)),"ID no existe"))</f>
        <v/>
      </c>
      <c r="D1105" s="8"/>
      <c r="E1105" s="8"/>
      <c r="F1105" s="8"/>
      <c r="G1105" s="13"/>
    </row>
    <row r="1106" spans="1:7" x14ac:dyDescent="0.3">
      <c r="A1106" s="11"/>
      <c r="B1106" s="8"/>
      <c r="C1106" s="7" t="str">
        <f>IF(B1106="","",IFERROR(INDEX(Vidriería!$C$2:$C$301,MATCH(B1106,Vidriería!$A$2:$A$301,0))&amp;" "&amp;INDEX(Vidriería!$D$2:$D$301,MATCH(B1106,Vidriería!$A$2:$A$301,0)),"ID no existe"))</f>
        <v/>
      </c>
      <c r="D1106" s="8"/>
      <c r="E1106" s="8"/>
      <c r="F1106" s="8"/>
      <c r="G1106" s="13"/>
    </row>
    <row r="1107" spans="1:7" x14ac:dyDescent="0.3">
      <c r="A1107" s="11"/>
      <c r="B1107" s="8"/>
      <c r="C1107" s="7" t="str">
        <f>IF(B1107="","",IFERROR(INDEX(Vidriería!$C$2:$C$301,MATCH(B1107,Vidriería!$A$2:$A$301,0))&amp;" "&amp;INDEX(Vidriería!$D$2:$D$301,MATCH(B1107,Vidriería!$A$2:$A$301,0)),"ID no existe"))</f>
        <v/>
      </c>
      <c r="D1107" s="8"/>
      <c r="E1107" s="8"/>
      <c r="F1107" s="8"/>
      <c r="G1107" s="13"/>
    </row>
    <row r="1108" spans="1:7" x14ac:dyDescent="0.3">
      <c r="A1108" s="11"/>
      <c r="B1108" s="8"/>
      <c r="C1108" s="7" t="str">
        <f>IF(B1108="","",IFERROR(INDEX(Vidriería!$C$2:$C$301,MATCH(B1108,Vidriería!$A$2:$A$301,0))&amp;" "&amp;INDEX(Vidriería!$D$2:$D$301,MATCH(B1108,Vidriería!$A$2:$A$301,0)),"ID no existe"))</f>
        <v/>
      </c>
      <c r="D1108" s="8"/>
      <c r="E1108" s="8"/>
      <c r="F1108" s="8"/>
      <c r="G1108" s="13"/>
    </row>
    <row r="1109" spans="1:7" x14ac:dyDescent="0.3">
      <c r="A1109" s="11"/>
      <c r="B1109" s="8"/>
      <c r="C1109" s="7" t="str">
        <f>IF(B1109="","",IFERROR(INDEX(Vidriería!$C$2:$C$301,MATCH(B1109,Vidriería!$A$2:$A$301,0))&amp;" "&amp;INDEX(Vidriería!$D$2:$D$301,MATCH(B1109,Vidriería!$A$2:$A$301,0)),"ID no existe"))</f>
        <v/>
      </c>
      <c r="D1109" s="8"/>
      <c r="E1109" s="8"/>
      <c r="F1109" s="8"/>
      <c r="G1109" s="13"/>
    </row>
    <row r="1110" spans="1:7" x14ac:dyDescent="0.3">
      <c r="A1110" s="11"/>
      <c r="B1110" s="8"/>
      <c r="C1110" s="7" t="str">
        <f>IF(B1110="","",IFERROR(INDEX(Vidriería!$C$2:$C$301,MATCH(B1110,Vidriería!$A$2:$A$301,0))&amp;" "&amp;INDEX(Vidriería!$D$2:$D$301,MATCH(B1110,Vidriería!$A$2:$A$301,0)),"ID no existe"))</f>
        <v/>
      </c>
      <c r="D1110" s="8"/>
      <c r="E1110" s="8"/>
      <c r="F1110" s="8"/>
      <c r="G1110" s="13"/>
    </row>
    <row r="1111" spans="1:7" x14ac:dyDescent="0.3">
      <c r="A1111" s="11"/>
      <c r="B1111" s="8"/>
      <c r="C1111" s="7" t="str">
        <f>IF(B1111="","",IFERROR(INDEX(Vidriería!$C$2:$C$301,MATCH(B1111,Vidriería!$A$2:$A$301,0))&amp;" "&amp;INDEX(Vidriería!$D$2:$D$301,MATCH(B1111,Vidriería!$A$2:$A$301,0)),"ID no existe"))</f>
        <v/>
      </c>
      <c r="D1111" s="8"/>
      <c r="E1111" s="8"/>
      <c r="F1111" s="8"/>
      <c r="G1111" s="13"/>
    </row>
    <row r="1112" spans="1:7" x14ac:dyDescent="0.3">
      <c r="A1112" s="11"/>
      <c r="B1112" s="8"/>
      <c r="C1112" s="7" t="str">
        <f>IF(B1112="","",IFERROR(INDEX(Vidriería!$C$2:$C$301,MATCH(B1112,Vidriería!$A$2:$A$301,0))&amp;" "&amp;INDEX(Vidriería!$D$2:$D$301,MATCH(B1112,Vidriería!$A$2:$A$301,0)),"ID no existe"))</f>
        <v/>
      </c>
      <c r="D1112" s="8"/>
      <c r="E1112" s="8"/>
      <c r="F1112" s="8"/>
      <c r="G1112" s="13"/>
    </row>
    <row r="1113" spans="1:7" x14ac:dyDescent="0.3">
      <c r="A1113" s="11"/>
      <c r="B1113" s="8"/>
      <c r="C1113" s="7" t="str">
        <f>IF(B1113="","",IFERROR(INDEX(Vidriería!$C$2:$C$301,MATCH(B1113,Vidriería!$A$2:$A$301,0))&amp;" "&amp;INDEX(Vidriería!$D$2:$D$301,MATCH(B1113,Vidriería!$A$2:$A$301,0)),"ID no existe"))</f>
        <v/>
      </c>
      <c r="D1113" s="8"/>
      <c r="E1113" s="8"/>
      <c r="F1113" s="8"/>
      <c r="G1113" s="13"/>
    </row>
    <row r="1114" spans="1:7" x14ac:dyDescent="0.3">
      <c r="A1114" s="11"/>
      <c r="B1114" s="8"/>
      <c r="C1114" s="7" t="str">
        <f>IF(B1114="","",IFERROR(INDEX(Vidriería!$C$2:$C$301,MATCH(B1114,Vidriería!$A$2:$A$301,0))&amp;" "&amp;INDEX(Vidriería!$D$2:$D$301,MATCH(B1114,Vidriería!$A$2:$A$301,0)),"ID no existe"))</f>
        <v/>
      </c>
      <c r="D1114" s="8"/>
      <c r="E1114" s="8"/>
      <c r="F1114" s="8"/>
      <c r="G1114" s="13"/>
    </row>
    <row r="1115" spans="1:7" x14ac:dyDescent="0.3">
      <c r="A1115" s="11"/>
      <c r="B1115" s="8"/>
      <c r="C1115" s="7" t="str">
        <f>IF(B1115="","",IFERROR(INDEX(Vidriería!$C$2:$C$301,MATCH(B1115,Vidriería!$A$2:$A$301,0))&amp;" "&amp;INDEX(Vidriería!$D$2:$D$301,MATCH(B1115,Vidriería!$A$2:$A$301,0)),"ID no existe"))</f>
        <v/>
      </c>
      <c r="D1115" s="8"/>
      <c r="E1115" s="8"/>
      <c r="F1115" s="8"/>
      <c r="G1115" s="13"/>
    </row>
    <row r="1116" spans="1:7" x14ac:dyDescent="0.3">
      <c r="A1116" s="11"/>
      <c r="B1116" s="8"/>
      <c r="C1116" s="7" t="str">
        <f>IF(B1116="","",IFERROR(INDEX(Vidriería!$C$2:$C$301,MATCH(B1116,Vidriería!$A$2:$A$301,0))&amp;" "&amp;INDEX(Vidriería!$D$2:$D$301,MATCH(B1116,Vidriería!$A$2:$A$301,0)),"ID no existe"))</f>
        <v/>
      </c>
      <c r="D1116" s="8"/>
      <c r="E1116" s="8"/>
      <c r="F1116" s="8"/>
      <c r="G1116" s="13"/>
    </row>
    <row r="1117" spans="1:7" x14ac:dyDescent="0.3">
      <c r="A1117" s="11"/>
      <c r="B1117" s="8"/>
      <c r="C1117" s="7" t="str">
        <f>IF(B1117="","",IFERROR(INDEX(Vidriería!$C$2:$C$301,MATCH(B1117,Vidriería!$A$2:$A$301,0))&amp;" "&amp;INDEX(Vidriería!$D$2:$D$301,MATCH(B1117,Vidriería!$A$2:$A$301,0)),"ID no existe"))</f>
        <v/>
      </c>
      <c r="D1117" s="8"/>
      <c r="E1117" s="8"/>
      <c r="F1117" s="8"/>
      <c r="G1117" s="13"/>
    </row>
    <row r="1118" spans="1:7" x14ac:dyDescent="0.3">
      <c r="A1118" s="11"/>
      <c r="B1118" s="8"/>
      <c r="C1118" s="7" t="str">
        <f>IF(B1118="","",IFERROR(INDEX(Vidriería!$C$2:$C$301,MATCH(B1118,Vidriería!$A$2:$A$301,0))&amp;" "&amp;INDEX(Vidriería!$D$2:$D$301,MATCH(B1118,Vidriería!$A$2:$A$301,0)),"ID no existe"))</f>
        <v/>
      </c>
      <c r="D1118" s="8"/>
      <c r="E1118" s="8"/>
      <c r="F1118" s="8"/>
      <c r="G1118" s="13"/>
    </row>
    <row r="1119" spans="1:7" x14ac:dyDescent="0.3">
      <c r="A1119" s="11"/>
      <c r="B1119" s="8"/>
      <c r="C1119" s="7" t="str">
        <f>IF(B1119="","",IFERROR(INDEX(Vidriería!$C$2:$C$301,MATCH(B1119,Vidriería!$A$2:$A$301,0))&amp;" "&amp;INDEX(Vidriería!$D$2:$D$301,MATCH(B1119,Vidriería!$A$2:$A$301,0)),"ID no existe"))</f>
        <v/>
      </c>
      <c r="D1119" s="8"/>
      <c r="E1119" s="8"/>
      <c r="F1119" s="8"/>
      <c r="G1119" s="13"/>
    </row>
    <row r="1120" spans="1:7" x14ac:dyDescent="0.3">
      <c r="A1120" s="11"/>
      <c r="B1120" s="8"/>
      <c r="C1120" s="7" t="str">
        <f>IF(B1120="","",IFERROR(INDEX(Vidriería!$C$2:$C$301,MATCH(B1120,Vidriería!$A$2:$A$301,0))&amp;" "&amp;INDEX(Vidriería!$D$2:$D$301,MATCH(B1120,Vidriería!$A$2:$A$301,0)),"ID no existe"))</f>
        <v/>
      </c>
      <c r="D1120" s="8"/>
      <c r="E1120" s="8"/>
      <c r="F1120" s="8"/>
      <c r="G1120" s="13"/>
    </row>
    <row r="1121" spans="1:7" x14ac:dyDescent="0.3">
      <c r="A1121" s="11"/>
      <c r="B1121" s="8"/>
      <c r="C1121" s="7" t="str">
        <f>IF(B1121="","",IFERROR(INDEX(Vidriería!$C$2:$C$301,MATCH(B1121,Vidriería!$A$2:$A$301,0))&amp;" "&amp;INDEX(Vidriería!$D$2:$D$301,MATCH(B1121,Vidriería!$A$2:$A$301,0)),"ID no existe"))</f>
        <v/>
      </c>
      <c r="D1121" s="8"/>
      <c r="E1121" s="8"/>
      <c r="F1121" s="8"/>
      <c r="G1121" s="13"/>
    </row>
    <row r="1122" spans="1:7" x14ac:dyDescent="0.3">
      <c r="A1122" s="11"/>
      <c r="B1122" s="8"/>
      <c r="C1122" s="7" t="str">
        <f>IF(B1122="","",IFERROR(INDEX(Vidriería!$C$2:$C$301,MATCH(B1122,Vidriería!$A$2:$A$301,0))&amp;" "&amp;INDEX(Vidriería!$D$2:$D$301,MATCH(B1122,Vidriería!$A$2:$A$301,0)),"ID no existe"))</f>
        <v/>
      </c>
      <c r="D1122" s="8"/>
      <c r="E1122" s="8"/>
      <c r="F1122" s="8"/>
      <c r="G1122" s="13"/>
    </row>
    <row r="1123" spans="1:7" x14ac:dyDescent="0.3">
      <c r="A1123" s="11"/>
      <c r="B1123" s="8"/>
      <c r="C1123" s="7" t="str">
        <f>IF(B1123="","",IFERROR(INDEX(Vidriería!$C$2:$C$301,MATCH(B1123,Vidriería!$A$2:$A$301,0))&amp;" "&amp;INDEX(Vidriería!$D$2:$D$301,MATCH(B1123,Vidriería!$A$2:$A$301,0)),"ID no existe"))</f>
        <v/>
      </c>
      <c r="D1123" s="8"/>
      <c r="E1123" s="8"/>
      <c r="F1123" s="8"/>
      <c r="G1123" s="13"/>
    </row>
    <row r="1124" spans="1:7" x14ac:dyDescent="0.3">
      <c r="A1124" s="11"/>
      <c r="B1124" s="8"/>
      <c r="C1124" s="7" t="str">
        <f>IF(B1124="","",IFERROR(INDEX(Vidriería!$C$2:$C$301,MATCH(B1124,Vidriería!$A$2:$A$301,0))&amp;" "&amp;INDEX(Vidriería!$D$2:$D$301,MATCH(B1124,Vidriería!$A$2:$A$301,0)),"ID no existe"))</f>
        <v/>
      </c>
      <c r="D1124" s="8"/>
      <c r="E1124" s="8"/>
      <c r="F1124" s="8"/>
      <c r="G1124" s="13"/>
    </row>
    <row r="1125" spans="1:7" x14ac:dyDescent="0.3">
      <c r="A1125" s="11"/>
      <c r="B1125" s="8"/>
      <c r="C1125" s="7" t="str">
        <f>IF(B1125="","",IFERROR(INDEX(Vidriería!$C$2:$C$301,MATCH(B1125,Vidriería!$A$2:$A$301,0))&amp;" "&amp;INDEX(Vidriería!$D$2:$D$301,MATCH(B1125,Vidriería!$A$2:$A$301,0)),"ID no existe"))</f>
        <v/>
      </c>
      <c r="D1125" s="8"/>
      <c r="E1125" s="8"/>
      <c r="F1125" s="8"/>
      <c r="G1125" s="13"/>
    </row>
    <row r="1126" spans="1:7" x14ac:dyDescent="0.3">
      <c r="A1126" s="11"/>
      <c r="B1126" s="8"/>
      <c r="C1126" s="7" t="str">
        <f>IF(B1126="","",IFERROR(INDEX(Vidriería!$C$2:$C$301,MATCH(B1126,Vidriería!$A$2:$A$301,0))&amp;" "&amp;INDEX(Vidriería!$D$2:$D$301,MATCH(B1126,Vidriería!$A$2:$A$301,0)),"ID no existe"))</f>
        <v/>
      </c>
      <c r="D1126" s="8"/>
      <c r="E1126" s="8"/>
      <c r="F1126" s="8"/>
      <c r="G1126" s="13"/>
    </row>
    <row r="1127" spans="1:7" x14ac:dyDescent="0.3">
      <c r="A1127" s="11"/>
      <c r="B1127" s="8"/>
      <c r="C1127" s="7" t="str">
        <f>IF(B1127="","",IFERROR(INDEX(Vidriería!$C$2:$C$301,MATCH(B1127,Vidriería!$A$2:$A$301,0))&amp;" "&amp;INDEX(Vidriería!$D$2:$D$301,MATCH(B1127,Vidriería!$A$2:$A$301,0)),"ID no existe"))</f>
        <v/>
      </c>
      <c r="D1127" s="8"/>
      <c r="E1127" s="8"/>
      <c r="F1127" s="8"/>
      <c r="G1127" s="13"/>
    </row>
    <row r="1128" spans="1:7" x14ac:dyDescent="0.3">
      <c r="A1128" s="11"/>
      <c r="B1128" s="8"/>
      <c r="C1128" s="7" t="str">
        <f>IF(B1128="","",IFERROR(INDEX(Vidriería!$C$2:$C$301,MATCH(B1128,Vidriería!$A$2:$A$301,0))&amp;" "&amp;INDEX(Vidriería!$D$2:$D$301,MATCH(B1128,Vidriería!$A$2:$A$301,0)),"ID no existe"))</f>
        <v/>
      </c>
      <c r="D1128" s="8"/>
      <c r="E1128" s="8"/>
      <c r="F1128" s="8"/>
      <c r="G1128" s="13"/>
    </row>
    <row r="1129" spans="1:7" x14ac:dyDescent="0.3">
      <c r="A1129" s="11"/>
      <c r="B1129" s="8"/>
      <c r="C1129" s="7" t="str">
        <f>IF(B1129="","",IFERROR(INDEX(Vidriería!$C$2:$C$301,MATCH(B1129,Vidriería!$A$2:$A$301,0))&amp;" "&amp;INDEX(Vidriería!$D$2:$D$301,MATCH(B1129,Vidriería!$A$2:$A$301,0)),"ID no existe"))</f>
        <v/>
      </c>
      <c r="D1129" s="8"/>
      <c r="E1129" s="8"/>
      <c r="F1129" s="8"/>
      <c r="G1129" s="13"/>
    </row>
    <row r="1130" spans="1:7" x14ac:dyDescent="0.3">
      <c r="A1130" s="11"/>
      <c r="B1130" s="8"/>
      <c r="C1130" s="7" t="str">
        <f>IF(B1130="","",IFERROR(INDEX(Vidriería!$C$2:$C$301,MATCH(B1130,Vidriería!$A$2:$A$301,0))&amp;" "&amp;INDEX(Vidriería!$D$2:$D$301,MATCH(B1130,Vidriería!$A$2:$A$301,0)),"ID no existe"))</f>
        <v/>
      </c>
      <c r="D1130" s="8"/>
      <c r="E1130" s="8"/>
      <c r="F1130" s="8"/>
      <c r="G1130" s="13"/>
    </row>
    <row r="1131" spans="1:7" x14ac:dyDescent="0.3">
      <c r="A1131" s="11"/>
      <c r="B1131" s="8"/>
      <c r="C1131" s="7" t="str">
        <f>IF(B1131="","",IFERROR(INDEX(Vidriería!$C$2:$C$301,MATCH(B1131,Vidriería!$A$2:$A$301,0))&amp;" "&amp;INDEX(Vidriería!$D$2:$D$301,MATCH(B1131,Vidriería!$A$2:$A$301,0)),"ID no existe"))</f>
        <v/>
      </c>
      <c r="D1131" s="8"/>
      <c r="E1131" s="8"/>
      <c r="F1131" s="8"/>
      <c r="G1131" s="13"/>
    </row>
    <row r="1132" spans="1:7" x14ac:dyDescent="0.3">
      <c r="A1132" s="11"/>
      <c r="B1132" s="8"/>
      <c r="C1132" s="7" t="str">
        <f>IF(B1132="","",IFERROR(INDEX(Vidriería!$C$2:$C$301,MATCH(B1132,Vidriería!$A$2:$A$301,0))&amp;" "&amp;INDEX(Vidriería!$D$2:$D$301,MATCH(B1132,Vidriería!$A$2:$A$301,0)),"ID no existe"))</f>
        <v/>
      </c>
      <c r="D1132" s="8"/>
      <c r="E1132" s="8"/>
      <c r="F1132" s="8"/>
      <c r="G1132" s="13"/>
    </row>
    <row r="1133" spans="1:7" x14ac:dyDescent="0.3">
      <c r="A1133" s="11"/>
      <c r="B1133" s="8"/>
      <c r="C1133" s="7" t="str">
        <f>IF(B1133="","",IFERROR(INDEX(Vidriería!$C$2:$C$301,MATCH(B1133,Vidriería!$A$2:$A$301,0))&amp;" "&amp;INDEX(Vidriería!$D$2:$D$301,MATCH(B1133,Vidriería!$A$2:$A$301,0)),"ID no existe"))</f>
        <v/>
      </c>
      <c r="D1133" s="8"/>
      <c r="E1133" s="8"/>
      <c r="F1133" s="8"/>
      <c r="G1133" s="13"/>
    </row>
    <row r="1134" spans="1:7" x14ac:dyDescent="0.3">
      <c r="A1134" s="11"/>
      <c r="B1134" s="8"/>
      <c r="C1134" s="7" t="str">
        <f>IF(B1134="","",IFERROR(INDEX(Vidriería!$C$2:$C$301,MATCH(B1134,Vidriería!$A$2:$A$301,0))&amp;" "&amp;INDEX(Vidriería!$D$2:$D$301,MATCH(B1134,Vidriería!$A$2:$A$301,0)),"ID no existe"))</f>
        <v/>
      </c>
      <c r="D1134" s="8"/>
      <c r="E1134" s="8"/>
      <c r="F1134" s="8"/>
      <c r="G1134" s="13"/>
    </row>
    <row r="1135" spans="1:7" x14ac:dyDescent="0.3">
      <c r="A1135" s="11"/>
      <c r="B1135" s="8"/>
      <c r="C1135" s="7" t="str">
        <f>IF(B1135="","",IFERROR(INDEX(Vidriería!$C$2:$C$301,MATCH(B1135,Vidriería!$A$2:$A$301,0))&amp;" "&amp;INDEX(Vidriería!$D$2:$D$301,MATCH(B1135,Vidriería!$A$2:$A$301,0)),"ID no existe"))</f>
        <v/>
      </c>
      <c r="D1135" s="8"/>
      <c r="E1135" s="8"/>
      <c r="F1135" s="8"/>
      <c r="G1135" s="13"/>
    </row>
    <row r="1136" spans="1:7" x14ac:dyDescent="0.3">
      <c r="A1136" s="11"/>
      <c r="B1136" s="8"/>
      <c r="C1136" s="7" t="str">
        <f>IF(B1136="","",IFERROR(INDEX(Vidriería!$C$2:$C$301,MATCH(B1136,Vidriería!$A$2:$A$301,0))&amp;" "&amp;INDEX(Vidriería!$D$2:$D$301,MATCH(B1136,Vidriería!$A$2:$A$301,0)),"ID no existe"))</f>
        <v/>
      </c>
      <c r="D1136" s="8"/>
      <c r="E1136" s="8"/>
      <c r="F1136" s="8"/>
      <c r="G1136" s="13"/>
    </row>
    <row r="1137" spans="1:7" x14ac:dyDescent="0.3">
      <c r="A1137" s="11"/>
      <c r="B1137" s="8"/>
      <c r="C1137" s="7" t="str">
        <f>IF(B1137="","",IFERROR(INDEX(Vidriería!$C$2:$C$301,MATCH(B1137,Vidriería!$A$2:$A$301,0))&amp;" "&amp;INDEX(Vidriería!$D$2:$D$301,MATCH(B1137,Vidriería!$A$2:$A$301,0)),"ID no existe"))</f>
        <v/>
      </c>
      <c r="D1137" s="8"/>
      <c r="E1137" s="8"/>
      <c r="F1137" s="8"/>
      <c r="G1137" s="13"/>
    </row>
    <row r="1138" spans="1:7" x14ac:dyDescent="0.3">
      <c r="A1138" s="11"/>
      <c r="B1138" s="8"/>
      <c r="C1138" s="7" t="str">
        <f>IF(B1138="","",IFERROR(INDEX(Vidriería!$C$2:$C$301,MATCH(B1138,Vidriería!$A$2:$A$301,0))&amp;" "&amp;INDEX(Vidriería!$D$2:$D$301,MATCH(B1138,Vidriería!$A$2:$A$301,0)),"ID no existe"))</f>
        <v/>
      </c>
      <c r="D1138" s="8"/>
      <c r="E1138" s="8"/>
      <c r="F1138" s="8"/>
      <c r="G1138" s="13"/>
    </row>
    <row r="1139" spans="1:7" x14ac:dyDescent="0.3">
      <c r="A1139" s="11"/>
      <c r="B1139" s="8"/>
      <c r="C1139" s="7" t="str">
        <f>IF(B1139="","",IFERROR(INDEX(Vidriería!$C$2:$C$301,MATCH(B1139,Vidriería!$A$2:$A$301,0))&amp;" "&amp;INDEX(Vidriería!$D$2:$D$301,MATCH(B1139,Vidriería!$A$2:$A$301,0)),"ID no existe"))</f>
        <v/>
      </c>
      <c r="D1139" s="8"/>
      <c r="E1139" s="8"/>
      <c r="F1139" s="8"/>
      <c r="G1139" s="13"/>
    </row>
    <row r="1140" spans="1:7" x14ac:dyDescent="0.3">
      <c r="A1140" s="11"/>
      <c r="B1140" s="8"/>
      <c r="C1140" s="7" t="str">
        <f>IF(B1140="","",IFERROR(INDEX(Vidriería!$C$2:$C$301,MATCH(B1140,Vidriería!$A$2:$A$301,0))&amp;" "&amp;INDEX(Vidriería!$D$2:$D$301,MATCH(B1140,Vidriería!$A$2:$A$301,0)),"ID no existe"))</f>
        <v/>
      </c>
      <c r="D1140" s="8"/>
      <c r="E1140" s="8"/>
      <c r="F1140" s="8"/>
      <c r="G1140" s="13"/>
    </row>
    <row r="1141" spans="1:7" x14ac:dyDescent="0.3">
      <c r="A1141" s="11"/>
      <c r="B1141" s="8"/>
      <c r="C1141" s="7" t="str">
        <f>IF(B1141="","",IFERROR(INDEX(Vidriería!$C$2:$C$301,MATCH(B1141,Vidriería!$A$2:$A$301,0))&amp;" "&amp;INDEX(Vidriería!$D$2:$D$301,MATCH(B1141,Vidriería!$A$2:$A$301,0)),"ID no existe"))</f>
        <v/>
      </c>
      <c r="D1141" s="8"/>
      <c r="E1141" s="8"/>
      <c r="F1141" s="8"/>
      <c r="G1141" s="13"/>
    </row>
    <row r="1142" spans="1:7" x14ac:dyDescent="0.3">
      <c r="A1142" s="11"/>
      <c r="B1142" s="8"/>
      <c r="C1142" s="7" t="str">
        <f>IF(B1142="","",IFERROR(INDEX(Vidriería!$C$2:$C$301,MATCH(B1142,Vidriería!$A$2:$A$301,0))&amp;" "&amp;INDEX(Vidriería!$D$2:$D$301,MATCH(B1142,Vidriería!$A$2:$A$301,0)),"ID no existe"))</f>
        <v/>
      </c>
      <c r="D1142" s="8"/>
      <c r="E1142" s="8"/>
      <c r="F1142" s="8"/>
      <c r="G1142" s="13"/>
    </row>
    <row r="1143" spans="1:7" x14ac:dyDescent="0.3">
      <c r="A1143" s="11"/>
      <c r="B1143" s="8"/>
      <c r="C1143" s="7" t="str">
        <f>IF(B1143="","",IFERROR(INDEX(Vidriería!$C$2:$C$301,MATCH(B1143,Vidriería!$A$2:$A$301,0))&amp;" "&amp;INDEX(Vidriería!$D$2:$D$301,MATCH(B1143,Vidriería!$A$2:$A$301,0)),"ID no existe"))</f>
        <v/>
      </c>
      <c r="D1143" s="8"/>
      <c r="E1143" s="8"/>
      <c r="F1143" s="8"/>
      <c r="G1143" s="13"/>
    </row>
    <row r="1144" spans="1:7" x14ac:dyDescent="0.3">
      <c r="A1144" s="11"/>
      <c r="B1144" s="8"/>
      <c r="C1144" s="7" t="str">
        <f>IF(B1144="","",IFERROR(INDEX(Vidriería!$C$2:$C$301,MATCH(B1144,Vidriería!$A$2:$A$301,0))&amp;" "&amp;INDEX(Vidriería!$D$2:$D$301,MATCH(B1144,Vidriería!$A$2:$A$301,0)),"ID no existe"))</f>
        <v/>
      </c>
      <c r="D1144" s="8"/>
      <c r="E1144" s="8"/>
      <c r="F1144" s="8"/>
      <c r="G1144" s="13"/>
    </row>
    <row r="1145" spans="1:7" x14ac:dyDescent="0.3">
      <c r="A1145" s="11"/>
      <c r="B1145" s="8"/>
      <c r="C1145" s="7" t="str">
        <f>IF(B1145="","",IFERROR(INDEX(Vidriería!$C$2:$C$301,MATCH(B1145,Vidriería!$A$2:$A$301,0))&amp;" "&amp;INDEX(Vidriería!$D$2:$D$301,MATCH(B1145,Vidriería!$A$2:$A$301,0)),"ID no existe"))</f>
        <v/>
      </c>
      <c r="D1145" s="8"/>
      <c r="E1145" s="8"/>
      <c r="F1145" s="8"/>
      <c r="G1145" s="13"/>
    </row>
    <row r="1146" spans="1:7" x14ac:dyDescent="0.3">
      <c r="A1146" s="11"/>
      <c r="B1146" s="8"/>
      <c r="C1146" s="7" t="str">
        <f>IF(B1146="","",IFERROR(INDEX(Vidriería!$C$2:$C$301,MATCH(B1146,Vidriería!$A$2:$A$301,0))&amp;" "&amp;INDEX(Vidriería!$D$2:$D$301,MATCH(B1146,Vidriería!$A$2:$A$301,0)),"ID no existe"))</f>
        <v/>
      </c>
      <c r="D1146" s="8"/>
      <c r="E1146" s="8"/>
      <c r="F1146" s="8"/>
      <c r="G1146" s="13"/>
    </row>
    <row r="1147" spans="1:7" x14ac:dyDescent="0.3">
      <c r="A1147" s="11"/>
      <c r="B1147" s="8"/>
      <c r="C1147" s="7" t="str">
        <f>IF(B1147="","",IFERROR(INDEX(Vidriería!$C$2:$C$301,MATCH(B1147,Vidriería!$A$2:$A$301,0))&amp;" "&amp;INDEX(Vidriería!$D$2:$D$301,MATCH(B1147,Vidriería!$A$2:$A$301,0)),"ID no existe"))</f>
        <v/>
      </c>
      <c r="D1147" s="8"/>
      <c r="E1147" s="8"/>
      <c r="F1147" s="8"/>
      <c r="G1147" s="13"/>
    </row>
    <row r="1148" spans="1:7" x14ac:dyDescent="0.3">
      <c r="A1148" s="11"/>
      <c r="B1148" s="8"/>
      <c r="C1148" s="7" t="str">
        <f>IF(B1148="","",IFERROR(INDEX(Vidriería!$C$2:$C$301,MATCH(B1148,Vidriería!$A$2:$A$301,0))&amp;" "&amp;INDEX(Vidriería!$D$2:$D$301,MATCH(B1148,Vidriería!$A$2:$A$301,0)),"ID no existe"))</f>
        <v/>
      </c>
      <c r="D1148" s="8"/>
      <c r="E1148" s="8"/>
      <c r="F1148" s="8"/>
      <c r="G1148" s="13"/>
    </row>
    <row r="1149" spans="1:7" x14ac:dyDescent="0.3">
      <c r="A1149" s="11"/>
      <c r="B1149" s="8"/>
      <c r="C1149" s="7" t="str">
        <f>IF(B1149="","",IFERROR(INDEX(Vidriería!$C$2:$C$301,MATCH(B1149,Vidriería!$A$2:$A$301,0))&amp;" "&amp;INDEX(Vidriería!$D$2:$D$301,MATCH(B1149,Vidriería!$A$2:$A$301,0)),"ID no existe"))</f>
        <v/>
      </c>
      <c r="D1149" s="8"/>
      <c r="E1149" s="8"/>
      <c r="F1149" s="8"/>
      <c r="G1149" s="13"/>
    </row>
    <row r="1150" spans="1:7" x14ac:dyDescent="0.3">
      <c r="A1150" s="11"/>
      <c r="B1150" s="8"/>
      <c r="C1150" s="7" t="str">
        <f>IF(B1150="","",IFERROR(INDEX(Vidriería!$C$2:$C$301,MATCH(B1150,Vidriería!$A$2:$A$301,0))&amp;" "&amp;INDEX(Vidriería!$D$2:$D$301,MATCH(B1150,Vidriería!$A$2:$A$301,0)),"ID no existe"))</f>
        <v/>
      </c>
      <c r="D1150" s="8"/>
      <c r="E1150" s="8"/>
      <c r="F1150" s="8"/>
      <c r="G1150" s="13"/>
    </row>
    <row r="1151" spans="1:7" x14ac:dyDescent="0.3">
      <c r="A1151" s="11"/>
      <c r="B1151" s="8"/>
      <c r="C1151" s="7" t="str">
        <f>IF(B1151="","",IFERROR(INDEX(Vidriería!$C$2:$C$301,MATCH(B1151,Vidriería!$A$2:$A$301,0))&amp;" "&amp;INDEX(Vidriería!$D$2:$D$301,MATCH(B1151,Vidriería!$A$2:$A$301,0)),"ID no existe"))</f>
        <v/>
      </c>
      <c r="D1151" s="8"/>
      <c r="E1151" s="8"/>
      <c r="F1151" s="8"/>
      <c r="G1151" s="13"/>
    </row>
    <row r="1152" spans="1:7" x14ac:dyDescent="0.3">
      <c r="A1152" s="11"/>
      <c r="B1152" s="8"/>
      <c r="C1152" s="7" t="str">
        <f>IF(B1152="","",IFERROR(INDEX(Vidriería!$C$2:$C$301,MATCH(B1152,Vidriería!$A$2:$A$301,0))&amp;" "&amp;INDEX(Vidriería!$D$2:$D$301,MATCH(B1152,Vidriería!$A$2:$A$301,0)),"ID no existe"))</f>
        <v/>
      </c>
      <c r="D1152" s="8"/>
      <c r="E1152" s="8"/>
      <c r="F1152" s="8"/>
      <c r="G1152" s="13"/>
    </row>
    <row r="1153" spans="1:7" x14ac:dyDescent="0.3">
      <c r="A1153" s="11"/>
      <c r="B1153" s="8"/>
      <c r="C1153" s="7" t="str">
        <f>IF(B1153="","",IFERROR(INDEX(Vidriería!$C$2:$C$301,MATCH(B1153,Vidriería!$A$2:$A$301,0))&amp;" "&amp;INDEX(Vidriería!$D$2:$D$301,MATCH(B1153,Vidriería!$A$2:$A$301,0)),"ID no existe"))</f>
        <v/>
      </c>
      <c r="D1153" s="8"/>
      <c r="E1153" s="8"/>
      <c r="F1153" s="8"/>
      <c r="G1153" s="13"/>
    </row>
    <row r="1154" spans="1:7" x14ac:dyDescent="0.3">
      <c r="A1154" s="11"/>
      <c r="B1154" s="8"/>
      <c r="C1154" s="7" t="str">
        <f>IF(B1154="","",IFERROR(INDEX(Vidriería!$C$2:$C$301,MATCH(B1154,Vidriería!$A$2:$A$301,0))&amp;" "&amp;INDEX(Vidriería!$D$2:$D$301,MATCH(B1154,Vidriería!$A$2:$A$301,0)),"ID no existe"))</f>
        <v/>
      </c>
      <c r="D1154" s="8"/>
      <c r="E1154" s="8"/>
      <c r="F1154" s="8"/>
      <c r="G1154" s="13"/>
    </row>
    <row r="1155" spans="1:7" x14ac:dyDescent="0.3">
      <c r="A1155" s="11"/>
      <c r="B1155" s="8"/>
      <c r="C1155" s="7" t="str">
        <f>IF(B1155="","",IFERROR(INDEX(Vidriería!$C$2:$C$301,MATCH(B1155,Vidriería!$A$2:$A$301,0))&amp;" "&amp;INDEX(Vidriería!$D$2:$D$301,MATCH(B1155,Vidriería!$A$2:$A$301,0)),"ID no existe"))</f>
        <v/>
      </c>
      <c r="D1155" s="8"/>
      <c r="E1155" s="8"/>
      <c r="F1155" s="8"/>
      <c r="G1155" s="13"/>
    </row>
    <row r="1156" spans="1:7" x14ac:dyDescent="0.3">
      <c r="A1156" s="11"/>
      <c r="B1156" s="8"/>
      <c r="C1156" s="7" t="str">
        <f>IF(B1156="","",IFERROR(INDEX(Vidriería!$C$2:$C$301,MATCH(B1156,Vidriería!$A$2:$A$301,0))&amp;" "&amp;INDEX(Vidriería!$D$2:$D$301,MATCH(B1156,Vidriería!$A$2:$A$301,0)),"ID no existe"))</f>
        <v/>
      </c>
      <c r="D1156" s="8"/>
      <c r="E1156" s="8"/>
      <c r="F1156" s="8"/>
      <c r="G1156" s="13"/>
    </row>
    <row r="1157" spans="1:7" x14ac:dyDescent="0.3">
      <c r="A1157" s="11"/>
      <c r="B1157" s="8"/>
      <c r="C1157" s="7" t="str">
        <f>IF(B1157="","",IFERROR(INDEX(Vidriería!$C$2:$C$301,MATCH(B1157,Vidriería!$A$2:$A$301,0))&amp;" "&amp;INDEX(Vidriería!$D$2:$D$301,MATCH(B1157,Vidriería!$A$2:$A$301,0)),"ID no existe"))</f>
        <v/>
      </c>
      <c r="D1157" s="8"/>
      <c r="E1157" s="8"/>
      <c r="F1157" s="8"/>
      <c r="G1157" s="13"/>
    </row>
    <row r="1158" spans="1:7" x14ac:dyDescent="0.3">
      <c r="A1158" s="11"/>
      <c r="B1158" s="8"/>
      <c r="C1158" s="7" t="str">
        <f>IF(B1158="","",IFERROR(INDEX(Vidriería!$C$2:$C$301,MATCH(B1158,Vidriería!$A$2:$A$301,0))&amp;" "&amp;INDEX(Vidriería!$D$2:$D$301,MATCH(B1158,Vidriería!$A$2:$A$301,0)),"ID no existe"))</f>
        <v/>
      </c>
      <c r="D1158" s="8"/>
      <c r="E1158" s="8"/>
      <c r="F1158" s="8"/>
      <c r="G1158" s="13"/>
    </row>
    <row r="1159" spans="1:7" x14ac:dyDescent="0.3">
      <c r="A1159" s="11"/>
      <c r="B1159" s="8"/>
      <c r="C1159" s="7" t="str">
        <f>IF(B1159="","",IFERROR(INDEX(Vidriería!$C$2:$C$301,MATCH(B1159,Vidriería!$A$2:$A$301,0))&amp;" "&amp;INDEX(Vidriería!$D$2:$D$301,MATCH(B1159,Vidriería!$A$2:$A$301,0)),"ID no existe"))</f>
        <v/>
      </c>
      <c r="D1159" s="8"/>
      <c r="E1159" s="8"/>
      <c r="F1159" s="8"/>
      <c r="G1159" s="13"/>
    </row>
    <row r="1160" spans="1:7" x14ac:dyDescent="0.3">
      <c r="A1160" s="11"/>
      <c r="B1160" s="8"/>
      <c r="C1160" s="7" t="str">
        <f>IF(B1160="","",IFERROR(INDEX(Vidriería!$C$2:$C$301,MATCH(B1160,Vidriería!$A$2:$A$301,0))&amp;" "&amp;INDEX(Vidriería!$D$2:$D$301,MATCH(B1160,Vidriería!$A$2:$A$301,0)),"ID no existe"))</f>
        <v/>
      </c>
      <c r="D1160" s="8"/>
      <c r="E1160" s="8"/>
      <c r="F1160" s="8"/>
      <c r="G1160" s="13"/>
    </row>
    <row r="1161" spans="1:7" x14ac:dyDescent="0.3">
      <c r="A1161" s="11"/>
      <c r="B1161" s="8"/>
      <c r="C1161" s="7" t="str">
        <f>IF(B1161="","",IFERROR(INDEX(Vidriería!$C$2:$C$301,MATCH(B1161,Vidriería!$A$2:$A$301,0))&amp;" "&amp;INDEX(Vidriería!$D$2:$D$301,MATCH(B1161,Vidriería!$A$2:$A$301,0)),"ID no existe"))</f>
        <v/>
      </c>
      <c r="D1161" s="8"/>
      <c r="E1161" s="8"/>
      <c r="F1161" s="8"/>
      <c r="G1161" s="13"/>
    </row>
    <row r="1162" spans="1:7" x14ac:dyDescent="0.3">
      <c r="A1162" s="11"/>
      <c r="B1162" s="8"/>
      <c r="C1162" s="7" t="str">
        <f>IF(B1162="","",IFERROR(INDEX(Vidriería!$C$2:$C$301,MATCH(B1162,Vidriería!$A$2:$A$301,0))&amp;" "&amp;INDEX(Vidriería!$D$2:$D$301,MATCH(B1162,Vidriería!$A$2:$A$301,0)),"ID no existe"))</f>
        <v/>
      </c>
      <c r="D1162" s="8"/>
      <c r="E1162" s="8"/>
      <c r="F1162" s="8"/>
      <c r="G1162" s="13"/>
    </row>
    <row r="1163" spans="1:7" x14ac:dyDescent="0.3">
      <c r="A1163" s="11"/>
      <c r="B1163" s="8"/>
      <c r="C1163" s="7" t="str">
        <f>IF(B1163="","",IFERROR(INDEX(Vidriería!$C$2:$C$301,MATCH(B1163,Vidriería!$A$2:$A$301,0))&amp;" "&amp;INDEX(Vidriería!$D$2:$D$301,MATCH(B1163,Vidriería!$A$2:$A$301,0)),"ID no existe"))</f>
        <v/>
      </c>
      <c r="D1163" s="8"/>
      <c r="E1163" s="8"/>
      <c r="F1163" s="8"/>
      <c r="G1163" s="13"/>
    </row>
    <row r="1164" spans="1:7" x14ac:dyDescent="0.3">
      <c r="A1164" s="11"/>
      <c r="B1164" s="8"/>
      <c r="C1164" s="7" t="str">
        <f>IF(B1164="","",IFERROR(INDEX(Vidriería!$C$2:$C$301,MATCH(B1164,Vidriería!$A$2:$A$301,0))&amp;" "&amp;INDEX(Vidriería!$D$2:$D$301,MATCH(B1164,Vidriería!$A$2:$A$301,0)),"ID no existe"))</f>
        <v/>
      </c>
      <c r="D1164" s="8"/>
      <c r="E1164" s="8"/>
      <c r="F1164" s="8"/>
      <c r="G1164" s="13"/>
    </row>
    <row r="1165" spans="1:7" x14ac:dyDescent="0.3">
      <c r="A1165" s="11"/>
      <c r="B1165" s="8"/>
      <c r="C1165" s="7" t="str">
        <f>IF(B1165="","",IFERROR(INDEX(Vidriería!$C$2:$C$301,MATCH(B1165,Vidriería!$A$2:$A$301,0))&amp;" "&amp;INDEX(Vidriería!$D$2:$D$301,MATCH(B1165,Vidriería!$A$2:$A$301,0)),"ID no existe"))</f>
        <v/>
      </c>
      <c r="D1165" s="8"/>
      <c r="E1165" s="8"/>
      <c r="F1165" s="8"/>
      <c r="G1165" s="13"/>
    </row>
    <row r="1166" spans="1:7" x14ac:dyDescent="0.3">
      <c r="A1166" s="11"/>
      <c r="B1166" s="8"/>
      <c r="C1166" s="7" t="str">
        <f>IF(B1166="","",IFERROR(INDEX(Vidriería!$C$2:$C$301,MATCH(B1166,Vidriería!$A$2:$A$301,0))&amp;" "&amp;INDEX(Vidriería!$D$2:$D$301,MATCH(B1166,Vidriería!$A$2:$A$301,0)),"ID no existe"))</f>
        <v/>
      </c>
      <c r="D1166" s="8"/>
      <c r="E1166" s="8"/>
      <c r="F1166" s="8"/>
      <c r="G1166" s="13"/>
    </row>
    <row r="1167" spans="1:7" x14ac:dyDescent="0.3">
      <c r="A1167" s="11"/>
      <c r="B1167" s="8"/>
      <c r="C1167" s="7" t="str">
        <f>IF(B1167="","",IFERROR(INDEX(Vidriería!$C$2:$C$301,MATCH(B1167,Vidriería!$A$2:$A$301,0))&amp;" "&amp;INDEX(Vidriería!$D$2:$D$301,MATCH(B1167,Vidriería!$A$2:$A$301,0)),"ID no existe"))</f>
        <v/>
      </c>
      <c r="D1167" s="8"/>
      <c r="E1167" s="8"/>
      <c r="F1167" s="8"/>
      <c r="G1167" s="13"/>
    </row>
    <row r="1168" spans="1:7" x14ac:dyDescent="0.3">
      <c r="A1168" s="11"/>
      <c r="B1168" s="8"/>
      <c r="C1168" s="7" t="str">
        <f>IF(B1168="","",IFERROR(INDEX(Vidriería!$C$2:$C$301,MATCH(B1168,Vidriería!$A$2:$A$301,0))&amp;" "&amp;INDEX(Vidriería!$D$2:$D$301,MATCH(B1168,Vidriería!$A$2:$A$301,0)),"ID no existe"))</f>
        <v/>
      </c>
      <c r="D1168" s="8"/>
      <c r="E1168" s="8"/>
      <c r="F1168" s="8"/>
      <c r="G1168" s="13"/>
    </row>
    <row r="1169" spans="1:7" x14ac:dyDescent="0.3">
      <c r="A1169" s="11"/>
      <c r="B1169" s="8"/>
      <c r="C1169" s="7" t="str">
        <f>IF(B1169="","",IFERROR(INDEX(Vidriería!$C$2:$C$301,MATCH(B1169,Vidriería!$A$2:$A$301,0))&amp;" "&amp;INDEX(Vidriería!$D$2:$D$301,MATCH(B1169,Vidriería!$A$2:$A$301,0)),"ID no existe"))</f>
        <v/>
      </c>
      <c r="D1169" s="8"/>
      <c r="E1169" s="8"/>
      <c r="F1169" s="8"/>
      <c r="G1169" s="13"/>
    </row>
    <row r="1170" spans="1:7" x14ac:dyDescent="0.3">
      <c r="A1170" s="11"/>
      <c r="B1170" s="8"/>
      <c r="C1170" s="7" t="str">
        <f>IF(B1170="","",IFERROR(INDEX(Vidriería!$C$2:$C$301,MATCH(B1170,Vidriería!$A$2:$A$301,0))&amp;" "&amp;INDEX(Vidriería!$D$2:$D$301,MATCH(B1170,Vidriería!$A$2:$A$301,0)),"ID no existe"))</f>
        <v/>
      </c>
      <c r="D1170" s="8"/>
      <c r="E1170" s="8"/>
      <c r="F1170" s="8"/>
      <c r="G1170" s="13"/>
    </row>
    <row r="1171" spans="1:7" x14ac:dyDescent="0.3">
      <c r="A1171" s="11"/>
      <c r="B1171" s="8"/>
      <c r="C1171" s="7" t="str">
        <f>IF(B1171="","",IFERROR(INDEX(Vidriería!$C$2:$C$301,MATCH(B1171,Vidriería!$A$2:$A$301,0))&amp;" "&amp;INDEX(Vidriería!$D$2:$D$301,MATCH(B1171,Vidriería!$A$2:$A$301,0)),"ID no existe"))</f>
        <v/>
      </c>
      <c r="D1171" s="8"/>
      <c r="E1171" s="8"/>
      <c r="F1171" s="8"/>
      <c r="G1171" s="13"/>
    </row>
    <row r="1172" spans="1:7" x14ac:dyDescent="0.3">
      <c r="A1172" s="11"/>
      <c r="B1172" s="8"/>
      <c r="C1172" s="7" t="str">
        <f>IF(B1172="","",IFERROR(INDEX(Vidriería!$C$2:$C$301,MATCH(B1172,Vidriería!$A$2:$A$301,0))&amp;" "&amp;INDEX(Vidriería!$D$2:$D$301,MATCH(B1172,Vidriería!$A$2:$A$301,0)),"ID no existe"))</f>
        <v/>
      </c>
      <c r="D1172" s="8"/>
      <c r="E1172" s="8"/>
      <c r="F1172" s="8"/>
      <c r="G1172" s="13"/>
    </row>
    <row r="1173" spans="1:7" x14ac:dyDescent="0.3">
      <c r="A1173" s="11"/>
      <c r="B1173" s="8"/>
      <c r="C1173" s="7" t="str">
        <f>IF(B1173="","",IFERROR(INDEX(Vidriería!$C$2:$C$301,MATCH(B1173,Vidriería!$A$2:$A$301,0))&amp;" "&amp;INDEX(Vidriería!$D$2:$D$301,MATCH(B1173,Vidriería!$A$2:$A$301,0)),"ID no existe"))</f>
        <v/>
      </c>
      <c r="D1173" s="8"/>
      <c r="E1173" s="8"/>
      <c r="F1173" s="8"/>
      <c r="G1173" s="13"/>
    </row>
    <row r="1174" spans="1:7" x14ac:dyDescent="0.3">
      <c r="A1174" s="11"/>
      <c r="B1174" s="8"/>
      <c r="C1174" s="7" t="str">
        <f>IF(B1174="","",IFERROR(INDEX(Vidriería!$C$2:$C$301,MATCH(B1174,Vidriería!$A$2:$A$301,0))&amp;" "&amp;INDEX(Vidriería!$D$2:$D$301,MATCH(B1174,Vidriería!$A$2:$A$301,0)),"ID no existe"))</f>
        <v/>
      </c>
      <c r="D1174" s="8"/>
      <c r="E1174" s="8"/>
      <c r="F1174" s="8"/>
      <c r="G1174" s="13"/>
    </row>
    <row r="1175" spans="1:7" x14ac:dyDescent="0.3">
      <c r="A1175" s="11"/>
      <c r="B1175" s="8"/>
      <c r="C1175" s="7" t="str">
        <f>IF(B1175="","",IFERROR(INDEX(Vidriería!$C$2:$C$301,MATCH(B1175,Vidriería!$A$2:$A$301,0))&amp;" "&amp;INDEX(Vidriería!$D$2:$D$301,MATCH(B1175,Vidriería!$A$2:$A$301,0)),"ID no existe"))</f>
        <v/>
      </c>
      <c r="D1175" s="8"/>
      <c r="E1175" s="8"/>
      <c r="F1175" s="8"/>
      <c r="G1175" s="13"/>
    </row>
    <row r="1176" spans="1:7" x14ac:dyDescent="0.3">
      <c r="A1176" s="11"/>
      <c r="B1176" s="8"/>
      <c r="C1176" s="7" t="str">
        <f>IF(B1176="","",IFERROR(INDEX(Vidriería!$C$2:$C$301,MATCH(B1176,Vidriería!$A$2:$A$301,0))&amp;" "&amp;INDEX(Vidriería!$D$2:$D$301,MATCH(B1176,Vidriería!$A$2:$A$301,0)),"ID no existe"))</f>
        <v/>
      </c>
      <c r="D1176" s="8"/>
      <c r="E1176" s="8"/>
      <c r="F1176" s="8"/>
      <c r="G1176" s="13"/>
    </row>
    <row r="1177" spans="1:7" x14ac:dyDescent="0.3">
      <c r="A1177" s="11"/>
      <c r="B1177" s="8"/>
      <c r="C1177" s="7" t="str">
        <f>IF(B1177="","",IFERROR(INDEX(Vidriería!$C$2:$C$301,MATCH(B1177,Vidriería!$A$2:$A$301,0))&amp;" "&amp;INDEX(Vidriería!$D$2:$D$301,MATCH(B1177,Vidriería!$A$2:$A$301,0)),"ID no existe"))</f>
        <v/>
      </c>
      <c r="D1177" s="8"/>
      <c r="E1177" s="8"/>
      <c r="F1177" s="8"/>
      <c r="G1177" s="13"/>
    </row>
    <row r="1178" spans="1:7" x14ac:dyDescent="0.3">
      <c r="A1178" s="11"/>
      <c r="B1178" s="8"/>
      <c r="C1178" s="7" t="str">
        <f>IF(B1178="","",IFERROR(INDEX(Vidriería!$C$2:$C$301,MATCH(B1178,Vidriería!$A$2:$A$301,0))&amp;" "&amp;INDEX(Vidriería!$D$2:$D$301,MATCH(B1178,Vidriería!$A$2:$A$301,0)),"ID no existe"))</f>
        <v/>
      </c>
      <c r="D1178" s="8"/>
      <c r="E1178" s="8"/>
      <c r="F1178" s="8"/>
      <c r="G1178" s="13"/>
    </row>
    <row r="1179" spans="1:7" x14ac:dyDescent="0.3">
      <c r="A1179" s="11"/>
      <c r="B1179" s="8"/>
      <c r="C1179" s="7" t="str">
        <f>IF(B1179="","",IFERROR(INDEX(Vidriería!$C$2:$C$301,MATCH(B1179,Vidriería!$A$2:$A$301,0))&amp;" "&amp;INDEX(Vidriería!$D$2:$D$301,MATCH(B1179,Vidriería!$A$2:$A$301,0)),"ID no existe"))</f>
        <v/>
      </c>
      <c r="D1179" s="8"/>
      <c r="E1179" s="8"/>
      <c r="F1179" s="8"/>
      <c r="G1179" s="13"/>
    </row>
    <row r="1180" spans="1:7" x14ac:dyDescent="0.3">
      <c r="A1180" s="11"/>
      <c r="B1180" s="8"/>
      <c r="C1180" s="7" t="str">
        <f>IF(B1180="","",IFERROR(INDEX(Vidriería!$C$2:$C$301,MATCH(B1180,Vidriería!$A$2:$A$301,0))&amp;" "&amp;INDEX(Vidriería!$D$2:$D$301,MATCH(B1180,Vidriería!$A$2:$A$301,0)),"ID no existe"))</f>
        <v/>
      </c>
      <c r="D1180" s="8"/>
      <c r="E1180" s="8"/>
      <c r="F1180" s="8"/>
      <c r="G1180" s="13"/>
    </row>
    <row r="1181" spans="1:7" x14ac:dyDescent="0.3">
      <c r="A1181" s="11"/>
      <c r="B1181" s="8"/>
      <c r="C1181" s="7" t="str">
        <f>IF(B1181="","",IFERROR(INDEX(Vidriería!$C$2:$C$301,MATCH(B1181,Vidriería!$A$2:$A$301,0))&amp;" "&amp;INDEX(Vidriería!$D$2:$D$301,MATCH(B1181,Vidriería!$A$2:$A$301,0)),"ID no existe"))</f>
        <v/>
      </c>
      <c r="D1181" s="8"/>
      <c r="E1181" s="8"/>
      <c r="F1181" s="8"/>
      <c r="G1181" s="13"/>
    </row>
    <row r="1182" spans="1:7" x14ac:dyDescent="0.3">
      <c r="A1182" s="11"/>
      <c r="B1182" s="8"/>
      <c r="C1182" s="7" t="str">
        <f>IF(B1182="","",IFERROR(INDEX(Vidriería!$C$2:$C$301,MATCH(B1182,Vidriería!$A$2:$A$301,0))&amp;" "&amp;INDEX(Vidriería!$D$2:$D$301,MATCH(B1182,Vidriería!$A$2:$A$301,0)),"ID no existe"))</f>
        <v/>
      </c>
      <c r="D1182" s="8"/>
      <c r="E1182" s="8"/>
      <c r="F1182" s="8"/>
      <c r="G1182" s="13"/>
    </row>
    <row r="1183" spans="1:7" x14ac:dyDescent="0.3">
      <c r="A1183" s="11"/>
      <c r="B1183" s="8"/>
      <c r="C1183" s="7" t="str">
        <f>IF(B1183="","",IFERROR(INDEX(Vidriería!$C$2:$C$301,MATCH(B1183,Vidriería!$A$2:$A$301,0))&amp;" "&amp;INDEX(Vidriería!$D$2:$D$301,MATCH(B1183,Vidriería!$A$2:$A$301,0)),"ID no existe"))</f>
        <v/>
      </c>
      <c r="D1183" s="8"/>
      <c r="E1183" s="8"/>
      <c r="F1183" s="8"/>
      <c r="G1183" s="13"/>
    </row>
    <row r="1184" spans="1:7" x14ac:dyDescent="0.3">
      <c r="A1184" s="11"/>
      <c r="B1184" s="8"/>
      <c r="C1184" s="7" t="str">
        <f>IF(B1184="","",IFERROR(INDEX(Vidriería!$C$2:$C$301,MATCH(B1184,Vidriería!$A$2:$A$301,0))&amp;" "&amp;INDEX(Vidriería!$D$2:$D$301,MATCH(B1184,Vidriería!$A$2:$A$301,0)),"ID no existe"))</f>
        <v/>
      </c>
      <c r="D1184" s="8"/>
      <c r="E1184" s="8"/>
      <c r="F1184" s="8"/>
      <c r="G1184" s="13"/>
    </row>
    <row r="1185" spans="1:7" x14ac:dyDescent="0.3">
      <c r="A1185" s="11"/>
      <c r="B1185" s="8"/>
      <c r="C1185" s="7" t="str">
        <f>IF(B1185="","",IFERROR(INDEX(Vidriería!$C$2:$C$301,MATCH(B1185,Vidriería!$A$2:$A$301,0))&amp;" "&amp;INDEX(Vidriería!$D$2:$D$301,MATCH(B1185,Vidriería!$A$2:$A$301,0)),"ID no existe"))</f>
        <v/>
      </c>
      <c r="D1185" s="8"/>
      <c r="E1185" s="8"/>
      <c r="F1185" s="8"/>
      <c r="G1185" s="13"/>
    </row>
    <row r="1186" spans="1:7" x14ac:dyDescent="0.3">
      <c r="A1186" s="11"/>
      <c r="B1186" s="8"/>
      <c r="C1186" s="7" t="str">
        <f>IF(B1186="","",IFERROR(INDEX(Vidriería!$C$2:$C$301,MATCH(B1186,Vidriería!$A$2:$A$301,0))&amp;" "&amp;INDEX(Vidriería!$D$2:$D$301,MATCH(B1186,Vidriería!$A$2:$A$301,0)),"ID no existe"))</f>
        <v/>
      </c>
      <c r="D1186" s="8"/>
      <c r="E1186" s="8"/>
      <c r="F1186" s="8"/>
      <c r="G1186" s="13"/>
    </row>
    <row r="1187" spans="1:7" x14ac:dyDescent="0.3">
      <c r="A1187" s="11"/>
      <c r="B1187" s="8"/>
      <c r="C1187" s="7" t="str">
        <f>IF(B1187="","",IFERROR(INDEX(Vidriería!$C$2:$C$301,MATCH(B1187,Vidriería!$A$2:$A$301,0))&amp;" "&amp;INDEX(Vidriería!$D$2:$D$301,MATCH(B1187,Vidriería!$A$2:$A$301,0)),"ID no existe"))</f>
        <v/>
      </c>
      <c r="D1187" s="8"/>
      <c r="E1187" s="8"/>
      <c r="F1187" s="8"/>
      <c r="G1187" s="13"/>
    </row>
    <row r="1188" spans="1:7" x14ac:dyDescent="0.3">
      <c r="A1188" s="11"/>
      <c r="B1188" s="8"/>
      <c r="C1188" s="7" t="str">
        <f>IF(B1188="","",IFERROR(INDEX(Vidriería!$C$2:$C$301,MATCH(B1188,Vidriería!$A$2:$A$301,0))&amp;" "&amp;INDEX(Vidriería!$D$2:$D$301,MATCH(B1188,Vidriería!$A$2:$A$301,0)),"ID no existe"))</f>
        <v/>
      </c>
      <c r="D1188" s="8"/>
      <c r="E1188" s="8"/>
      <c r="F1188" s="8"/>
      <c r="G1188" s="13"/>
    </row>
    <row r="1189" spans="1:7" x14ac:dyDescent="0.3">
      <c r="A1189" s="11"/>
      <c r="B1189" s="8"/>
      <c r="C1189" s="7" t="str">
        <f>IF(B1189="","",IFERROR(INDEX(Vidriería!$C$2:$C$301,MATCH(B1189,Vidriería!$A$2:$A$301,0))&amp;" "&amp;INDEX(Vidriería!$D$2:$D$301,MATCH(B1189,Vidriería!$A$2:$A$301,0)),"ID no existe"))</f>
        <v/>
      </c>
      <c r="D1189" s="8"/>
      <c r="E1189" s="8"/>
      <c r="F1189" s="8"/>
      <c r="G1189" s="13"/>
    </row>
    <row r="1190" spans="1:7" x14ac:dyDescent="0.3">
      <c r="A1190" s="11"/>
      <c r="B1190" s="8"/>
      <c r="C1190" s="7" t="str">
        <f>IF(B1190="","",IFERROR(INDEX(Vidriería!$C$2:$C$301,MATCH(B1190,Vidriería!$A$2:$A$301,0))&amp;" "&amp;INDEX(Vidriería!$D$2:$D$301,MATCH(B1190,Vidriería!$A$2:$A$301,0)),"ID no existe"))</f>
        <v/>
      </c>
      <c r="D1190" s="8"/>
      <c r="E1190" s="8"/>
      <c r="F1190" s="8"/>
      <c r="G1190" s="13"/>
    </row>
    <row r="1191" spans="1:7" x14ac:dyDescent="0.3">
      <c r="A1191" s="11"/>
      <c r="B1191" s="8"/>
      <c r="C1191" s="7" t="str">
        <f>IF(B1191="","",IFERROR(INDEX(Vidriería!$C$2:$C$301,MATCH(B1191,Vidriería!$A$2:$A$301,0))&amp;" "&amp;INDEX(Vidriería!$D$2:$D$301,MATCH(B1191,Vidriería!$A$2:$A$301,0)),"ID no existe"))</f>
        <v/>
      </c>
      <c r="D1191" s="8"/>
      <c r="E1191" s="8"/>
      <c r="F1191" s="8"/>
      <c r="G1191" s="13"/>
    </row>
    <row r="1192" spans="1:7" x14ac:dyDescent="0.3">
      <c r="A1192" s="11"/>
      <c r="B1192" s="8"/>
      <c r="C1192" s="7" t="str">
        <f>IF(B1192="","",IFERROR(INDEX(Vidriería!$C$2:$C$301,MATCH(B1192,Vidriería!$A$2:$A$301,0))&amp;" "&amp;INDEX(Vidriería!$D$2:$D$301,MATCH(B1192,Vidriería!$A$2:$A$301,0)),"ID no existe"))</f>
        <v/>
      </c>
      <c r="D1192" s="8"/>
      <c r="E1192" s="8"/>
      <c r="F1192" s="8"/>
      <c r="G1192" s="13"/>
    </row>
    <row r="1193" spans="1:7" x14ac:dyDescent="0.3">
      <c r="A1193" s="11"/>
      <c r="B1193" s="8"/>
      <c r="C1193" s="7" t="str">
        <f>IF(B1193="","",IFERROR(INDEX(Vidriería!$C$2:$C$301,MATCH(B1193,Vidriería!$A$2:$A$301,0))&amp;" "&amp;INDEX(Vidriería!$D$2:$D$301,MATCH(B1193,Vidriería!$A$2:$A$301,0)),"ID no existe"))</f>
        <v/>
      </c>
      <c r="D1193" s="8"/>
      <c r="E1193" s="8"/>
      <c r="F1193" s="8"/>
      <c r="G1193" s="13"/>
    </row>
    <row r="1194" spans="1:7" x14ac:dyDescent="0.3">
      <c r="A1194" s="11"/>
      <c r="B1194" s="8"/>
      <c r="C1194" s="7" t="str">
        <f>IF(B1194="","",IFERROR(INDEX(Vidriería!$C$2:$C$301,MATCH(B1194,Vidriería!$A$2:$A$301,0))&amp;" "&amp;INDEX(Vidriería!$D$2:$D$301,MATCH(B1194,Vidriería!$A$2:$A$301,0)),"ID no existe"))</f>
        <v/>
      </c>
      <c r="D1194" s="8"/>
      <c r="E1194" s="8"/>
      <c r="F1194" s="8"/>
      <c r="G1194" s="13"/>
    </row>
    <row r="1195" spans="1:7" x14ac:dyDescent="0.3">
      <c r="A1195" s="11"/>
      <c r="B1195" s="8"/>
      <c r="C1195" s="7" t="str">
        <f>IF(B1195="","",IFERROR(INDEX(Vidriería!$C$2:$C$301,MATCH(B1195,Vidriería!$A$2:$A$301,0))&amp;" "&amp;INDEX(Vidriería!$D$2:$D$301,MATCH(B1195,Vidriería!$A$2:$A$301,0)),"ID no existe"))</f>
        <v/>
      </c>
      <c r="D1195" s="8"/>
      <c r="E1195" s="8"/>
      <c r="F1195" s="8"/>
      <c r="G1195" s="13"/>
    </row>
    <row r="1196" spans="1:7" x14ac:dyDescent="0.3">
      <c r="A1196" s="11"/>
      <c r="B1196" s="8"/>
      <c r="C1196" s="7" t="str">
        <f>IF(B1196="","",IFERROR(INDEX(Vidriería!$C$2:$C$301,MATCH(B1196,Vidriería!$A$2:$A$301,0))&amp;" "&amp;INDEX(Vidriería!$D$2:$D$301,MATCH(B1196,Vidriería!$A$2:$A$301,0)),"ID no existe"))</f>
        <v/>
      </c>
      <c r="D1196" s="8"/>
      <c r="E1196" s="8"/>
      <c r="F1196" s="8"/>
      <c r="G1196" s="13"/>
    </row>
    <row r="1197" spans="1:7" x14ac:dyDescent="0.3">
      <c r="A1197" s="11"/>
      <c r="B1197" s="8"/>
      <c r="C1197" s="7" t="str">
        <f>IF(B1197="","",IFERROR(INDEX(Vidriería!$C$2:$C$301,MATCH(B1197,Vidriería!$A$2:$A$301,0))&amp;" "&amp;INDEX(Vidriería!$D$2:$D$301,MATCH(B1197,Vidriería!$A$2:$A$301,0)),"ID no existe"))</f>
        <v/>
      </c>
      <c r="D1197" s="8"/>
      <c r="E1197" s="8"/>
      <c r="F1197" s="8"/>
      <c r="G1197" s="13"/>
    </row>
    <row r="1198" spans="1:7" x14ac:dyDescent="0.3">
      <c r="A1198" s="11"/>
      <c r="B1198" s="8"/>
      <c r="C1198" s="7" t="str">
        <f>IF(B1198="","",IFERROR(INDEX(Vidriería!$C$2:$C$301,MATCH(B1198,Vidriería!$A$2:$A$301,0))&amp;" "&amp;INDEX(Vidriería!$D$2:$D$301,MATCH(B1198,Vidriería!$A$2:$A$301,0)),"ID no existe"))</f>
        <v/>
      </c>
      <c r="D1198" s="8"/>
      <c r="E1198" s="8"/>
      <c r="F1198" s="8"/>
      <c r="G1198" s="13"/>
    </row>
    <row r="1199" spans="1:7" x14ac:dyDescent="0.3">
      <c r="A1199" s="11"/>
      <c r="B1199" s="8"/>
      <c r="C1199" s="7" t="str">
        <f>IF(B1199="","",IFERROR(INDEX(Vidriería!$C$2:$C$301,MATCH(B1199,Vidriería!$A$2:$A$301,0))&amp;" "&amp;INDEX(Vidriería!$D$2:$D$301,MATCH(B1199,Vidriería!$A$2:$A$301,0)),"ID no existe"))</f>
        <v/>
      </c>
      <c r="D1199" s="8"/>
      <c r="E1199" s="8"/>
      <c r="F1199" s="8"/>
      <c r="G1199" s="13"/>
    </row>
    <row r="1200" spans="1:7" x14ac:dyDescent="0.3">
      <c r="A1200" s="11"/>
      <c r="B1200" s="8"/>
      <c r="C1200" s="7" t="str">
        <f>IF(B1200="","",IFERROR(INDEX(Vidriería!$C$2:$C$301,MATCH(B1200,Vidriería!$A$2:$A$301,0))&amp;" "&amp;INDEX(Vidriería!$D$2:$D$301,MATCH(B1200,Vidriería!$A$2:$A$301,0)),"ID no existe"))</f>
        <v/>
      </c>
      <c r="D1200" s="8"/>
      <c r="E1200" s="8"/>
      <c r="F1200" s="8"/>
      <c r="G1200" s="13"/>
    </row>
    <row r="1201" spans="1:7" x14ac:dyDescent="0.3">
      <c r="A1201" s="11"/>
      <c r="B1201" s="8"/>
      <c r="C1201" s="7" t="str">
        <f>IF(B1201="","",IFERROR(INDEX(Vidriería!$C$2:$C$301,MATCH(B1201,Vidriería!$A$2:$A$301,0))&amp;" "&amp;INDEX(Vidriería!$D$2:$D$301,MATCH(B1201,Vidriería!$A$2:$A$301,0)),"ID no existe"))</f>
        <v/>
      </c>
      <c r="D1201" s="8"/>
      <c r="E1201" s="8"/>
      <c r="F1201" s="8"/>
      <c r="G1201" s="13"/>
    </row>
    <row r="1202" spans="1:7" x14ac:dyDescent="0.3">
      <c r="A1202" s="11"/>
      <c r="B1202" s="8"/>
      <c r="C1202" s="7" t="str">
        <f>IF(B1202="","",IFERROR(INDEX(Vidriería!$C$2:$C$301,MATCH(B1202,Vidriería!$A$2:$A$301,0))&amp;" "&amp;INDEX(Vidriería!$D$2:$D$301,MATCH(B1202,Vidriería!$A$2:$A$301,0)),"ID no existe"))</f>
        <v/>
      </c>
      <c r="D1202" s="8"/>
      <c r="E1202" s="8"/>
      <c r="F1202" s="8"/>
      <c r="G1202" s="13"/>
    </row>
    <row r="1203" spans="1:7" x14ac:dyDescent="0.3">
      <c r="A1203" s="11"/>
      <c r="B1203" s="8"/>
      <c r="C1203" s="7" t="str">
        <f>IF(B1203="","",IFERROR(INDEX(Vidriería!$C$2:$C$301,MATCH(B1203,Vidriería!$A$2:$A$301,0))&amp;" "&amp;INDEX(Vidriería!$D$2:$D$301,MATCH(B1203,Vidriería!$A$2:$A$301,0)),"ID no existe"))</f>
        <v/>
      </c>
      <c r="D1203" s="8"/>
      <c r="E1203" s="8"/>
      <c r="F1203" s="8"/>
      <c r="G1203" s="13"/>
    </row>
    <row r="1204" spans="1:7" x14ac:dyDescent="0.3">
      <c r="A1204" s="11"/>
      <c r="B1204" s="8"/>
      <c r="C1204" s="7" t="str">
        <f>IF(B1204="","",IFERROR(INDEX(Vidriería!$C$2:$C$301,MATCH(B1204,Vidriería!$A$2:$A$301,0))&amp;" "&amp;INDEX(Vidriería!$D$2:$D$301,MATCH(B1204,Vidriería!$A$2:$A$301,0)),"ID no existe"))</f>
        <v/>
      </c>
      <c r="D1204" s="8"/>
      <c r="E1204" s="8"/>
      <c r="F1204" s="8"/>
      <c r="G1204" s="13"/>
    </row>
    <row r="1205" spans="1:7" x14ac:dyDescent="0.3">
      <c r="A1205" s="11"/>
      <c r="B1205" s="8"/>
      <c r="C1205" s="7" t="str">
        <f>IF(B1205="","",IFERROR(INDEX(Vidriería!$C$2:$C$301,MATCH(B1205,Vidriería!$A$2:$A$301,0))&amp;" "&amp;INDEX(Vidriería!$D$2:$D$301,MATCH(B1205,Vidriería!$A$2:$A$301,0)),"ID no existe"))</f>
        <v/>
      </c>
      <c r="D1205" s="8"/>
      <c r="E1205" s="8"/>
      <c r="F1205" s="8"/>
      <c r="G1205" s="13"/>
    </row>
    <row r="1206" spans="1:7" x14ac:dyDescent="0.3">
      <c r="A1206" s="11"/>
      <c r="B1206" s="8"/>
      <c r="C1206" s="7" t="str">
        <f>IF(B1206="","",IFERROR(INDEX(Vidriería!$C$2:$C$301,MATCH(B1206,Vidriería!$A$2:$A$301,0))&amp;" "&amp;INDEX(Vidriería!$D$2:$D$301,MATCH(B1206,Vidriería!$A$2:$A$301,0)),"ID no existe"))</f>
        <v/>
      </c>
      <c r="D1206" s="8"/>
      <c r="E1206" s="8"/>
      <c r="F1206" s="8"/>
      <c r="G1206" s="13"/>
    </row>
    <row r="1207" spans="1:7" x14ac:dyDescent="0.3">
      <c r="A1207" s="11"/>
      <c r="B1207" s="8"/>
      <c r="C1207" s="7" t="str">
        <f>IF(B1207="","",IFERROR(INDEX(Vidriería!$C$2:$C$301,MATCH(B1207,Vidriería!$A$2:$A$301,0))&amp;" "&amp;INDEX(Vidriería!$D$2:$D$301,MATCH(B1207,Vidriería!$A$2:$A$301,0)),"ID no existe"))</f>
        <v/>
      </c>
      <c r="D1207" s="8"/>
      <c r="E1207" s="8"/>
      <c r="F1207" s="8"/>
      <c r="G1207" s="13"/>
    </row>
    <row r="1208" spans="1:7" x14ac:dyDescent="0.3">
      <c r="A1208" s="11"/>
      <c r="B1208" s="8"/>
      <c r="C1208" s="7" t="str">
        <f>IF(B1208="","",IFERROR(INDEX(Vidriería!$C$2:$C$301,MATCH(B1208,Vidriería!$A$2:$A$301,0))&amp;" "&amp;INDEX(Vidriería!$D$2:$D$301,MATCH(B1208,Vidriería!$A$2:$A$301,0)),"ID no existe"))</f>
        <v/>
      </c>
      <c r="D1208" s="8"/>
      <c r="E1208" s="8"/>
      <c r="F1208" s="8"/>
      <c r="G1208" s="13"/>
    </row>
    <row r="1209" spans="1:7" x14ac:dyDescent="0.3">
      <c r="A1209" s="11"/>
      <c r="B1209" s="8"/>
      <c r="C1209" s="7" t="str">
        <f>IF(B1209="","",IFERROR(INDEX(Vidriería!$C$2:$C$301,MATCH(B1209,Vidriería!$A$2:$A$301,0))&amp;" "&amp;INDEX(Vidriería!$D$2:$D$301,MATCH(B1209,Vidriería!$A$2:$A$301,0)),"ID no existe"))</f>
        <v/>
      </c>
      <c r="D1209" s="8"/>
      <c r="E1209" s="8"/>
      <c r="F1209" s="8"/>
      <c r="G1209" s="13"/>
    </row>
    <row r="1210" spans="1:7" x14ac:dyDescent="0.3">
      <c r="A1210" s="11"/>
      <c r="B1210" s="8"/>
      <c r="C1210" s="7" t="str">
        <f>IF(B1210="","",IFERROR(INDEX(Vidriería!$C$2:$C$301,MATCH(B1210,Vidriería!$A$2:$A$301,0))&amp;" "&amp;INDEX(Vidriería!$D$2:$D$301,MATCH(B1210,Vidriería!$A$2:$A$301,0)),"ID no existe"))</f>
        <v/>
      </c>
      <c r="D1210" s="8"/>
      <c r="E1210" s="8"/>
      <c r="F1210" s="8"/>
      <c r="G1210" s="13"/>
    </row>
    <row r="1211" spans="1:7" x14ac:dyDescent="0.3">
      <c r="A1211" s="11"/>
      <c r="B1211" s="8"/>
      <c r="C1211" s="7" t="str">
        <f>IF(B1211="","",IFERROR(INDEX(Vidriería!$C$2:$C$301,MATCH(B1211,Vidriería!$A$2:$A$301,0))&amp;" "&amp;INDEX(Vidriería!$D$2:$D$301,MATCH(B1211,Vidriería!$A$2:$A$301,0)),"ID no existe"))</f>
        <v/>
      </c>
      <c r="D1211" s="8"/>
      <c r="E1211" s="8"/>
      <c r="F1211" s="8"/>
      <c r="G1211" s="13"/>
    </row>
    <row r="1212" spans="1:7" x14ac:dyDescent="0.3">
      <c r="A1212" s="11"/>
      <c r="B1212" s="8"/>
      <c r="C1212" s="7" t="str">
        <f>IF(B1212="","",IFERROR(INDEX(Vidriería!$C$2:$C$301,MATCH(B1212,Vidriería!$A$2:$A$301,0))&amp;" "&amp;INDEX(Vidriería!$D$2:$D$301,MATCH(B1212,Vidriería!$A$2:$A$301,0)),"ID no existe"))</f>
        <v/>
      </c>
      <c r="D1212" s="8"/>
      <c r="E1212" s="8"/>
      <c r="F1212" s="8"/>
      <c r="G1212" s="13"/>
    </row>
    <row r="1213" spans="1:7" x14ac:dyDescent="0.3">
      <c r="A1213" s="11"/>
      <c r="B1213" s="8"/>
      <c r="C1213" s="7" t="str">
        <f>IF(B1213="","",IFERROR(INDEX(Vidriería!$C$2:$C$301,MATCH(B1213,Vidriería!$A$2:$A$301,0))&amp;" "&amp;INDEX(Vidriería!$D$2:$D$301,MATCH(B1213,Vidriería!$A$2:$A$301,0)),"ID no existe"))</f>
        <v/>
      </c>
      <c r="D1213" s="8"/>
      <c r="E1213" s="8"/>
      <c r="F1213" s="8"/>
      <c r="G1213" s="13"/>
    </row>
    <row r="1214" spans="1:7" x14ac:dyDescent="0.3">
      <c r="A1214" s="11"/>
      <c r="B1214" s="8"/>
      <c r="C1214" s="7" t="str">
        <f>IF(B1214="","",IFERROR(INDEX(Vidriería!$C$2:$C$301,MATCH(B1214,Vidriería!$A$2:$A$301,0))&amp;" "&amp;INDEX(Vidriería!$D$2:$D$301,MATCH(B1214,Vidriería!$A$2:$A$301,0)),"ID no existe"))</f>
        <v/>
      </c>
      <c r="D1214" s="8"/>
      <c r="E1214" s="8"/>
      <c r="F1214" s="8"/>
      <c r="G1214" s="13"/>
    </row>
    <row r="1215" spans="1:7" x14ac:dyDescent="0.3">
      <c r="A1215" s="11"/>
      <c r="B1215" s="8"/>
      <c r="C1215" s="7" t="str">
        <f>IF(B1215="","",IFERROR(INDEX(Vidriería!$C$2:$C$301,MATCH(B1215,Vidriería!$A$2:$A$301,0))&amp;" "&amp;INDEX(Vidriería!$D$2:$D$301,MATCH(B1215,Vidriería!$A$2:$A$301,0)),"ID no existe"))</f>
        <v/>
      </c>
      <c r="D1215" s="8"/>
      <c r="E1215" s="8"/>
      <c r="F1215" s="8"/>
      <c r="G1215" s="13"/>
    </row>
    <row r="1216" spans="1:7" x14ac:dyDescent="0.3">
      <c r="A1216" s="11"/>
      <c r="B1216" s="8"/>
      <c r="C1216" s="7" t="str">
        <f>IF(B1216="","",IFERROR(INDEX(Vidriería!$C$2:$C$301,MATCH(B1216,Vidriería!$A$2:$A$301,0))&amp;" "&amp;INDEX(Vidriería!$D$2:$D$301,MATCH(B1216,Vidriería!$A$2:$A$301,0)),"ID no existe"))</f>
        <v/>
      </c>
      <c r="D1216" s="8"/>
      <c r="E1216" s="8"/>
      <c r="F1216" s="8"/>
      <c r="G1216" s="13"/>
    </row>
    <row r="1217" spans="1:7" x14ac:dyDescent="0.3">
      <c r="A1217" s="11"/>
      <c r="B1217" s="8"/>
      <c r="C1217" s="7" t="str">
        <f>IF(B1217="","",IFERROR(INDEX(Vidriería!$C$2:$C$301,MATCH(B1217,Vidriería!$A$2:$A$301,0))&amp;" "&amp;INDEX(Vidriería!$D$2:$D$301,MATCH(B1217,Vidriería!$A$2:$A$301,0)),"ID no existe"))</f>
        <v/>
      </c>
      <c r="D1217" s="8"/>
      <c r="E1217" s="8"/>
      <c r="F1217" s="8"/>
      <c r="G1217" s="13"/>
    </row>
    <row r="1218" spans="1:7" x14ac:dyDescent="0.3">
      <c r="A1218" s="11"/>
      <c r="B1218" s="8"/>
      <c r="C1218" s="7" t="str">
        <f>IF(B1218="","",IFERROR(INDEX(Vidriería!$C$2:$C$301,MATCH(B1218,Vidriería!$A$2:$A$301,0))&amp;" "&amp;INDEX(Vidriería!$D$2:$D$301,MATCH(B1218,Vidriería!$A$2:$A$301,0)),"ID no existe"))</f>
        <v/>
      </c>
      <c r="D1218" s="8"/>
      <c r="E1218" s="8"/>
      <c r="F1218" s="8"/>
      <c r="G1218" s="13"/>
    </row>
    <row r="1219" spans="1:7" x14ac:dyDescent="0.3">
      <c r="A1219" s="11"/>
      <c r="B1219" s="8"/>
      <c r="C1219" s="7" t="str">
        <f>IF(B1219="","",IFERROR(INDEX(Vidriería!$C$2:$C$301,MATCH(B1219,Vidriería!$A$2:$A$301,0))&amp;" "&amp;INDEX(Vidriería!$D$2:$D$301,MATCH(B1219,Vidriería!$A$2:$A$301,0)),"ID no existe"))</f>
        <v/>
      </c>
      <c r="D1219" s="8"/>
      <c r="E1219" s="8"/>
      <c r="F1219" s="8"/>
      <c r="G1219" s="13"/>
    </row>
    <row r="1220" spans="1:7" x14ac:dyDescent="0.3">
      <c r="A1220" s="11"/>
      <c r="B1220" s="8"/>
      <c r="C1220" s="7" t="str">
        <f>IF(B1220="","",IFERROR(INDEX(Vidriería!$C$2:$C$301,MATCH(B1220,Vidriería!$A$2:$A$301,0))&amp;" "&amp;INDEX(Vidriería!$D$2:$D$301,MATCH(B1220,Vidriería!$A$2:$A$301,0)),"ID no existe"))</f>
        <v/>
      </c>
      <c r="D1220" s="8"/>
      <c r="E1220" s="8"/>
      <c r="F1220" s="8"/>
      <c r="G1220" s="13"/>
    </row>
    <row r="1221" spans="1:7" x14ac:dyDescent="0.3">
      <c r="A1221" s="11"/>
      <c r="B1221" s="8"/>
      <c r="C1221" s="7" t="str">
        <f>IF(B1221="","",IFERROR(INDEX(Vidriería!$C$2:$C$301,MATCH(B1221,Vidriería!$A$2:$A$301,0))&amp;" "&amp;INDEX(Vidriería!$D$2:$D$301,MATCH(B1221,Vidriería!$A$2:$A$301,0)),"ID no existe"))</f>
        <v/>
      </c>
      <c r="D1221" s="8"/>
      <c r="E1221" s="8"/>
      <c r="F1221" s="8"/>
      <c r="G1221" s="13"/>
    </row>
    <row r="1222" spans="1:7" x14ac:dyDescent="0.3">
      <c r="A1222" s="11"/>
      <c r="B1222" s="8"/>
      <c r="C1222" s="7" t="str">
        <f>IF(B1222="","",IFERROR(INDEX(Vidriería!$C$2:$C$301,MATCH(B1222,Vidriería!$A$2:$A$301,0))&amp;" "&amp;INDEX(Vidriería!$D$2:$D$301,MATCH(B1222,Vidriería!$A$2:$A$301,0)),"ID no existe"))</f>
        <v/>
      </c>
      <c r="D1222" s="8"/>
      <c r="E1222" s="8"/>
      <c r="F1222" s="8"/>
      <c r="G1222" s="13"/>
    </row>
    <row r="1223" spans="1:7" x14ac:dyDescent="0.3">
      <c r="A1223" s="11"/>
      <c r="B1223" s="8"/>
      <c r="C1223" s="7" t="str">
        <f>IF(B1223="","",IFERROR(INDEX(Vidriería!$C$2:$C$301,MATCH(B1223,Vidriería!$A$2:$A$301,0))&amp;" "&amp;INDEX(Vidriería!$D$2:$D$301,MATCH(B1223,Vidriería!$A$2:$A$301,0)),"ID no existe"))</f>
        <v/>
      </c>
      <c r="D1223" s="8"/>
      <c r="E1223" s="8"/>
      <c r="F1223" s="8"/>
      <c r="G1223" s="13"/>
    </row>
    <row r="1224" spans="1:7" x14ac:dyDescent="0.3">
      <c r="A1224" s="11"/>
      <c r="B1224" s="8"/>
      <c r="C1224" s="7" t="str">
        <f>IF(B1224="","",IFERROR(INDEX(Vidriería!$C$2:$C$301,MATCH(B1224,Vidriería!$A$2:$A$301,0))&amp;" "&amp;INDEX(Vidriería!$D$2:$D$301,MATCH(B1224,Vidriería!$A$2:$A$301,0)),"ID no existe"))</f>
        <v/>
      </c>
      <c r="D1224" s="8"/>
      <c r="E1224" s="8"/>
      <c r="F1224" s="8"/>
      <c r="G1224" s="13"/>
    </row>
    <row r="1225" spans="1:7" x14ac:dyDescent="0.3">
      <c r="A1225" s="11"/>
      <c r="B1225" s="8"/>
      <c r="C1225" s="7" t="str">
        <f>IF(B1225="","",IFERROR(INDEX(Vidriería!$C$2:$C$301,MATCH(B1225,Vidriería!$A$2:$A$301,0))&amp;" "&amp;INDEX(Vidriería!$D$2:$D$301,MATCH(B1225,Vidriería!$A$2:$A$301,0)),"ID no existe"))</f>
        <v/>
      </c>
      <c r="D1225" s="8"/>
      <c r="E1225" s="8"/>
      <c r="F1225" s="8"/>
      <c r="G1225" s="13"/>
    </row>
    <row r="1226" spans="1:7" x14ac:dyDescent="0.3">
      <c r="A1226" s="11"/>
      <c r="B1226" s="8"/>
      <c r="C1226" s="7" t="str">
        <f>IF(B1226="","",IFERROR(INDEX(Vidriería!$C$2:$C$301,MATCH(B1226,Vidriería!$A$2:$A$301,0))&amp;" "&amp;INDEX(Vidriería!$D$2:$D$301,MATCH(B1226,Vidriería!$A$2:$A$301,0)),"ID no existe"))</f>
        <v/>
      </c>
      <c r="D1226" s="8"/>
      <c r="E1226" s="8"/>
      <c r="F1226" s="8"/>
      <c r="G1226" s="13"/>
    </row>
    <row r="1227" spans="1:7" x14ac:dyDescent="0.3">
      <c r="A1227" s="11"/>
      <c r="B1227" s="8"/>
      <c r="C1227" s="7" t="str">
        <f>IF(B1227="","",IFERROR(INDEX(Vidriería!$C$2:$C$301,MATCH(B1227,Vidriería!$A$2:$A$301,0))&amp;" "&amp;INDEX(Vidriería!$D$2:$D$301,MATCH(B1227,Vidriería!$A$2:$A$301,0)),"ID no existe"))</f>
        <v/>
      </c>
      <c r="D1227" s="8"/>
      <c r="E1227" s="8"/>
      <c r="F1227" s="8"/>
      <c r="G1227" s="13"/>
    </row>
    <row r="1228" spans="1:7" x14ac:dyDescent="0.3">
      <c r="A1228" s="11"/>
      <c r="B1228" s="8"/>
      <c r="C1228" s="7" t="str">
        <f>IF(B1228="","",IFERROR(INDEX(Vidriería!$C$2:$C$301,MATCH(B1228,Vidriería!$A$2:$A$301,0))&amp;" "&amp;INDEX(Vidriería!$D$2:$D$301,MATCH(B1228,Vidriería!$A$2:$A$301,0)),"ID no existe"))</f>
        <v/>
      </c>
      <c r="D1228" s="8"/>
      <c r="E1228" s="8"/>
      <c r="F1228" s="8"/>
      <c r="G1228" s="13"/>
    </row>
    <row r="1229" spans="1:7" x14ac:dyDescent="0.3">
      <c r="A1229" s="11"/>
      <c r="B1229" s="8"/>
      <c r="C1229" s="7" t="str">
        <f>IF(B1229="","",IFERROR(INDEX(Vidriería!$C$2:$C$301,MATCH(B1229,Vidriería!$A$2:$A$301,0))&amp;" "&amp;INDEX(Vidriería!$D$2:$D$301,MATCH(B1229,Vidriería!$A$2:$A$301,0)),"ID no existe"))</f>
        <v/>
      </c>
      <c r="D1229" s="8"/>
      <c r="E1229" s="8"/>
      <c r="F1229" s="8"/>
      <c r="G1229" s="13"/>
    </row>
    <row r="1230" spans="1:7" x14ac:dyDescent="0.3">
      <c r="A1230" s="11"/>
      <c r="B1230" s="8"/>
      <c r="C1230" s="7" t="str">
        <f>IF(B1230="","",IFERROR(INDEX(Vidriería!$C$2:$C$301,MATCH(B1230,Vidriería!$A$2:$A$301,0))&amp;" "&amp;INDEX(Vidriería!$D$2:$D$301,MATCH(B1230,Vidriería!$A$2:$A$301,0)),"ID no existe"))</f>
        <v/>
      </c>
      <c r="D1230" s="8"/>
      <c r="E1230" s="8"/>
      <c r="F1230" s="8"/>
      <c r="G1230" s="13"/>
    </row>
    <row r="1231" spans="1:7" x14ac:dyDescent="0.3">
      <c r="A1231" s="11"/>
      <c r="B1231" s="8"/>
      <c r="C1231" s="7" t="str">
        <f>IF(B1231="","",IFERROR(INDEX(Vidriería!$C$2:$C$301,MATCH(B1231,Vidriería!$A$2:$A$301,0))&amp;" "&amp;INDEX(Vidriería!$D$2:$D$301,MATCH(B1231,Vidriería!$A$2:$A$301,0)),"ID no existe"))</f>
        <v/>
      </c>
      <c r="D1231" s="8"/>
      <c r="E1231" s="8"/>
      <c r="F1231" s="8"/>
      <c r="G1231" s="13"/>
    </row>
    <row r="1232" spans="1:7" x14ac:dyDescent="0.3">
      <c r="A1232" s="11"/>
      <c r="B1232" s="8"/>
      <c r="C1232" s="7" t="str">
        <f>IF(B1232="","",IFERROR(INDEX(Vidriería!$C$2:$C$301,MATCH(B1232,Vidriería!$A$2:$A$301,0))&amp;" "&amp;INDEX(Vidriería!$D$2:$D$301,MATCH(B1232,Vidriería!$A$2:$A$301,0)),"ID no existe"))</f>
        <v/>
      </c>
      <c r="D1232" s="8"/>
      <c r="E1232" s="8"/>
      <c r="F1232" s="8"/>
      <c r="G1232" s="13"/>
    </row>
    <row r="1233" spans="1:7" x14ac:dyDescent="0.3">
      <c r="A1233" s="11"/>
      <c r="B1233" s="8"/>
      <c r="C1233" s="7" t="str">
        <f>IF(B1233="","",IFERROR(INDEX(Vidriería!$C$2:$C$301,MATCH(B1233,Vidriería!$A$2:$A$301,0))&amp;" "&amp;INDEX(Vidriería!$D$2:$D$301,MATCH(B1233,Vidriería!$A$2:$A$301,0)),"ID no existe"))</f>
        <v/>
      </c>
      <c r="D1233" s="8"/>
      <c r="E1233" s="8"/>
      <c r="F1233" s="8"/>
      <c r="G1233" s="13"/>
    </row>
    <row r="1234" spans="1:7" x14ac:dyDescent="0.3">
      <c r="A1234" s="11"/>
      <c r="B1234" s="8"/>
      <c r="C1234" s="7" t="str">
        <f>IF(B1234="","",IFERROR(INDEX(Vidriería!$C$2:$C$301,MATCH(B1234,Vidriería!$A$2:$A$301,0))&amp;" "&amp;INDEX(Vidriería!$D$2:$D$301,MATCH(B1234,Vidriería!$A$2:$A$301,0)),"ID no existe"))</f>
        <v/>
      </c>
      <c r="D1234" s="8"/>
      <c r="E1234" s="8"/>
      <c r="F1234" s="8"/>
      <c r="G1234" s="13"/>
    </row>
    <row r="1235" spans="1:7" x14ac:dyDescent="0.3">
      <c r="A1235" s="11"/>
      <c r="B1235" s="8"/>
      <c r="C1235" s="7" t="str">
        <f>IF(B1235="","",IFERROR(INDEX(Vidriería!$C$2:$C$301,MATCH(B1235,Vidriería!$A$2:$A$301,0))&amp;" "&amp;INDEX(Vidriería!$D$2:$D$301,MATCH(B1235,Vidriería!$A$2:$A$301,0)),"ID no existe"))</f>
        <v/>
      </c>
      <c r="D1235" s="8"/>
      <c r="E1235" s="8"/>
      <c r="F1235" s="8"/>
      <c r="G1235" s="13"/>
    </row>
    <row r="1236" spans="1:7" x14ac:dyDescent="0.3">
      <c r="A1236" s="11"/>
      <c r="B1236" s="8"/>
      <c r="C1236" s="7" t="str">
        <f>IF(B1236="","",IFERROR(INDEX(Vidriería!$C$2:$C$301,MATCH(B1236,Vidriería!$A$2:$A$301,0))&amp;" "&amp;INDEX(Vidriería!$D$2:$D$301,MATCH(B1236,Vidriería!$A$2:$A$301,0)),"ID no existe"))</f>
        <v/>
      </c>
      <c r="D1236" s="8"/>
      <c r="E1236" s="8"/>
      <c r="F1236" s="8"/>
      <c r="G1236" s="13"/>
    </row>
    <row r="1237" spans="1:7" x14ac:dyDescent="0.3">
      <c r="A1237" s="11"/>
      <c r="B1237" s="8"/>
      <c r="C1237" s="7" t="str">
        <f>IF(B1237="","",IFERROR(INDEX(Vidriería!$C$2:$C$301,MATCH(B1237,Vidriería!$A$2:$A$301,0))&amp;" "&amp;INDEX(Vidriería!$D$2:$D$301,MATCH(B1237,Vidriería!$A$2:$A$301,0)),"ID no existe"))</f>
        <v/>
      </c>
      <c r="D1237" s="8"/>
      <c r="E1237" s="8"/>
      <c r="F1237" s="8"/>
      <c r="G1237" s="13"/>
    </row>
    <row r="1238" spans="1:7" x14ac:dyDescent="0.3">
      <c r="A1238" s="11"/>
      <c r="B1238" s="8"/>
      <c r="C1238" s="7" t="str">
        <f>IF(B1238="","",IFERROR(INDEX(Vidriería!$C$2:$C$301,MATCH(B1238,Vidriería!$A$2:$A$301,0))&amp;" "&amp;INDEX(Vidriería!$D$2:$D$301,MATCH(B1238,Vidriería!$A$2:$A$301,0)),"ID no existe"))</f>
        <v/>
      </c>
      <c r="D1238" s="8"/>
      <c r="E1238" s="8"/>
      <c r="F1238" s="8"/>
      <c r="G1238" s="13"/>
    </row>
    <row r="1239" spans="1:7" x14ac:dyDescent="0.3">
      <c r="A1239" s="11"/>
      <c r="B1239" s="8"/>
      <c r="C1239" s="7" t="str">
        <f>IF(B1239="","",IFERROR(INDEX(Vidriería!$C$2:$C$301,MATCH(B1239,Vidriería!$A$2:$A$301,0))&amp;" "&amp;INDEX(Vidriería!$D$2:$D$301,MATCH(B1239,Vidriería!$A$2:$A$301,0)),"ID no existe"))</f>
        <v/>
      </c>
      <c r="D1239" s="8"/>
      <c r="E1239" s="8"/>
      <c r="F1239" s="8"/>
      <c r="G1239" s="13"/>
    </row>
    <row r="1240" spans="1:7" x14ac:dyDescent="0.3">
      <c r="A1240" s="11"/>
      <c r="B1240" s="8"/>
      <c r="C1240" s="7" t="str">
        <f>IF(B1240="","",IFERROR(INDEX(Vidriería!$C$2:$C$301,MATCH(B1240,Vidriería!$A$2:$A$301,0))&amp;" "&amp;INDEX(Vidriería!$D$2:$D$301,MATCH(B1240,Vidriería!$A$2:$A$301,0)),"ID no existe"))</f>
        <v/>
      </c>
      <c r="D1240" s="8"/>
      <c r="E1240" s="8"/>
      <c r="F1240" s="8"/>
      <c r="G1240" s="13"/>
    </row>
    <row r="1241" spans="1:7" x14ac:dyDescent="0.3">
      <c r="A1241" s="11"/>
      <c r="B1241" s="8"/>
      <c r="C1241" s="7" t="str">
        <f>IF(B1241="","",IFERROR(INDEX(Vidriería!$C$2:$C$301,MATCH(B1241,Vidriería!$A$2:$A$301,0))&amp;" "&amp;INDEX(Vidriería!$D$2:$D$301,MATCH(B1241,Vidriería!$A$2:$A$301,0)),"ID no existe"))</f>
        <v/>
      </c>
      <c r="D1241" s="8"/>
      <c r="E1241" s="8"/>
      <c r="F1241" s="8"/>
      <c r="G1241" s="13"/>
    </row>
    <row r="1242" spans="1:7" x14ac:dyDescent="0.3">
      <c r="A1242" s="11"/>
      <c r="B1242" s="8"/>
      <c r="C1242" s="7" t="str">
        <f>IF(B1242="","",IFERROR(INDEX(Vidriería!$C$2:$C$301,MATCH(B1242,Vidriería!$A$2:$A$301,0))&amp;" "&amp;INDEX(Vidriería!$D$2:$D$301,MATCH(B1242,Vidriería!$A$2:$A$301,0)),"ID no existe"))</f>
        <v/>
      </c>
      <c r="D1242" s="8"/>
      <c r="E1242" s="8"/>
      <c r="F1242" s="8"/>
      <c r="G1242" s="13"/>
    </row>
    <row r="1243" spans="1:7" x14ac:dyDescent="0.3">
      <c r="A1243" s="11"/>
      <c r="B1243" s="8"/>
      <c r="C1243" s="7" t="str">
        <f>IF(B1243="","",IFERROR(INDEX(Vidriería!$C$2:$C$301,MATCH(B1243,Vidriería!$A$2:$A$301,0))&amp;" "&amp;INDEX(Vidriería!$D$2:$D$301,MATCH(B1243,Vidriería!$A$2:$A$301,0)),"ID no existe"))</f>
        <v/>
      </c>
      <c r="D1243" s="8"/>
      <c r="E1243" s="8"/>
      <c r="F1243" s="8"/>
      <c r="G1243" s="13"/>
    </row>
    <row r="1244" spans="1:7" x14ac:dyDescent="0.3">
      <c r="A1244" s="11"/>
      <c r="B1244" s="8"/>
      <c r="C1244" s="7" t="str">
        <f>IF(B1244="","",IFERROR(INDEX(Vidriería!$C$2:$C$301,MATCH(B1244,Vidriería!$A$2:$A$301,0))&amp;" "&amp;INDEX(Vidriería!$D$2:$D$301,MATCH(B1244,Vidriería!$A$2:$A$301,0)),"ID no existe"))</f>
        <v/>
      </c>
      <c r="D1244" s="8"/>
      <c r="E1244" s="8"/>
      <c r="F1244" s="8"/>
      <c r="G1244" s="13"/>
    </row>
    <row r="1245" spans="1:7" x14ac:dyDescent="0.3">
      <c r="A1245" s="11"/>
      <c r="B1245" s="8"/>
      <c r="C1245" s="7" t="str">
        <f>IF(B1245="","",IFERROR(INDEX(Vidriería!$C$2:$C$301,MATCH(B1245,Vidriería!$A$2:$A$301,0))&amp;" "&amp;INDEX(Vidriería!$D$2:$D$301,MATCH(B1245,Vidriería!$A$2:$A$301,0)),"ID no existe"))</f>
        <v/>
      </c>
      <c r="D1245" s="8"/>
      <c r="E1245" s="8"/>
      <c r="F1245" s="8"/>
      <c r="G1245" s="13"/>
    </row>
    <row r="1246" spans="1:7" x14ac:dyDescent="0.3">
      <c r="A1246" s="11"/>
      <c r="B1246" s="8"/>
      <c r="C1246" s="7" t="str">
        <f>IF(B1246="","",IFERROR(INDEX(Vidriería!$C$2:$C$301,MATCH(B1246,Vidriería!$A$2:$A$301,0))&amp;" "&amp;INDEX(Vidriería!$D$2:$D$301,MATCH(B1246,Vidriería!$A$2:$A$301,0)),"ID no existe"))</f>
        <v/>
      </c>
      <c r="D1246" s="8"/>
      <c r="E1246" s="8"/>
      <c r="F1246" s="8"/>
      <c r="G1246" s="13"/>
    </row>
    <row r="1247" spans="1:7" x14ac:dyDescent="0.3">
      <c r="A1247" s="11"/>
      <c r="B1247" s="8"/>
      <c r="C1247" s="7" t="str">
        <f>IF(B1247="","",IFERROR(INDEX(Vidriería!$C$2:$C$301,MATCH(B1247,Vidriería!$A$2:$A$301,0))&amp;" "&amp;INDEX(Vidriería!$D$2:$D$301,MATCH(B1247,Vidriería!$A$2:$A$301,0)),"ID no existe"))</f>
        <v/>
      </c>
      <c r="D1247" s="8"/>
      <c r="E1247" s="8"/>
      <c r="F1247" s="8"/>
      <c r="G1247" s="13"/>
    </row>
    <row r="1248" spans="1:7" x14ac:dyDescent="0.3">
      <c r="A1248" s="11"/>
      <c r="B1248" s="8"/>
      <c r="C1248" s="7" t="str">
        <f>IF(B1248="","",IFERROR(INDEX(Vidriería!$C$2:$C$301,MATCH(B1248,Vidriería!$A$2:$A$301,0))&amp;" "&amp;INDEX(Vidriería!$D$2:$D$301,MATCH(B1248,Vidriería!$A$2:$A$301,0)),"ID no existe"))</f>
        <v/>
      </c>
      <c r="D1248" s="8"/>
      <c r="E1248" s="8"/>
      <c r="F1248" s="8"/>
      <c r="G1248" s="13"/>
    </row>
    <row r="1249" spans="1:7" x14ac:dyDescent="0.3">
      <c r="A1249" s="11"/>
      <c r="B1249" s="8"/>
      <c r="C1249" s="7" t="str">
        <f>IF(B1249="","",IFERROR(INDEX(Vidriería!$C$2:$C$301,MATCH(B1249,Vidriería!$A$2:$A$301,0))&amp;" "&amp;INDEX(Vidriería!$D$2:$D$301,MATCH(B1249,Vidriería!$A$2:$A$301,0)),"ID no existe"))</f>
        <v/>
      </c>
      <c r="D1249" s="8"/>
      <c r="E1249" s="8"/>
      <c r="F1249" s="8"/>
      <c r="G1249" s="13"/>
    </row>
    <row r="1250" spans="1:7" x14ac:dyDescent="0.3">
      <c r="A1250" s="11"/>
      <c r="B1250" s="8"/>
      <c r="C1250" s="7" t="str">
        <f>IF(B1250="","",IFERROR(INDEX(Vidriería!$C$2:$C$301,MATCH(B1250,Vidriería!$A$2:$A$301,0))&amp;" "&amp;INDEX(Vidriería!$D$2:$D$301,MATCH(B1250,Vidriería!$A$2:$A$301,0)),"ID no existe"))</f>
        <v/>
      </c>
      <c r="D1250" s="8"/>
      <c r="E1250" s="8"/>
      <c r="F1250" s="8"/>
      <c r="G1250" s="13"/>
    </row>
    <row r="1251" spans="1:7" x14ac:dyDescent="0.3">
      <c r="A1251" s="11"/>
      <c r="B1251" s="8"/>
      <c r="C1251" s="7" t="str">
        <f>IF(B1251="","",IFERROR(INDEX(Vidriería!$C$2:$C$301,MATCH(B1251,Vidriería!$A$2:$A$301,0))&amp;" "&amp;INDEX(Vidriería!$D$2:$D$301,MATCH(B1251,Vidriería!$A$2:$A$301,0)),"ID no existe"))</f>
        <v/>
      </c>
      <c r="D1251" s="8"/>
      <c r="E1251" s="8"/>
      <c r="F1251" s="8"/>
      <c r="G1251" s="13"/>
    </row>
    <row r="1252" spans="1:7" x14ac:dyDescent="0.3">
      <c r="A1252" s="11"/>
      <c r="B1252" s="8"/>
      <c r="C1252" s="7" t="str">
        <f>IF(B1252="","",IFERROR(INDEX(Vidriería!$C$2:$C$301,MATCH(B1252,Vidriería!$A$2:$A$301,0))&amp;" "&amp;INDEX(Vidriería!$D$2:$D$301,MATCH(B1252,Vidriería!$A$2:$A$301,0)),"ID no existe"))</f>
        <v/>
      </c>
      <c r="D1252" s="8"/>
      <c r="E1252" s="8"/>
      <c r="F1252" s="8"/>
      <c r="G1252" s="13"/>
    </row>
    <row r="1253" spans="1:7" x14ac:dyDescent="0.3">
      <c r="A1253" s="11"/>
      <c r="B1253" s="8"/>
      <c r="C1253" s="7" t="str">
        <f>IF(B1253="","",IFERROR(INDEX(Vidriería!$C$2:$C$301,MATCH(B1253,Vidriería!$A$2:$A$301,0))&amp;" "&amp;INDEX(Vidriería!$D$2:$D$301,MATCH(B1253,Vidriería!$A$2:$A$301,0)),"ID no existe"))</f>
        <v/>
      </c>
      <c r="D1253" s="8"/>
      <c r="E1253" s="8"/>
      <c r="F1253" s="8"/>
      <c r="G1253" s="13"/>
    </row>
    <row r="1254" spans="1:7" x14ac:dyDescent="0.3">
      <c r="A1254" s="11"/>
      <c r="B1254" s="8"/>
      <c r="C1254" s="7" t="str">
        <f>IF(B1254="","",IFERROR(INDEX(Vidriería!$C$2:$C$301,MATCH(B1254,Vidriería!$A$2:$A$301,0))&amp;" "&amp;INDEX(Vidriería!$D$2:$D$301,MATCH(B1254,Vidriería!$A$2:$A$301,0)),"ID no existe"))</f>
        <v/>
      </c>
      <c r="D1254" s="8"/>
      <c r="E1254" s="8"/>
      <c r="F1254" s="8"/>
      <c r="G1254" s="13"/>
    </row>
    <row r="1255" spans="1:7" x14ac:dyDescent="0.3">
      <c r="A1255" s="11"/>
      <c r="B1255" s="8"/>
      <c r="C1255" s="7" t="str">
        <f>IF(B1255="","",IFERROR(INDEX(Vidriería!$C$2:$C$301,MATCH(B1255,Vidriería!$A$2:$A$301,0))&amp;" "&amp;INDEX(Vidriería!$D$2:$D$301,MATCH(B1255,Vidriería!$A$2:$A$301,0)),"ID no existe"))</f>
        <v/>
      </c>
      <c r="D1255" s="8"/>
      <c r="E1255" s="8"/>
      <c r="F1255" s="8"/>
      <c r="G1255" s="13"/>
    </row>
    <row r="1256" spans="1:7" x14ac:dyDescent="0.3">
      <c r="A1256" s="11"/>
      <c r="B1256" s="8"/>
      <c r="C1256" s="7" t="str">
        <f>IF(B1256="","",IFERROR(INDEX(Vidriería!$C$2:$C$301,MATCH(B1256,Vidriería!$A$2:$A$301,0))&amp;" "&amp;INDEX(Vidriería!$D$2:$D$301,MATCH(B1256,Vidriería!$A$2:$A$301,0)),"ID no existe"))</f>
        <v/>
      </c>
      <c r="D1256" s="8"/>
      <c r="E1256" s="8"/>
      <c r="F1256" s="8"/>
      <c r="G1256" s="13"/>
    </row>
    <row r="1257" spans="1:7" x14ac:dyDescent="0.3">
      <c r="A1257" s="11"/>
      <c r="B1257" s="8"/>
      <c r="C1257" s="7" t="str">
        <f>IF(B1257="","",IFERROR(INDEX(Vidriería!$C$2:$C$301,MATCH(B1257,Vidriería!$A$2:$A$301,0))&amp;" "&amp;INDEX(Vidriería!$D$2:$D$301,MATCH(B1257,Vidriería!$A$2:$A$301,0)),"ID no existe"))</f>
        <v/>
      </c>
      <c r="D1257" s="8"/>
      <c r="E1257" s="8"/>
      <c r="F1257" s="8"/>
      <c r="G1257" s="13"/>
    </row>
    <row r="1258" spans="1:7" x14ac:dyDescent="0.3">
      <c r="A1258" s="11"/>
      <c r="B1258" s="8"/>
      <c r="C1258" s="7" t="str">
        <f>IF(B1258="","",IFERROR(INDEX(Vidriería!$C$2:$C$301,MATCH(B1258,Vidriería!$A$2:$A$301,0))&amp;" "&amp;INDEX(Vidriería!$D$2:$D$301,MATCH(B1258,Vidriería!$A$2:$A$301,0)),"ID no existe"))</f>
        <v/>
      </c>
      <c r="D1258" s="8"/>
      <c r="E1258" s="8"/>
      <c r="F1258" s="8"/>
      <c r="G1258" s="13"/>
    </row>
    <row r="1259" spans="1:7" x14ac:dyDescent="0.3">
      <c r="A1259" s="11"/>
      <c r="B1259" s="8"/>
      <c r="C1259" s="7" t="str">
        <f>IF(B1259="","",IFERROR(INDEX(Vidriería!$C$2:$C$301,MATCH(B1259,Vidriería!$A$2:$A$301,0))&amp;" "&amp;INDEX(Vidriería!$D$2:$D$301,MATCH(B1259,Vidriería!$A$2:$A$301,0)),"ID no existe"))</f>
        <v/>
      </c>
      <c r="D1259" s="8"/>
      <c r="E1259" s="8"/>
      <c r="F1259" s="8"/>
      <c r="G1259" s="13"/>
    </row>
    <row r="1260" spans="1:7" x14ac:dyDescent="0.3">
      <c r="A1260" s="11"/>
      <c r="B1260" s="8"/>
      <c r="C1260" s="7" t="str">
        <f>IF(B1260="","",IFERROR(INDEX(Vidriería!$C$2:$C$301,MATCH(B1260,Vidriería!$A$2:$A$301,0))&amp;" "&amp;INDEX(Vidriería!$D$2:$D$301,MATCH(B1260,Vidriería!$A$2:$A$301,0)),"ID no existe"))</f>
        <v/>
      </c>
      <c r="D1260" s="8"/>
      <c r="E1260" s="8"/>
      <c r="F1260" s="8"/>
      <c r="G1260" s="13"/>
    </row>
    <row r="1261" spans="1:7" x14ac:dyDescent="0.3">
      <c r="A1261" s="11"/>
      <c r="B1261" s="8"/>
      <c r="C1261" s="7" t="str">
        <f>IF(B1261="","",IFERROR(INDEX(Vidriería!$C$2:$C$301,MATCH(B1261,Vidriería!$A$2:$A$301,0))&amp;" "&amp;INDEX(Vidriería!$D$2:$D$301,MATCH(B1261,Vidriería!$A$2:$A$301,0)),"ID no existe"))</f>
        <v/>
      </c>
      <c r="D1261" s="8"/>
      <c r="E1261" s="8"/>
      <c r="F1261" s="8"/>
      <c r="G1261" s="13"/>
    </row>
    <row r="1262" spans="1:7" x14ac:dyDescent="0.3">
      <c r="A1262" s="11"/>
      <c r="B1262" s="8"/>
      <c r="C1262" s="7" t="str">
        <f>IF(B1262="","",IFERROR(INDEX(Vidriería!$C$2:$C$301,MATCH(B1262,Vidriería!$A$2:$A$301,0))&amp;" "&amp;INDEX(Vidriería!$D$2:$D$301,MATCH(B1262,Vidriería!$A$2:$A$301,0)),"ID no existe"))</f>
        <v/>
      </c>
      <c r="D1262" s="8"/>
      <c r="E1262" s="8"/>
      <c r="F1262" s="8"/>
      <c r="G1262" s="13"/>
    </row>
    <row r="1263" spans="1:7" x14ac:dyDescent="0.3">
      <c r="A1263" s="11"/>
      <c r="B1263" s="8"/>
      <c r="C1263" s="7" t="str">
        <f>IF(B1263="","",IFERROR(INDEX(Vidriería!$C$2:$C$301,MATCH(B1263,Vidriería!$A$2:$A$301,0))&amp;" "&amp;INDEX(Vidriería!$D$2:$D$301,MATCH(B1263,Vidriería!$A$2:$A$301,0)),"ID no existe"))</f>
        <v/>
      </c>
      <c r="D1263" s="8"/>
      <c r="E1263" s="8"/>
      <c r="F1263" s="8"/>
      <c r="G1263" s="13"/>
    </row>
    <row r="1264" spans="1:7" x14ac:dyDescent="0.3">
      <c r="A1264" s="11"/>
      <c r="B1264" s="8"/>
      <c r="C1264" s="7" t="str">
        <f>IF(B1264="","",IFERROR(INDEX(Vidriería!$C$2:$C$301,MATCH(B1264,Vidriería!$A$2:$A$301,0))&amp;" "&amp;INDEX(Vidriería!$D$2:$D$301,MATCH(B1264,Vidriería!$A$2:$A$301,0)),"ID no existe"))</f>
        <v/>
      </c>
      <c r="D1264" s="8"/>
      <c r="E1264" s="8"/>
      <c r="F1264" s="8"/>
      <c r="G1264" s="13"/>
    </row>
    <row r="1265" spans="1:7" x14ac:dyDescent="0.3">
      <c r="A1265" s="11"/>
      <c r="B1265" s="8"/>
      <c r="C1265" s="7" t="str">
        <f>IF(B1265="","",IFERROR(INDEX(Vidriería!$C$2:$C$301,MATCH(B1265,Vidriería!$A$2:$A$301,0))&amp;" "&amp;INDEX(Vidriería!$D$2:$D$301,MATCH(B1265,Vidriería!$A$2:$A$301,0)),"ID no existe"))</f>
        <v/>
      </c>
      <c r="D1265" s="8"/>
      <c r="E1265" s="8"/>
      <c r="F1265" s="8"/>
      <c r="G1265" s="13"/>
    </row>
    <row r="1266" spans="1:7" x14ac:dyDescent="0.3">
      <c r="A1266" s="11"/>
      <c r="B1266" s="8"/>
      <c r="C1266" s="7" t="str">
        <f>IF(B1266="","",IFERROR(INDEX(Vidriería!$C$2:$C$301,MATCH(B1266,Vidriería!$A$2:$A$301,0))&amp;" "&amp;INDEX(Vidriería!$D$2:$D$301,MATCH(B1266,Vidriería!$A$2:$A$301,0)),"ID no existe"))</f>
        <v/>
      </c>
      <c r="D1266" s="8"/>
      <c r="E1266" s="8"/>
      <c r="F1266" s="8"/>
      <c r="G1266" s="13"/>
    </row>
    <row r="1267" spans="1:7" x14ac:dyDescent="0.3">
      <c r="A1267" s="11"/>
      <c r="B1267" s="8"/>
      <c r="C1267" s="7" t="str">
        <f>IF(B1267="","",IFERROR(INDEX(Vidriería!$C$2:$C$301,MATCH(B1267,Vidriería!$A$2:$A$301,0))&amp;" "&amp;INDEX(Vidriería!$D$2:$D$301,MATCH(B1267,Vidriería!$A$2:$A$301,0)),"ID no existe"))</f>
        <v/>
      </c>
      <c r="D1267" s="8"/>
      <c r="E1267" s="8"/>
      <c r="F1267" s="8"/>
      <c r="G1267" s="13"/>
    </row>
    <row r="1268" spans="1:7" x14ac:dyDescent="0.3">
      <c r="A1268" s="11"/>
      <c r="B1268" s="8"/>
      <c r="C1268" s="7" t="str">
        <f>IF(B1268="","",IFERROR(INDEX(Vidriería!$C$2:$C$301,MATCH(B1268,Vidriería!$A$2:$A$301,0))&amp;" "&amp;INDEX(Vidriería!$D$2:$D$301,MATCH(B1268,Vidriería!$A$2:$A$301,0)),"ID no existe"))</f>
        <v/>
      </c>
      <c r="D1268" s="8"/>
      <c r="E1268" s="8"/>
      <c r="F1268" s="8"/>
      <c r="G1268" s="13"/>
    </row>
    <row r="1269" spans="1:7" x14ac:dyDescent="0.3">
      <c r="A1269" s="11"/>
      <c r="B1269" s="8"/>
      <c r="C1269" s="7" t="str">
        <f>IF(B1269="","",IFERROR(INDEX(Vidriería!$C$2:$C$301,MATCH(B1269,Vidriería!$A$2:$A$301,0))&amp;" "&amp;INDEX(Vidriería!$D$2:$D$301,MATCH(B1269,Vidriería!$A$2:$A$301,0)),"ID no existe"))</f>
        <v/>
      </c>
      <c r="D1269" s="8"/>
      <c r="E1269" s="8"/>
      <c r="F1269" s="8"/>
      <c r="G1269" s="13"/>
    </row>
    <row r="1270" spans="1:7" x14ac:dyDescent="0.3">
      <c r="A1270" s="11"/>
      <c r="B1270" s="8"/>
      <c r="C1270" s="7" t="str">
        <f>IF(B1270="","",IFERROR(INDEX(Vidriería!$C$2:$C$301,MATCH(B1270,Vidriería!$A$2:$A$301,0))&amp;" "&amp;INDEX(Vidriería!$D$2:$D$301,MATCH(B1270,Vidriería!$A$2:$A$301,0)),"ID no existe"))</f>
        <v/>
      </c>
      <c r="D1270" s="8"/>
      <c r="E1270" s="8"/>
      <c r="F1270" s="8"/>
      <c r="G1270" s="13"/>
    </row>
    <row r="1271" spans="1:7" x14ac:dyDescent="0.3">
      <c r="A1271" s="11"/>
      <c r="B1271" s="8"/>
      <c r="C1271" s="7" t="str">
        <f>IF(B1271="","",IFERROR(INDEX(Vidriería!$C$2:$C$301,MATCH(B1271,Vidriería!$A$2:$A$301,0))&amp;" "&amp;INDEX(Vidriería!$D$2:$D$301,MATCH(B1271,Vidriería!$A$2:$A$301,0)),"ID no existe"))</f>
        <v/>
      </c>
      <c r="D1271" s="8"/>
      <c r="E1271" s="8"/>
      <c r="F1271" s="8"/>
      <c r="G1271" s="13"/>
    </row>
    <row r="1272" spans="1:7" x14ac:dyDescent="0.3">
      <c r="A1272" s="11"/>
      <c r="B1272" s="8"/>
      <c r="C1272" s="7" t="str">
        <f>IF(B1272="","",IFERROR(INDEX(Vidriería!$C$2:$C$301,MATCH(B1272,Vidriería!$A$2:$A$301,0))&amp;" "&amp;INDEX(Vidriería!$D$2:$D$301,MATCH(B1272,Vidriería!$A$2:$A$301,0)),"ID no existe"))</f>
        <v/>
      </c>
      <c r="D1272" s="8"/>
      <c r="E1272" s="8"/>
      <c r="F1272" s="8"/>
      <c r="G1272" s="13"/>
    </row>
    <row r="1273" spans="1:7" x14ac:dyDescent="0.3">
      <c r="A1273" s="11"/>
      <c r="B1273" s="8"/>
      <c r="C1273" s="7" t="str">
        <f>IF(B1273="","",IFERROR(INDEX(Vidriería!$C$2:$C$301,MATCH(B1273,Vidriería!$A$2:$A$301,0))&amp;" "&amp;INDEX(Vidriería!$D$2:$D$301,MATCH(B1273,Vidriería!$A$2:$A$301,0)),"ID no existe"))</f>
        <v/>
      </c>
      <c r="D1273" s="8"/>
      <c r="E1273" s="8"/>
      <c r="F1273" s="8"/>
      <c r="G1273" s="13"/>
    </row>
    <row r="1274" spans="1:7" x14ac:dyDescent="0.3">
      <c r="A1274" s="11"/>
      <c r="B1274" s="8"/>
      <c r="C1274" s="7" t="str">
        <f>IF(B1274="","",IFERROR(INDEX(Vidriería!$C$2:$C$301,MATCH(B1274,Vidriería!$A$2:$A$301,0))&amp;" "&amp;INDEX(Vidriería!$D$2:$D$301,MATCH(B1274,Vidriería!$A$2:$A$301,0)),"ID no existe"))</f>
        <v/>
      </c>
      <c r="D1274" s="8"/>
      <c r="E1274" s="8"/>
      <c r="F1274" s="8"/>
      <c r="G1274" s="13"/>
    </row>
    <row r="1275" spans="1:7" x14ac:dyDescent="0.3">
      <c r="A1275" s="11"/>
      <c r="B1275" s="8"/>
      <c r="C1275" s="7" t="str">
        <f>IF(B1275="","",IFERROR(INDEX(Vidriería!$C$2:$C$301,MATCH(B1275,Vidriería!$A$2:$A$301,0))&amp;" "&amp;INDEX(Vidriería!$D$2:$D$301,MATCH(B1275,Vidriería!$A$2:$A$301,0)),"ID no existe"))</f>
        <v/>
      </c>
      <c r="D1275" s="8"/>
      <c r="E1275" s="8"/>
      <c r="F1275" s="8"/>
      <c r="G1275" s="13"/>
    </row>
    <row r="1276" spans="1:7" x14ac:dyDescent="0.3">
      <c r="A1276" s="11"/>
      <c r="B1276" s="8"/>
      <c r="C1276" s="7" t="str">
        <f>IF(B1276="","",IFERROR(INDEX(Vidriería!$C$2:$C$301,MATCH(B1276,Vidriería!$A$2:$A$301,0))&amp;" "&amp;INDEX(Vidriería!$D$2:$D$301,MATCH(B1276,Vidriería!$A$2:$A$301,0)),"ID no existe"))</f>
        <v/>
      </c>
      <c r="D1276" s="8"/>
      <c r="E1276" s="8"/>
      <c r="F1276" s="8"/>
      <c r="G1276" s="13"/>
    </row>
    <row r="1277" spans="1:7" x14ac:dyDescent="0.3">
      <c r="A1277" s="11"/>
      <c r="B1277" s="8"/>
      <c r="C1277" s="7" t="str">
        <f>IF(B1277="","",IFERROR(INDEX(Vidriería!$C$2:$C$301,MATCH(B1277,Vidriería!$A$2:$A$301,0))&amp;" "&amp;INDEX(Vidriería!$D$2:$D$301,MATCH(B1277,Vidriería!$A$2:$A$301,0)),"ID no existe"))</f>
        <v/>
      </c>
      <c r="D1277" s="8"/>
      <c r="E1277" s="8"/>
      <c r="F1277" s="8"/>
      <c r="G1277" s="13"/>
    </row>
    <row r="1278" spans="1:7" x14ac:dyDescent="0.3">
      <c r="A1278" s="11"/>
      <c r="B1278" s="8"/>
      <c r="C1278" s="7" t="str">
        <f>IF(B1278="","",IFERROR(INDEX(Vidriería!$C$2:$C$301,MATCH(B1278,Vidriería!$A$2:$A$301,0))&amp;" "&amp;INDEX(Vidriería!$D$2:$D$301,MATCH(B1278,Vidriería!$A$2:$A$301,0)),"ID no existe"))</f>
        <v/>
      </c>
      <c r="D1278" s="8"/>
      <c r="E1278" s="8"/>
      <c r="F1278" s="8"/>
      <c r="G1278" s="13"/>
    </row>
    <row r="1279" spans="1:7" x14ac:dyDescent="0.3">
      <c r="A1279" s="11"/>
      <c r="B1279" s="8"/>
      <c r="C1279" s="7" t="str">
        <f>IF(B1279="","",IFERROR(INDEX(Vidriería!$C$2:$C$301,MATCH(B1279,Vidriería!$A$2:$A$301,0))&amp;" "&amp;INDEX(Vidriería!$D$2:$D$301,MATCH(B1279,Vidriería!$A$2:$A$301,0)),"ID no existe"))</f>
        <v/>
      </c>
      <c r="D1279" s="8"/>
      <c r="E1279" s="8"/>
      <c r="F1279" s="8"/>
      <c r="G1279" s="13"/>
    </row>
    <row r="1280" spans="1:7" x14ac:dyDescent="0.3">
      <c r="A1280" s="11"/>
      <c r="B1280" s="8"/>
      <c r="C1280" s="7" t="str">
        <f>IF(B1280="","",IFERROR(INDEX(Vidriería!$C$2:$C$301,MATCH(B1280,Vidriería!$A$2:$A$301,0))&amp;" "&amp;INDEX(Vidriería!$D$2:$D$301,MATCH(B1280,Vidriería!$A$2:$A$301,0)),"ID no existe"))</f>
        <v/>
      </c>
      <c r="D1280" s="8"/>
      <c r="E1280" s="8"/>
      <c r="F1280" s="8"/>
      <c r="G1280" s="13"/>
    </row>
    <row r="1281" spans="1:7" x14ac:dyDescent="0.3">
      <c r="A1281" s="11"/>
      <c r="B1281" s="8"/>
      <c r="C1281" s="7" t="str">
        <f>IF(B1281="","",IFERROR(INDEX(Vidriería!$C$2:$C$301,MATCH(B1281,Vidriería!$A$2:$A$301,0))&amp;" "&amp;INDEX(Vidriería!$D$2:$D$301,MATCH(B1281,Vidriería!$A$2:$A$301,0)),"ID no existe"))</f>
        <v/>
      </c>
      <c r="D1281" s="8"/>
      <c r="E1281" s="8"/>
      <c r="F1281" s="8"/>
      <c r="G1281" s="13"/>
    </row>
    <row r="1282" spans="1:7" x14ac:dyDescent="0.3">
      <c r="A1282" s="11"/>
      <c r="B1282" s="8"/>
      <c r="C1282" s="7" t="str">
        <f>IF(B1282="","",IFERROR(INDEX(Vidriería!$C$2:$C$301,MATCH(B1282,Vidriería!$A$2:$A$301,0))&amp;" "&amp;INDEX(Vidriería!$D$2:$D$301,MATCH(B1282,Vidriería!$A$2:$A$301,0)),"ID no existe"))</f>
        <v/>
      </c>
      <c r="D1282" s="8"/>
      <c r="E1282" s="8"/>
      <c r="F1282" s="8"/>
      <c r="G1282" s="13"/>
    </row>
    <row r="1283" spans="1:7" x14ac:dyDescent="0.3">
      <c r="A1283" s="11"/>
      <c r="B1283" s="8"/>
      <c r="C1283" s="7" t="str">
        <f>IF(B1283="","",IFERROR(INDEX(Vidriería!$C$2:$C$301,MATCH(B1283,Vidriería!$A$2:$A$301,0))&amp;" "&amp;INDEX(Vidriería!$D$2:$D$301,MATCH(B1283,Vidriería!$A$2:$A$301,0)),"ID no existe"))</f>
        <v/>
      </c>
      <c r="D1283" s="8"/>
      <c r="E1283" s="8"/>
      <c r="F1283" s="8"/>
      <c r="G1283" s="13"/>
    </row>
    <row r="1284" spans="1:7" x14ac:dyDescent="0.3">
      <c r="A1284" s="11"/>
      <c r="B1284" s="8"/>
      <c r="C1284" s="7" t="str">
        <f>IF(B1284="","",IFERROR(INDEX(Vidriería!$C$2:$C$301,MATCH(B1284,Vidriería!$A$2:$A$301,0))&amp;" "&amp;INDEX(Vidriería!$D$2:$D$301,MATCH(B1284,Vidriería!$A$2:$A$301,0)),"ID no existe"))</f>
        <v/>
      </c>
      <c r="D1284" s="8"/>
      <c r="E1284" s="8"/>
      <c r="F1284" s="8"/>
      <c r="G1284" s="13"/>
    </row>
    <row r="1285" spans="1:7" x14ac:dyDescent="0.3">
      <c r="A1285" s="11"/>
      <c r="B1285" s="8"/>
      <c r="C1285" s="7" t="str">
        <f>IF(B1285="","",IFERROR(INDEX(Vidriería!$C$2:$C$301,MATCH(B1285,Vidriería!$A$2:$A$301,0))&amp;" "&amp;INDEX(Vidriería!$D$2:$D$301,MATCH(B1285,Vidriería!$A$2:$A$301,0)),"ID no existe"))</f>
        <v/>
      </c>
      <c r="D1285" s="8"/>
      <c r="E1285" s="8"/>
      <c r="F1285" s="8"/>
      <c r="G1285" s="13"/>
    </row>
    <row r="1286" spans="1:7" x14ac:dyDescent="0.3">
      <c r="A1286" s="11"/>
      <c r="B1286" s="8"/>
      <c r="C1286" s="7" t="str">
        <f>IF(B1286="","",IFERROR(INDEX(Vidriería!$C$2:$C$301,MATCH(B1286,Vidriería!$A$2:$A$301,0))&amp;" "&amp;INDEX(Vidriería!$D$2:$D$301,MATCH(B1286,Vidriería!$A$2:$A$301,0)),"ID no existe"))</f>
        <v/>
      </c>
      <c r="D1286" s="8"/>
      <c r="E1286" s="8"/>
      <c r="F1286" s="8"/>
      <c r="G1286" s="13"/>
    </row>
    <row r="1287" spans="1:7" x14ac:dyDescent="0.3">
      <c r="A1287" s="11"/>
      <c r="B1287" s="8"/>
      <c r="C1287" s="7" t="str">
        <f>IF(B1287="","",IFERROR(INDEX(Vidriería!$C$2:$C$301,MATCH(B1287,Vidriería!$A$2:$A$301,0))&amp;" "&amp;INDEX(Vidriería!$D$2:$D$301,MATCH(B1287,Vidriería!$A$2:$A$301,0)),"ID no existe"))</f>
        <v/>
      </c>
      <c r="D1287" s="8"/>
      <c r="E1287" s="8"/>
      <c r="F1287" s="8"/>
      <c r="G1287" s="13"/>
    </row>
    <row r="1288" spans="1:7" x14ac:dyDescent="0.3">
      <c r="A1288" s="11"/>
      <c r="B1288" s="8"/>
      <c r="C1288" s="7" t="str">
        <f>IF(B1288="","",IFERROR(INDEX(Vidriería!$C$2:$C$301,MATCH(B1288,Vidriería!$A$2:$A$301,0))&amp;" "&amp;INDEX(Vidriería!$D$2:$D$301,MATCH(B1288,Vidriería!$A$2:$A$301,0)),"ID no existe"))</f>
        <v/>
      </c>
      <c r="D1288" s="8"/>
      <c r="E1288" s="8"/>
      <c r="F1288" s="8"/>
      <c r="G1288" s="13"/>
    </row>
    <row r="1289" spans="1:7" x14ac:dyDescent="0.3">
      <c r="A1289" s="11"/>
      <c r="B1289" s="8"/>
      <c r="C1289" s="7" t="str">
        <f>IF(B1289="","",IFERROR(INDEX(Vidriería!$C$2:$C$301,MATCH(B1289,Vidriería!$A$2:$A$301,0))&amp;" "&amp;INDEX(Vidriería!$D$2:$D$301,MATCH(B1289,Vidriería!$A$2:$A$301,0)),"ID no existe"))</f>
        <v/>
      </c>
      <c r="D1289" s="8"/>
      <c r="E1289" s="8"/>
      <c r="F1289" s="8"/>
      <c r="G1289" s="13"/>
    </row>
    <row r="1290" spans="1:7" x14ac:dyDescent="0.3">
      <c r="A1290" s="11"/>
      <c r="B1290" s="8"/>
      <c r="C1290" s="7" t="str">
        <f>IF(B1290="","",IFERROR(INDEX(Vidriería!$C$2:$C$301,MATCH(B1290,Vidriería!$A$2:$A$301,0))&amp;" "&amp;INDEX(Vidriería!$D$2:$D$301,MATCH(B1290,Vidriería!$A$2:$A$301,0)),"ID no existe"))</f>
        <v/>
      </c>
      <c r="D1290" s="8"/>
      <c r="E1290" s="8"/>
      <c r="F1290" s="8"/>
      <c r="G1290" s="13"/>
    </row>
    <row r="1291" spans="1:7" x14ac:dyDescent="0.3">
      <c r="A1291" s="11"/>
      <c r="B1291" s="8"/>
      <c r="C1291" s="7" t="str">
        <f>IF(B1291="","",IFERROR(INDEX(Vidriería!$C$2:$C$301,MATCH(B1291,Vidriería!$A$2:$A$301,0))&amp;" "&amp;INDEX(Vidriería!$D$2:$D$301,MATCH(B1291,Vidriería!$A$2:$A$301,0)),"ID no existe"))</f>
        <v/>
      </c>
      <c r="D1291" s="8"/>
      <c r="E1291" s="8"/>
      <c r="F1291" s="8"/>
      <c r="G1291" s="13"/>
    </row>
    <row r="1292" spans="1:7" x14ac:dyDescent="0.3">
      <c r="A1292" s="11"/>
      <c r="B1292" s="8"/>
      <c r="C1292" s="7" t="str">
        <f>IF(B1292="","",IFERROR(INDEX(Vidriería!$C$2:$C$301,MATCH(B1292,Vidriería!$A$2:$A$301,0))&amp;" "&amp;INDEX(Vidriería!$D$2:$D$301,MATCH(B1292,Vidriería!$A$2:$A$301,0)),"ID no existe"))</f>
        <v/>
      </c>
      <c r="D1292" s="8"/>
      <c r="E1292" s="8"/>
      <c r="F1292" s="8"/>
      <c r="G1292" s="13"/>
    </row>
    <row r="1293" spans="1:7" x14ac:dyDescent="0.3">
      <c r="A1293" s="11"/>
      <c r="B1293" s="8"/>
      <c r="C1293" s="7" t="str">
        <f>IF(B1293="","",IFERROR(INDEX(Vidriería!$C$2:$C$301,MATCH(B1293,Vidriería!$A$2:$A$301,0))&amp;" "&amp;INDEX(Vidriería!$D$2:$D$301,MATCH(B1293,Vidriería!$A$2:$A$301,0)),"ID no existe"))</f>
        <v/>
      </c>
      <c r="D1293" s="8"/>
      <c r="E1293" s="8"/>
      <c r="F1293" s="8"/>
      <c r="G1293" s="13"/>
    </row>
    <row r="1294" spans="1:7" x14ac:dyDescent="0.3">
      <c r="A1294" s="11"/>
      <c r="B1294" s="8"/>
      <c r="C1294" s="7" t="str">
        <f>IF(B1294="","",IFERROR(INDEX(Vidriería!$C$2:$C$301,MATCH(B1294,Vidriería!$A$2:$A$301,0))&amp;" "&amp;INDEX(Vidriería!$D$2:$D$301,MATCH(B1294,Vidriería!$A$2:$A$301,0)),"ID no existe"))</f>
        <v/>
      </c>
      <c r="D1294" s="8"/>
      <c r="E1294" s="8"/>
      <c r="F1294" s="8"/>
      <c r="G1294" s="13"/>
    </row>
    <row r="1295" spans="1:7" x14ac:dyDescent="0.3">
      <c r="A1295" s="11"/>
      <c r="B1295" s="8"/>
      <c r="C1295" s="7" t="str">
        <f>IF(B1295="","",IFERROR(INDEX(Vidriería!$C$2:$C$301,MATCH(B1295,Vidriería!$A$2:$A$301,0))&amp;" "&amp;INDEX(Vidriería!$D$2:$D$301,MATCH(B1295,Vidriería!$A$2:$A$301,0)),"ID no existe"))</f>
        <v/>
      </c>
      <c r="D1295" s="8"/>
      <c r="E1295" s="8"/>
      <c r="F1295" s="8"/>
      <c r="G1295" s="13"/>
    </row>
    <row r="1296" spans="1:7" x14ac:dyDescent="0.3">
      <c r="A1296" s="11"/>
      <c r="B1296" s="8"/>
      <c r="C1296" s="7" t="str">
        <f>IF(B1296="","",IFERROR(INDEX(Vidriería!$C$2:$C$301,MATCH(B1296,Vidriería!$A$2:$A$301,0))&amp;" "&amp;INDEX(Vidriería!$D$2:$D$301,MATCH(B1296,Vidriería!$A$2:$A$301,0)),"ID no existe"))</f>
        <v/>
      </c>
      <c r="D1296" s="8"/>
      <c r="E1296" s="8"/>
      <c r="F1296" s="8"/>
      <c r="G1296" s="13"/>
    </row>
    <row r="1297" spans="1:7" x14ac:dyDescent="0.3">
      <c r="A1297" s="11"/>
      <c r="B1297" s="8"/>
      <c r="C1297" s="7" t="str">
        <f>IF(B1297="","",IFERROR(INDEX(Vidriería!$C$2:$C$301,MATCH(B1297,Vidriería!$A$2:$A$301,0))&amp;" "&amp;INDEX(Vidriería!$D$2:$D$301,MATCH(B1297,Vidriería!$A$2:$A$301,0)),"ID no existe"))</f>
        <v/>
      </c>
      <c r="D1297" s="8"/>
      <c r="E1297" s="8"/>
      <c r="F1297" s="8"/>
      <c r="G1297" s="13"/>
    </row>
    <row r="1298" spans="1:7" x14ac:dyDescent="0.3">
      <c r="A1298" s="11"/>
      <c r="B1298" s="8"/>
      <c r="C1298" s="7" t="str">
        <f>IF(B1298="","",IFERROR(INDEX(Vidriería!$C$2:$C$301,MATCH(B1298,Vidriería!$A$2:$A$301,0))&amp;" "&amp;INDEX(Vidriería!$D$2:$D$301,MATCH(B1298,Vidriería!$A$2:$A$301,0)),"ID no existe"))</f>
        <v/>
      </c>
      <c r="D1298" s="8"/>
      <c r="E1298" s="8"/>
      <c r="F1298" s="8"/>
      <c r="G1298" s="13"/>
    </row>
    <row r="1299" spans="1:7" x14ac:dyDescent="0.3">
      <c r="A1299" s="11"/>
      <c r="B1299" s="8"/>
      <c r="C1299" s="7" t="str">
        <f>IF(B1299="","",IFERROR(INDEX(Vidriería!$C$2:$C$301,MATCH(B1299,Vidriería!$A$2:$A$301,0))&amp;" "&amp;INDEX(Vidriería!$D$2:$D$301,MATCH(B1299,Vidriería!$A$2:$A$301,0)),"ID no existe"))</f>
        <v/>
      </c>
      <c r="D1299" s="8"/>
      <c r="E1299" s="8"/>
      <c r="F1299" s="8"/>
      <c r="G1299" s="13"/>
    </row>
    <row r="1300" spans="1:7" x14ac:dyDescent="0.3">
      <c r="A1300" s="11"/>
      <c r="B1300" s="8"/>
      <c r="C1300" s="7" t="str">
        <f>IF(B1300="","",IFERROR(INDEX(Vidriería!$C$2:$C$301,MATCH(B1300,Vidriería!$A$2:$A$301,0))&amp;" "&amp;INDEX(Vidriería!$D$2:$D$301,MATCH(B1300,Vidriería!$A$2:$A$301,0)),"ID no existe"))</f>
        <v/>
      </c>
      <c r="D1300" s="8"/>
      <c r="E1300" s="8"/>
      <c r="F1300" s="8"/>
      <c r="G1300" s="13"/>
    </row>
    <row r="1301" spans="1:7" x14ac:dyDescent="0.3">
      <c r="A1301" s="11"/>
      <c r="B1301" s="8"/>
      <c r="C1301" s="7" t="str">
        <f>IF(B1301="","",IFERROR(INDEX(Vidriería!$C$2:$C$301,MATCH(B1301,Vidriería!$A$2:$A$301,0))&amp;" "&amp;INDEX(Vidriería!$D$2:$D$301,MATCH(B1301,Vidriería!$A$2:$A$301,0)),"ID no existe"))</f>
        <v/>
      </c>
      <c r="D1301" s="8"/>
      <c r="E1301" s="8"/>
      <c r="F1301" s="8"/>
      <c r="G1301" s="13"/>
    </row>
    <row r="1302" spans="1:7" x14ac:dyDescent="0.3">
      <c r="A1302" s="11"/>
      <c r="B1302" s="8"/>
      <c r="C1302" s="7" t="str">
        <f>IF(B1302="","",IFERROR(INDEX(Vidriería!$C$2:$C$301,MATCH(B1302,Vidriería!$A$2:$A$301,0))&amp;" "&amp;INDEX(Vidriería!$D$2:$D$301,MATCH(B1302,Vidriería!$A$2:$A$301,0)),"ID no existe"))</f>
        <v/>
      </c>
      <c r="D1302" s="8"/>
      <c r="E1302" s="8"/>
      <c r="F1302" s="8"/>
      <c r="G1302" s="13"/>
    </row>
    <row r="1303" spans="1:7" x14ac:dyDescent="0.3">
      <c r="A1303" s="11"/>
      <c r="B1303" s="8"/>
      <c r="C1303" s="7" t="str">
        <f>IF(B1303="","",IFERROR(INDEX(Vidriería!$C$2:$C$301,MATCH(B1303,Vidriería!$A$2:$A$301,0))&amp;" "&amp;INDEX(Vidriería!$D$2:$D$301,MATCH(B1303,Vidriería!$A$2:$A$301,0)),"ID no existe"))</f>
        <v/>
      </c>
      <c r="D1303" s="8"/>
      <c r="E1303" s="8"/>
      <c r="F1303" s="8"/>
      <c r="G1303" s="13"/>
    </row>
    <row r="1304" spans="1:7" x14ac:dyDescent="0.3">
      <c r="A1304" s="11"/>
      <c r="B1304" s="8"/>
      <c r="C1304" s="7" t="str">
        <f>IF(B1304="","",IFERROR(INDEX(Vidriería!$C$2:$C$301,MATCH(B1304,Vidriería!$A$2:$A$301,0))&amp;" "&amp;INDEX(Vidriería!$D$2:$D$301,MATCH(B1304,Vidriería!$A$2:$A$301,0)),"ID no existe"))</f>
        <v/>
      </c>
      <c r="D1304" s="8"/>
      <c r="E1304" s="8"/>
      <c r="F1304" s="8"/>
      <c r="G1304" s="13"/>
    </row>
    <row r="1305" spans="1:7" x14ac:dyDescent="0.3">
      <c r="A1305" s="11"/>
      <c r="B1305" s="8"/>
      <c r="C1305" s="7" t="str">
        <f>IF(B1305="","",IFERROR(INDEX(Vidriería!$C$2:$C$301,MATCH(B1305,Vidriería!$A$2:$A$301,0))&amp;" "&amp;INDEX(Vidriería!$D$2:$D$301,MATCH(B1305,Vidriería!$A$2:$A$301,0)),"ID no existe"))</f>
        <v/>
      </c>
      <c r="D1305" s="8"/>
      <c r="E1305" s="8"/>
      <c r="F1305" s="8"/>
      <c r="G1305" s="13"/>
    </row>
    <row r="1306" spans="1:7" x14ac:dyDescent="0.3">
      <c r="A1306" s="11"/>
      <c r="B1306" s="8"/>
      <c r="C1306" s="7" t="str">
        <f>IF(B1306="","",IFERROR(INDEX(Vidriería!$C$2:$C$301,MATCH(B1306,Vidriería!$A$2:$A$301,0))&amp;" "&amp;INDEX(Vidriería!$D$2:$D$301,MATCH(B1306,Vidriería!$A$2:$A$301,0)),"ID no existe"))</f>
        <v/>
      </c>
      <c r="D1306" s="8"/>
      <c r="E1306" s="8"/>
      <c r="F1306" s="8"/>
      <c r="G1306" s="13"/>
    </row>
    <row r="1307" spans="1:7" x14ac:dyDescent="0.3">
      <c r="A1307" s="11"/>
      <c r="B1307" s="8"/>
      <c r="C1307" s="7" t="str">
        <f>IF(B1307="","",IFERROR(INDEX(Vidriería!$C$2:$C$301,MATCH(B1307,Vidriería!$A$2:$A$301,0))&amp;" "&amp;INDEX(Vidriería!$D$2:$D$301,MATCH(B1307,Vidriería!$A$2:$A$301,0)),"ID no existe"))</f>
        <v/>
      </c>
      <c r="D1307" s="8"/>
      <c r="E1307" s="8"/>
      <c r="F1307" s="8"/>
      <c r="G1307" s="13"/>
    </row>
    <row r="1308" spans="1:7" x14ac:dyDescent="0.3">
      <c r="A1308" s="11"/>
      <c r="B1308" s="8"/>
      <c r="C1308" s="7" t="str">
        <f>IF(B1308="","",IFERROR(INDEX(Vidriería!$C$2:$C$301,MATCH(B1308,Vidriería!$A$2:$A$301,0))&amp;" "&amp;INDEX(Vidriería!$D$2:$D$301,MATCH(B1308,Vidriería!$A$2:$A$301,0)),"ID no existe"))</f>
        <v/>
      </c>
      <c r="D1308" s="8"/>
      <c r="E1308" s="8"/>
      <c r="F1308" s="8"/>
      <c r="G1308" s="13"/>
    </row>
    <row r="1309" spans="1:7" x14ac:dyDescent="0.3">
      <c r="A1309" s="11"/>
      <c r="B1309" s="8"/>
      <c r="C1309" s="7" t="str">
        <f>IF(B1309="","",IFERROR(INDEX(Vidriería!$C$2:$C$301,MATCH(B1309,Vidriería!$A$2:$A$301,0))&amp;" "&amp;INDEX(Vidriería!$D$2:$D$301,MATCH(B1309,Vidriería!$A$2:$A$301,0)),"ID no existe"))</f>
        <v/>
      </c>
      <c r="D1309" s="8"/>
      <c r="E1309" s="8"/>
      <c r="F1309" s="8"/>
      <c r="G1309" s="13"/>
    </row>
    <row r="1310" spans="1:7" x14ac:dyDescent="0.3">
      <c r="A1310" s="11"/>
      <c r="B1310" s="8"/>
      <c r="C1310" s="7" t="str">
        <f>IF(B1310="","",IFERROR(INDEX(Vidriería!$C$2:$C$301,MATCH(B1310,Vidriería!$A$2:$A$301,0))&amp;" "&amp;INDEX(Vidriería!$D$2:$D$301,MATCH(B1310,Vidriería!$A$2:$A$301,0)),"ID no existe"))</f>
        <v/>
      </c>
      <c r="D1310" s="8"/>
      <c r="E1310" s="8"/>
      <c r="F1310" s="8"/>
      <c r="G1310" s="13"/>
    </row>
    <row r="1311" spans="1:7" x14ac:dyDescent="0.3">
      <c r="A1311" s="11"/>
      <c r="B1311" s="8"/>
      <c r="C1311" s="7" t="str">
        <f>IF(B1311="","",IFERROR(INDEX(Vidriería!$C$2:$C$301,MATCH(B1311,Vidriería!$A$2:$A$301,0))&amp;" "&amp;INDEX(Vidriería!$D$2:$D$301,MATCH(B1311,Vidriería!$A$2:$A$301,0)),"ID no existe"))</f>
        <v/>
      </c>
      <c r="D1311" s="8"/>
      <c r="E1311" s="8"/>
      <c r="F1311" s="8"/>
      <c r="G1311" s="13"/>
    </row>
    <row r="1312" spans="1:7" x14ac:dyDescent="0.3">
      <c r="A1312" s="11"/>
      <c r="B1312" s="8"/>
      <c r="C1312" s="7" t="str">
        <f>IF(B1312="","",IFERROR(INDEX(Vidriería!$C$2:$C$301,MATCH(B1312,Vidriería!$A$2:$A$301,0))&amp;" "&amp;INDEX(Vidriería!$D$2:$D$301,MATCH(B1312,Vidriería!$A$2:$A$301,0)),"ID no existe"))</f>
        <v/>
      </c>
      <c r="D1312" s="8"/>
      <c r="E1312" s="8"/>
      <c r="F1312" s="8"/>
      <c r="G1312" s="13"/>
    </row>
    <row r="1313" spans="1:7" x14ac:dyDescent="0.3">
      <c r="A1313" s="11"/>
      <c r="B1313" s="8"/>
      <c r="C1313" s="7" t="str">
        <f>IF(B1313="","",IFERROR(INDEX(Vidriería!$C$2:$C$301,MATCH(B1313,Vidriería!$A$2:$A$301,0))&amp;" "&amp;INDEX(Vidriería!$D$2:$D$301,MATCH(B1313,Vidriería!$A$2:$A$301,0)),"ID no existe"))</f>
        <v/>
      </c>
      <c r="D1313" s="8"/>
      <c r="E1313" s="8"/>
      <c r="F1313" s="8"/>
      <c r="G1313" s="13"/>
    </row>
    <row r="1314" spans="1:7" x14ac:dyDescent="0.3">
      <c r="A1314" s="11"/>
      <c r="B1314" s="8"/>
      <c r="C1314" s="7" t="str">
        <f>IF(B1314="","",IFERROR(INDEX(Vidriería!$C$2:$C$301,MATCH(B1314,Vidriería!$A$2:$A$301,0))&amp;" "&amp;INDEX(Vidriería!$D$2:$D$301,MATCH(B1314,Vidriería!$A$2:$A$301,0)),"ID no existe"))</f>
        <v/>
      </c>
      <c r="D1314" s="8"/>
      <c r="E1314" s="8"/>
      <c r="F1314" s="8"/>
      <c r="G1314" s="13"/>
    </row>
    <row r="1315" spans="1:7" x14ac:dyDescent="0.3">
      <c r="A1315" s="11"/>
      <c r="B1315" s="8"/>
      <c r="C1315" s="7" t="str">
        <f>IF(B1315="","",IFERROR(INDEX(Vidriería!$C$2:$C$301,MATCH(B1315,Vidriería!$A$2:$A$301,0))&amp;" "&amp;INDEX(Vidriería!$D$2:$D$301,MATCH(B1315,Vidriería!$A$2:$A$301,0)),"ID no existe"))</f>
        <v/>
      </c>
      <c r="D1315" s="8"/>
      <c r="E1315" s="8"/>
      <c r="F1315" s="8"/>
      <c r="G1315" s="13"/>
    </row>
    <row r="1316" spans="1:7" x14ac:dyDescent="0.3">
      <c r="A1316" s="11"/>
      <c r="B1316" s="8"/>
      <c r="C1316" s="7" t="str">
        <f>IF(B1316="","",IFERROR(INDEX(Vidriería!$C$2:$C$301,MATCH(B1316,Vidriería!$A$2:$A$301,0))&amp;" "&amp;INDEX(Vidriería!$D$2:$D$301,MATCH(B1316,Vidriería!$A$2:$A$301,0)),"ID no existe"))</f>
        <v/>
      </c>
      <c r="D1316" s="8"/>
      <c r="E1316" s="8"/>
      <c r="F1316" s="8"/>
      <c r="G1316" s="13"/>
    </row>
    <row r="1317" spans="1:7" x14ac:dyDescent="0.3">
      <c r="A1317" s="11"/>
      <c r="B1317" s="8"/>
      <c r="C1317" s="7" t="str">
        <f>IF(B1317="","",IFERROR(INDEX(Vidriería!$C$2:$C$301,MATCH(B1317,Vidriería!$A$2:$A$301,0))&amp;" "&amp;INDEX(Vidriería!$D$2:$D$301,MATCH(B1317,Vidriería!$A$2:$A$301,0)),"ID no existe"))</f>
        <v/>
      </c>
      <c r="D1317" s="8"/>
      <c r="E1317" s="8"/>
      <c r="F1317" s="8"/>
      <c r="G1317" s="13"/>
    </row>
    <row r="1318" spans="1:7" x14ac:dyDescent="0.3">
      <c r="A1318" s="11"/>
      <c r="B1318" s="8"/>
      <c r="C1318" s="7" t="str">
        <f>IF(B1318="","",IFERROR(INDEX(Vidriería!$C$2:$C$301,MATCH(B1318,Vidriería!$A$2:$A$301,0))&amp;" "&amp;INDEX(Vidriería!$D$2:$D$301,MATCH(B1318,Vidriería!$A$2:$A$301,0)),"ID no existe"))</f>
        <v/>
      </c>
      <c r="D1318" s="8"/>
      <c r="E1318" s="8"/>
      <c r="F1318" s="8"/>
      <c r="G1318" s="13"/>
    </row>
    <row r="1319" spans="1:7" x14ac:dyDescent="0.3">
      <c r="A1319" s="11"/>
      <c r="B1319" s="8"/>
      <c r="C1319" s="7" t="str">
        <f>IF(B1319="","",IFERROR(INDEX(Vidriería!$C$2:$C$301,MATCH(B1319,Vidriería!$A$2:$A$301,0))&amp;" "&amp;INDEX(Vidriería!$D$2:$D$301,MATCH(B1319,Vidriería!$A$2:$A$301,0)),"ID no existe"))</f>
        <v/>
      </c>
      <c r="D1319" s="8"/>
      <c r="E1319" s="8"/>
      <c r="F1319" s="8"/>
      <c r="G1319" s="13"/>
    </row>
    <row r="1320" spans="1:7" x14ac:dyDescent="0.3">
      <c r="A1320" s="11"/>
      <c r="B1320" s="8"/>
      <c r="C1320" s="7" t="str">
        <f>IF(B1320="","",IFERROR(INDEX(Vidriería!$C$2:$C$301,MATCH(B1320,Vidriería!$A$2:$A$301,0))&amp;" "&amp;INDEX(Vidriería!$D$2:$D$301,MATCH(B1320,Vidriería!$A$2:$A$301,0)),"ID no existe"))</f>
        <v/>
      </c>
      <c r="D1320" s="8"/>
      <c r="E1320" s="8"/>
      <c r="F1320" s="8"/>
      <c r="G1320" s="13"/>
    </row>
    <row r="1321" spans="1:7" x14ac:dyDescent="0.3">
      <c r="A1321" s="11"/>
      <c r="B1321" s="8"/>
      <c r="C1321" s="7" t="str">
        <f>IF(B1321="","",IFERROR(INDEX(Vidriería!$C$2:$C$301,MATCH(B1321,Vidriería!$A$2:$A$301,0))&amp;" "&amp;INDEX(Vidriería!$D$2:$D$301,MATCH(B1321,Vidriería!$A$2:$A$301,0)),"ID no existe"))</f>
        <v/>
      </c>
      <c r="D1321" s="8"/>
      <c r="E1321" s="8"/>
      <c r="F1321" s="8"/>
      <c r="G1321" s="13"/>
    </row>
    <row r="1322" spans="1:7" x14ac:dyDescent="0.3">
      <c r="A1322" s="11"/>
      <c r="B1322" s="8"/>
      <c r="C1322" s="7" t="str">
        <f>IF(B1322="","",IFERROR(INDEX(Vidriería!$C$2:$C$301,MATCH(B1322,Vidriería!$A$2:$A$301,0))&amp;" "&amp;INDEX(Vidriería!$D$2:$D$301,MATCH(B1322,Vidriería!$A$2:$A$301,0)),"ID no existe"))</f>
        <v/>
      </c>
      <c r="D1322" s="8"/>
      <c r="E1322" s="8"/>
      <c r="F1322" s="8"/>
      <c r="G1322" s="13"/>
    </row>
    <row r="1323" spans="1:7" x14ac:dyDescent="0.3">
      <c r="A1323" s="11"/>
      <c r="B1323" s="8"/>
      <c r="C1323" s="7" t="str">
        <f>IF(B1323="","",IFERROR(INDEX(Vidriería!$C$2:$C$301,MATCH(B1323,Vidriería!$A$2:$A$301,0))&amp;" "&amp;INDEX(Vidriería!$D$2:$D$301,MATCH(B1323,Vidriería!$A$2:$A$301,0)),"ID no existe"))</f>
        <v/>
      </c>
      <c r="D1323" s="8"/>
      <c r="E1323" s="8"/>
      <c r="F1323" s="8"/>
      <c r="G1323" s="13"/>
    </row>
    <row r="1324" spans="1:7" x14ac:dyDescent="0.3">
      <c r="A1324" s="11"/>
      <c r="B1324" s="8"/>
      <c r="C1324" s="7" t="str">
        <f>IF(B1324="","",IFERROR(INDEX(Vidriería!$C$2:$C$301,MATCH(B1324,Vidriería!$A$2:$A$301,0))&amp;" "&amp;INDEX(Vidriería!$D$2:$D$301,MATCH(B1324,Vidriería!$A$2:$A$301,0)),"ID no existe"))</f>
        <v/>
      </c>
      <c r="D1324" s="8"/>
      <c r="E1324" s="8"/>
      <c r="F1324" s="8"/>
      <c r="G1324" s="13"/>
    </row>
    <row r="1325" spans="1:7" x14ac:dyDescent="0.3">
      <c r="A1325" s="11"/>
      <c r="B1325" s="8"/>
      <c r="C1325" s="7" t="str">
        <f>IF(B1325="","",IFERROR(INDEX(Vidriería!$C$2:$C$301,MATCH(B1325,Vidriería!$A$2:$A$301,0))&amp;" "&amp;INDEX(Vidriería!$D$2:$D$301,MATCH(B1325,Vidriería!$A$2:$A$301,0)),"ID no existe"))</f>
        <v/>
      </c>
      <c r="D1325" s="8"/>
      <c r="E1325" s="8"/>
      <c r="F1325" s="8"/>
      <c r="G1325" s="13"/>
    </row>
    <row r="1326" spans="1:7" x14ac:dyDescent="0.3">
      <c r="A1326" s="11"/>
      <c r="B1326" s="8"/>
      <c r="C1326" s="7" t="str">
        <f>IF(B1326="","",IFERROR(INDEX(Vidriería!$C$2:$C$301,MATCH(B1326,Vidriería!$A$2:$A$301,0))&amp;" "&amp;INDEX(Vidriería!$D$2:$D$301,MATCH(B1326,Vidriería!$A$2:$A$301,0)),"ID no existe"))</f>
        <v/>
      </c>
      <c r="D1326" s="8"/>
      <c r="E1326" s="8"/>
      <c r="F1326" s="8"/>
      <c r="G1326" s="13"/>
    </row>
    <row r="1327" spans="1:7" x14ac:dyDescent="0.3">
      <c r="A1327" s="11"/>
      <c r="B1327" s="8"/>
      <c r="C1327" s="7" t="str">
        <f>IF(B1327="","",IFERROR(INDEX(Vidriería!$C$2:$C$301,MATCH(B1327,Vidriería!$A$2:$A$301,0))&amp;" "&amp;INDEX(Vidriería!$D$2:$D$301,MATCH(B1327,Vidriería!$A$2:$A$301,0)),"ID no existe"))</f>
        <v/>
      </c>
      <c r="D1327" s="8"/>
      <c r="E1327" s="8"/>
      <c r="F1327" s="8"/>
      <c r="G1327" s="13"/>
    </row>
    <row r="1328" spans="1:7" x14ac:dyDescent="0.3">
      <c r="A1328" s="11"/>
      <c r="B1328" s="8"/>
      <c r="C1328" s="7" t="str">
        <f>IF(B1328="","",IFERROR(INDEX(Vidriería!$C$2:$C$301,MATCH(B1328,Vidriería!$A$2:$A$301,0))&amp;" "&amp;INDEX(Vidriería!$D$2:$D$301,MATCH(B1328,Vidriería!$A$2:$A$301,0)),"ID no existe"))</f>
        <v/>
      </c>
      <c r="D1328" s="8"/>
      <c r="E1328" s="8"/>
      <c r="F1328" s="8"/>
      <c r="G1328" s="13"/>
    </row>
    <row r="1329" spans="1:7" x14ac:dyDescent="0.3">
      <c r="A1329" s="11"/>
      <c r="B1329" s="8"/>
      <c r="C1329" s="7" t="str">
        <f>IF(B1329="","",IFERROR(INDEX(Vidriería!$C$2:$C$301,MATCH(B1329,Vidriería!$A$2:$A$301,0))&amp;" "&amp;INDEX(Vidriería!$D$2:$D$301,MATCH(B1329,Vidriería!$A$2:$A$301,0)),"ID no existe"))</f>
        <v/>
      </c>
      <c r="D1329" s="8"/>
      <c r="E1329" s="8"/>
      <c r="F1329" s="8"/>
      <c r="G1329" s="13"/>
    </row>
    <row r="1330" spans="1:7" x14ac:dyDescent="0.3">
      <c r="A1330" s="11"/>
      <c r="B1330" s="8"/>
      <c r="C1330" s="7" t="str">
        <f>IF(B1330="","",IFERROR(INDEX(Vidriería!$C$2:$C$301,MATCH(B1330,Vidriería!$A$2:$A$301,0))&amp;" "&amp;INDEX(Vidriería!$D$2:$D$301,MATCH(B1330,Vidriería!$A$2:$A$301,0)),"ID no existe"))</f>
        <v/>
      </c>
      <c r="D1330" s="8"/>
      <c r="E1330" s="8"/>
      <c r="F1330" s="8"/>
      <c r="G1330" s="13"/>
    </row>
    <row r="1331" spans="1:7" x14ac:dyDescent="0.3">
      <c r="A1331" s="11"/>
      <c r="B1331" s="8"/>
      <c r="C1331" s="7" t="str">
        <f>IF(B1331="","",IFERROR(INDEX(Vidriería!$C$2:$C$301,MATCH(B1331,Vidriería!$A$2:$A$301,0))&amp;" "&amp;INDEX(Vidriería!$D$2:$D$301,MATCH(B1331,Vidriería!$A$2:$A$301,0)),"ID no existe"))</f>
        <v/>
      </c>
      <c r="D1331" s="8"/>
      <c r="E1331" s="8"/>
      <c r="F1331" s="8"/>
      <c r="G1331" s="13"/>
    </row>
    <row r="1332" spans="1:7" x14ac:dyDescent="0.3">
      <c r="A1332" s="11"/>
      <c r="B1332" s="8"/>
      <c r="C1332" s="7" t="str">
        <f>IF(B1332="","",IFERROR(INDEX(Vidriería!$C$2:$C$301,MATCH(B1332,Vidriería!$A$2:$A$301,0))&amp;" "&amp;INDEX(Vidriería!$D$2:$D$301,MATCH(B1332,Vidriería!$A$2:$A$301,0)),"ID no existe"))</f>
        <v/>
      </c>
      <c r="D1332" s="8"/>
      <c r="E1332" s="8"/>
      <c r="F1332" s="8"/>
      <c r="G1332" s="13"/>
    </row>
    <row r="1333" spans="1:7" x14ac:dyDescent="0.3">
      <c r="A1333" s="11"/>
      <c r="B1333" s="8"/>
      <c r="C1333" s="7" t="str">
        <f>IF(B1333="","",IFERROR(INDEX(Vidriería!$C$2:$C$301,MATCH(B1333,Vidriería!$A$2:$A$301,0))&amp;" "&amp;INDEX(Vidriería!$D$2:$D$301,MATCH(B1333,Vidriería!$A$2:$A$301,0)),"ID no existe"))</f>
        <v/>
      </c>
      <c r="D1333" s="8"/>
      <c r="E1333" s="8"/>
      <c r="F1333" s="8"/>
      <c r="G1333" s="13"/>
    </row>
    <row r="1334" spans="1:7" x14ac:dyDescent="0.3">
      <c r="A1334" s="11"/>
      <c r="B1334" s="8"/>
      <c r="C1334" s="7" t="str">
        <f>IF(B1334="","",IFERROR(INDEX(Vidriería!$C$2:$C$301,MATCH(B1334,Vidriería!$A$2:$A$301,0))&amp;" "&amp;INDEX(Vidriería!$D$2:$D$301,MATCH(B1334,Vidriería!$A$2:$A$301,0)),"ID no existe"))</f>
        <v/>
      </c>
      <c r="D1334" s="8"/>
      <c r="E1334" s="8"/>
      <c r="F1334" s="8"/>
      <c r="G1334" s="13"/>
    </row>
    <row r="1335" spans="1:7" x14ac:dyDescent="0.3">
      <c r="A1335" s="11"/>
      <c r="B1335" s="8"/>
      <c r="C1335" s="7" t="str">
        <f>IF(B1335="","",IFERROR(INDEX(Vidriería!$C$2:$C$301,MATCH(B1335,Vidriería!$A$2:$A$301,0))&amp;" "&amp;INDEX(Vidriería!$D$2:$D$301,MATCH(B1335,Vidriería!$A$2:$A$301,0)),"ID no existe"))</f>
        <v/>
      </c>
      <c r="D1335" s="8"/>
      <c r="E1335" s="8"/>
      <c r="F1335" s="8"/>
      <c r="G1335" s="13"/>
    </row>
    <row r="1336" spans="1:7" x14ac:dyDescent="0.3">
      <c r="A1336" s="11"/>
      <c r="B1336" s="8"/>
      <c r="C1336" s="7" t="str">
        <f>IF(B1336="","",IFERROR(INDEX(Vidriería!$C$2:$C$301,MATCH(B1336,Vidriería!$A$2:$A$301,0))&amp;" "&amp;INDEX(Vidriería!$D$2:$D$301,MATCH(B1336,Vidriería!$A$2:$A$301,0)),"ID no existe"))</f>
        <v/>
      </c>
      <c r="D1336" s="8"/>
      <c r="E1336" s="8"/>
      <c r="F1336" s="8"/>
      <c r="G1336" s="13"/>
    </row>
    <row r="1337" spans="1:7" x14ac:dyDescent="0.3">
      <c r="A1337" s="11"/>
      <c r="B1337" s="8"/>
      <c r="C1337" s="7" t="str">
        <f>IF(B1337="","",IFERROR(INDEX(Vidriería!$C$2:$C$301,MATCH(B1337,Vidriería!$A$2:$A$301,0))&amp;" "&amp;INDEX(Vidriería!$D$2:$D$301,MATCH(B1337,Vidriería!$A$2:$A$301,0)),"ID no existe"))</f>
        <v/>
      </c>
      <c r="D1337" s="8"/>
      <c r="E1337" s="8"/>
      <c r="F1337" s="8"/>
      <c r="G1337" s="13"/>
    </row>
    <row r="1338" spans="1:7" x14ac:dyDescent="0.3">
      <c r="A1338" s="11"/>
      <c r="B1338" s="8"/>
      <c r="C1338" s="7" t="str">
        <f>IF(B1338="","",IFERROR(INDEX(Vidriería!$C$2:$C$301,MATCH(B1338,Vidriería!$A$2:$A$301,0))&amp;" "&amp;INDEX(Vidriería!$D$2:$D$301,MATCH(B1338,Vidriería!$A$2:$A$301,0)),"ID no existe"))</f>
        <v/>
      </c>
      <c r="D1338" s="8"/>
      <c r="E1338" s="8"/>
      <c r="F1338" s="8"/>
      <c r="G1338" s="13"/>
    </row>
    <row r="1339" spans="1:7" x14ac:dyDescent="0.3">
      <c r="A1339" s="11"/>
      <c r="B1339" s="8"/>
      <c r="C1339" s="7" t="str">
        <f>IF(B1339="","",IFERROR(INDEX(Vidriería!$C$2:$C$301,MATCH(B1339,Vidriería!$A$2:$A$301,0))&amp;" "&amp;INDEX(Vidriería!$D$2:$D$301,MATCH(B1339,Vidriería!$A$2:$A$301,0)),"ID no existe"))</f>
        <v/>
      </c>
      <c r="D1339" s="8"/>
      <c r="E1339" s="8"/>
      <c r="F1339" s="8"/>
      <c r="G1339" s="13"/>
    </row>
    <row r="1340" spans="1:7" x14ac:dyDescent="0.3">
      <c r="A1340" s="11"/>
      <c r="B1340" s="8"/>
      <c r="C1340" s="7" t="str">
        <f>IF(B1340="","",IFERROR(INDEX(Vidriería!$C$2:$C$301,MATCH(B1340,Vidriería!$A$2:$A$301,0))&amp;" "&amp;INDEX(Vidriería!$D$2:$D$301,MATCH(B1340,Vidriería!$A$2:$A$301,0)),"ID no existe"))</f>
        <v/>
      </c>
      <c r="D1340" s="8"/>
      <c r="E1340" s="8"/>
      <c r="F1340" s="8"/>
      <c r="G1340" s="13"/>
    </row>
    <row r="1341" spans="1:7" x14ac:dyDescent="0.3">
      <c r="A1341" s="11"/>
      <c r="B1341" s="8"/>
      <c r="C1341" s="7" t="str">
        <f>IF(B1341="","",IFERROR(INDEX(Vidriería!$C$2:$C$301,MATCH(B1341,Vidriería!$A$2:$A$301,0))&amp;" "&amp;INDEX(Vidriería!$D$2:$D$301,MATCH(B1341,Vidriería!$A$2:$A$301,0)),"ID no existe"))</f>
        <v/>
      </c>
      <c r="D1341" s="8"/>
      <c r="E1341" s="8"/>
      <c r="F1341" s="8"/>
      <c r="G1341" s="13"/>
    </row>
    <row r="1342" spans="1:7" x14ac:dyDescent="0.3">
      <c r="A1342" s="11"/>
      <c r="B1342" s="8"/>
      <c r="C1342" s="7" t="str">
        <f>IF(B1342="","",IFERROR(INDEX(Vidriería!$C$2:$C$301,MATCH(B1342,Vidriería!$A$2:$A$301,0))&amp;" "&amp;INDEX(Vidriería!$D$2:$D$301,MATCH(B1342,Vidriería!$A$2:$A$301,0)),"ID no existe"))</f>
        <v/>
      </c>
      <c r="D1342" s="8"/>
      <c r="E1342" s="8"/>
      <c r="F1342" s="8"/>
      <c r="G1342" s="13"/>
    </row>
    <row r="1343" spans="1:7" x14ac:dyDescent="0.3">
      <c r="A1343" s="11"/>
      <c r="B1343" s="8"/>
      <c r="C1343" s="7" t="str">
        <f>IF(B1343="","",IFERROR(INDEX(Vidriería!$C$2:$C$301,MATCH(B1343,Vidriería!$A$2:$A$301,0))&amp;" "&amp;INDEX(Vidriería!$D$2:$D$301,MATCH(B1343,Vidriería!$A$2:$A$301,0)),"ID no existe"))</f>
        <v/>
      </c>
      <c r="D1343" s="8"/>
      <c r="E1343" s="8"/>
      <c r="F1343" s="8"/>
      <c r="G1343" s="13"/>
    </row>
    <row r="1344" spans="1:7" x14ac:dyDescent="0.3">
      <c r="A1344" s="11"/>
      <c r="B1344" s="8"/>
      <c r="C1344" s="7" t="str">
        <f>IF(B1344="","",IFERROR(INDEX(Vidriería!$C$2:$C$301,MATCH(B1344,Vidriería!$A$2:$A$301,0))&amp;" "&amp;INDEX(Vidriería!$D$2:$D$301,MATCH(B1344,Vidriería!$A$2:$A$301,0)),"ID no existe"))</f>
        <v/>
      </c>
      <c r="D1344" s="8"/>
      <c r="E1344" s="8"/>
      <c r="F1344" s="8"/>
      <c r="G1344" s="13"/>
    </row>
    <row r="1345" spans="1:7" x14ac:dyDescent="0.3">
      <c r="A1345" s="11"/>
      <c r="B1345" s="8"/>
      <c r="C1345" s="7" t="str">
        <f>IF(B1345="","",IFERROR(INDEX(Vidriería!$C$2:$C$301,MATCH(B1345,Vidriería!$A$2:$A$301,0))&amp;" "&amp;INDEX(Vidriería!$D$2:$D$301,MATCH(B1345,Vidriería!$A$2:$A$301,0)),"ID no existe"))</f>
        <v/>
      </c>
      <c r="D1345" s="8"/>
      <c r="E1345" s="8"/>
      <c r="F1345" s="8"/>
      <c r="G1345" s="13"/>
    </row>
    <row r="1346" spans="1:7" x14ac:dyDescent="0.3">
      <c r="A1346" s="11"/>
      <c r="B1346" s="8"/>
      <c r="C1346" s="7" t="str">
        <f>IF(B1346="","",IFERROR(INDEX(Vidriería!$C$2:$C$301,MATCH(B1346,Vidriería!$A$2:$A$301,0))&amp;" "&amp;INDEX(Vidriería!$D$2:$D$301,MATCH(B1346,Vidriería!$A$2:$A$301,0)),"ID no existe"))</f>
        <v/>
      </c>
      <c r="D1346" s="8"/>
      <c r="E1346" s="8"/>
      <c r="F1346" s="8"/>
      <c r="G1346" s="13"/>
    </row>
    <row r="1347" spans="1:7" x14ac:dyDescent="0.3">
      <c r="A1347" s="11"/>
      <c r="B1347" s="8"/>
      <c r="C1347" s="7" t="str">
        <f>IF(B1347="","",IFERROR(INDEX(Vidriería!$C$2:$C$301,MATCH(B1347,Vidriería!$A$2:$A$301,0))&amp;" "&amp;INDEX(Vidriería!$D$2:$D$301,MATCH(B1347,Vidriería!$A$2:$A$301,0)),"ID no existe"))</f>
        <v/>
      </c>
      <c r="D1347" s="8"/>
      <c r="E1347" s="8"/>
      <c r="F1347" s="8"/>
      <c r="G1347" s="13"/>
    </row>
    <row r="1348" spans="1:7" x14ac:dyDescent="0.3">
      <c r="A1348" s="11"/>
      <c r="B1348" s="8"/>
      <c r="C1348" s="7" t="str">
        <f>IF(B1348="","",IFERROR(INDEX(Vidriería!$C$2:$C$301,MATCH(B1348,Vidriería!$A$2:$A$301,0))&amp;" "&amp;INDEX(Vidriería!$D$2:$D$301,MATCH(B1348,Vidriería!$A$2:$A$301,0)),"ID no existe"))</f>
        <v/>
      </c>
      <c r="D1348" s="8"/>
      <c r="E1348" s="8"/>
      <c r="F1348" s="8"/>
      <c r="G1348" s="13"/>
    </row>
    <row r="1349" spans="1:7" x14ac:dyDescent="0.3">
      <c r="A1349" s="11"/>
      <c r="B1349" s="8"/>
      <c r="C1349" s="7" t="str">
        <f>IF(B1349="","",IFERROR(INDEX(Vidriería!$C$2:$C$301,MATCH(B1349,Vidriería!$A$2:$A$301,0))&amp;" "&amp;INDEX(Vidriería!$D$2:$D$301,MATCH(B1349,Vidriería!$A$2:$A$301,0)),"ID no existe"))</f>
        <v/>
      </c>
      <c r="D1349" s="8"/>
      <c r="E1349" s="8"/>
      <c r="F1349" s="8"/>
      <c r="G1349" s="13"/>
    </row>
    <row r="1350" spans="1:7" x14ac:dyDescent="0.3">
      <c r="A1350" s="11"/>
      <c r="B1350" s="8"/>
      <c r="C1350" s="7" t="str">
        <f>IF(B1350="","",IFERROR(INDEX(Vidriería!$C$2:$C$301,MATCH(B1350,Vidriería!$A$2:$A$301,0))&amp;" "&amp;INDEX(Vidriería!$D$2:$D$301,MATCH(B1350,Vidriería!$A$2:$A$301,0)),"ID no existe"))</f>
        <v/>
      </c>
      <c r="D1350" s="8"/>
      <c r="E1350" s="8"/>
      <c r="F1350" s="8"/>
      <c r="G1350" s="13"/>
    </row>
    <row r="1351" spans="1:7" x14ac:dyDescent="0.3">
      <c r="A1351" s="11"/>
      <c r="B1351" s="8"/>
      <c r="C1351" s="7" t="str">
        <f>IF(B1351="","",IFERROR(INDEX(Vidriería!$C$2:$C$301,MATCH(B1351,Vidriería!$A$2:$A$301,0))&amp;" "&amp;INDEX(Vidriería!$D$2:$D$301,MATCH(B1351,Vidriería!$A$2:$A$301,0)),"ID no existe"))</f>
        <v/>
      </c>
      <c r="D1351" s="8"/>
      <c r="E1351" s="8"/>
      <c r="F1351" s="8"/>
      <c r="G1351" s="13"/>
    </row>
    <row r="1352" spans="1:7" x14ac:dyDescent="0.3">
      <c r="A1352" s="11"/>
      <c r="B1352" s="8"/>
      <c r="C1352" s="7" t="str">
        <f>IF(B1352="","",IFERROR(INDEX(Vidriería!$C$2:$C$301,MATCH(B1352,Vidriería!$A$2:$A$301,0))&amp;" "&amp;INDEX(Vidriería!$D$2:$D$301,MATCH(B1352,Vidriería!$A$2:$A$301,0)),"ID no existe"))</f>
        <v/>
      </c>
      <c r="D1352" s="8"/>
      <c r="E1352" s="8"/>
      <c r="F1352" s="8"/>
      <c r="G1352" s="13"/>
    </row>
    <row r="1353" spans="1:7" x14ac:dyDescent="0.3">
      <c r="A1353" s="11"/>
      <c r="B1353" s="8"/>
      <c r="C1353" s="7" t="str">
        <f>IF(B1353="","",IFERROR(INDEX(Vidriería!$C$2:$C$301,MATCH(B1353,Vidriería!$A$2:$A$301,0))&amp;" "&amp;INDEX(Vidriería!$D$2:$D$301,MATCH(B1353,Vidriería!$A$2:$A$301,0)),"ID no existe"))</f>
        <v/>
      </c>
      <c r="D1353" s="8"/>
      <c r="E1353" s="8"/>
      <c r="F1353" s="8"/>
      <c r="G1353" s="13"/>
    </row>
    <row r="1354" spans="1:7" x14ac:dyDescent="0.3">
      <c r="A1354" s="11"/>
      <c r="B1354" s="8"/>
      <c r="C1354" s="7" t="str">
        <f>IF(B1354="","",IFERROR(INDEX(Vidriería!$C$2:$C$301,MATCH(B1354,Vidriería!$A$2:$A$301,0))&amp;" "&amp;INDEX(Vidriería!$D$2:$D$301,MATCH(B1354,Vidriería!$A$2:$A$301,0)),"ID no existe"))</f>
        <v/>
      </c>
      <c r="D1354" s="8"/>
      <c r="E1354" s="8"/>
      <c r="F1354" s="8"/>
      <c r="G1354" s="13"/>
    </row>
    <row r="1355" spans="1:7" x14ac:dyDescent="0.3">
      <c r="A1355" s="11"/>
      <c r="B1355" s="8"/>
      <c r="C1355" s="7" t="str">
        <f>IF(B1355="","",IFERROR(INDEX(Vidriería!$C$2:$C$301,MATCH(B1355,Vidriería!$A$2:$A$301,0))&amp;" "&amp;INDEX(Vidriería!$D$2:$D$301,MATCH(B1355,Vidriería!$A$2:$A$301,0)),"ID no existe"))</f>
        <v/>
      </c>
      <c r="D1355" s="8"/>
      <c r="E1355" s="8"/>
      <c r="F1355" s="8"/>
      <c r="G1355" s="13"/>
    </row>
    <row r="1356" spans="1:7" x14ac:dyDescent="0.3">
      <c r="A1356" s="11"/>
      <c r="B1356" s="8"/>
      <c r="C1356" s="7" t="str">
        <f>IF(B1356="","",IFERROR(INDEX(Vidriería!$C$2:$C$301,MATCH(B1356,Vidriería!$A$2:$A$301,0))&amp;" "&amp;INDEX(Vidriería!$D$2:$D$301,MATCH(B1356,Vidriería!$A$2:$A$301,0)),"ID no existe"))</f>
        <v/>
      </c>
      <c r="D1356" s="8"/>
      <c r="E1356" s="8"/>
      <c r="F1356" s="8"/>
      <c r="G1356" s="13"/>
    </row>
    <row r="1357" spans="1:7" x14ac:dyDescent="0.3">
      <c r="A1357" s="11"/>
      <c r="B1357" s="8"/>
      <c r="C1357" s="7" t="str">
        <f>IF(B1357="","",IFERROR(INDEX(Vidriería!$C$2:$C$301,MATCH(B1357,Vidriería!$A$2:$A$301,0))&amp;" "&amp;INDEX(Vidriería!$D$2:$D$301,MATCH(B1357,Vidriería!$A$2:$A$301,0)),"ID no existe"))</f>
        <v/>
      </c>
      <c r="D1357" s="8"/>
      <c r="E1357" s="8"/>
      <c r="F1357" s="8"/>
      <c r="G1357" s="13"/>
    </row>
    <row r="1358" spans="1:7" x14ac:dyDescent="0.3">
      <c r="A1358" s="11"/>
      <c r="B1358" s="8"/>
      <c r="C1358" s="7" t="str">
        <f>IF(B1358="","",IFERROR(INDEX(Vidriería!$C$2:$C$301,MATCH(B1358,Vidriería!$A$2:$A$301,0))&amp;" "&amp;INDEX(Vidriería!$D$2:$D$301,MATCH(B1358,Vidriería!$A$2:$A$301,0)),"ID no existe"))</f>
        <v/>
      </c>
      <c r="D1358" s="8"/>
      <c r="E1358" s="8"/>
      <c r="F1358" s="8"/>
      <c r="G1358" s="13"/>
    </row>
    <row r="1359" spans="1:7" x14ac:dyDescent="0.3">
      <c r="A1359" s="11"/>
      <c r="B1359" s="8"/>
      <c r="C1359" s="7" t="str">
        <f>IF(B1359="","",IFERROR(INDEX(Vidriería!$C$2:$C$301,MATCH(B1359,Vidriería!$A$2:$A$301,0))&amp;" "&amp;INDEX(Vidriería!$D$2:$D$301,MATCH(B1359,Vidriería!$A$2:$A$301,0)),"ID no existe"))</f>
        <v/>
      </c>
      <c r="D1359" s="8"/>
      <c r="E1359" s="8"/>
      <c r="F1359" s="8"/>
      <c r="G1359" s="13"/>
    </row>
    <row r="1360" spans="1:7" x14ac:dyDescent="0.3">
      <c r="A1360" s="11"/>
      <c r="B1360" s="8"/>
      <c r="C1360" s="7" t="str">
        <f>IF(B1360="","",IFERROR(INDEX(Vidriería!$C$2:$C$301,MATCH(B1360,Vidriería!$A$2:$A$301,0))&amp;" "&amp;INDEX(Vidriería!$D$2:$D$301,MATCH(B1360,Vidriería!$A$2:$A$301,0)),"ID no existe"))</f>
        <v/>
      </c>
      <c r="D1360" s="8"/>
      <c r="E1360" s="8"/>
      <c r="F1360" s="8"/>
      <c r="G1360" s="13"/>
    </row>
    <row r="1361" spans="1:7" x14ac:dyDescent="0.3">
      <c r="A1361" s="11"/>
      <c r="B1361" s="8"/>
      <c r="C1361" s="7" t="str">
        <f>IF(B1361="","",IFERROR(INDEX(Vidriería!$C$2:$C$301,MATCH(B1361,Vidriería!$A$2:$A$301,0))&amp;" "&amp;INDEX(Vidriería!$D$2:$D$301,MATCH(B1361,Vidriería!$A$2:$A$301,0)),"ID no existe"))</f>
        <v/>
      </c>
      <c r="D1361" s="8"/>
      <c r="E1361" s="8"/>
      <c r="F1361" s="8"/>
      <c r="G1361" s="13"/>
    </row>
    <row r="1362" spans="1:7" x14ac:dyDescent="0.3">
      <c r="A1362" s="11"/>
      <c r="B1362" s="8"/>
      <c r="C1362" s="7" t="str">
        <f>IF(B1362="","",IFERROR(INDEX(Vidriería!$C$2:$C$301,MATCH(B1362,Vidriería!$A$2:$A$301,0))&amp;" "&amp;INDEX(Vidriería!$D$2:$D$301,MATCH(B1362,Vidriería!$A$2:$A$301,0)),"ID no existe"))</f>
        <v/>
      </c>
      <c r="D1362" s="8"/>
      <c r="E1362" s="8"/>
      <c r="F1362" s="8"/>
      <c r="G1362" s="13"/>
    </row>
    <row r="1363" spans="1:7" x14ac:dyDescent="0.3">
      <c r="A1363" s="11"/>
      <c r="B1363" s="8"/>
      <c r="C1363" s="7" t="str">
        <f>IF(B1363="","",IFERROR(INDEX(Vidriería!$C$2:$C$301,MATCH(B1363,Vidriería!$A$2:$A$301,0))&amp;" "&amp;INDEX(Vidriería!$D$2:$D$301,MATCH(B1363,Vidriería!$A$2:$A$301,0)),"ID no existe"))</f>
        <v/>
      </c>
      <c r="D1363" s="8"/>
      <c r="E1363" s="8"/>
      <c r="F1363" s="8"/>
      <c r="G1363" s="13"/>
    </row>
    <row r="1364" spans="1:7" x14ac:dyDescent="0.3">
      <c r="A1364" s="11"/>
      <c r="B1364" s="8"/>
      <c r="C1364" s="7" t="str">
        <f>IF(B1364="","",IFERROR(INDEX(Vidriería!$C$2:$C$301,MATCH(B1364,Vidriería!$A$2:$A$301,0))&amp;" "&amp;INDEX(Vidriería!$D$2:$D$301,MATCH(B1364,Vidriería!$A$2:$A$301,0)),"ID no existe"))</f>
        <v/>
      </c>
      <c r="D1364" s="8"/>
      <c r="E1364" s="8"/>
      <c r="F1364" s="8"/>
      <c r="G1364" s="13"/>
    </row>
    <row r="1365" spans="1:7" x14ac:dyDescent="0.3">
      <c r="A1365" s="11"/>
      <c r="B1365" s="8"/>
      <c r="C1365" s="7" t="str">
        <f>IF(B1365="","",IFERROR(INDEX(Vidriería!$C$2:$C$301,MATCH(B1365,Vidriería!$A$2:$A$301,0))&amp;" "&amp;INDEX(Vidriería!$D$2:$D$301,MATCH(B1365,Vidriería!$A$2:$A$301,0)),"ID no existe"))</f>
        <v/>
      </c>
      <c r="D1365" s="8"/>
      <c r="E1365" s="8"/>
      <c r="F1365" s="8"/>
      <c r="G1365" s="13"/>
    </row>
    <row r="1366" spans="1:7" x14ac:dyDescent="0.3">
      <c r="A1366" s="11"/>
      <c r="B1366" s="8"/>
      <c r="C1366" s="7" t="str">
        <f>IF(B1366="","",IFERROR(INDEX(Vidriería!$C$2:$C$301,MATCH(B1366,Vidriería!$A$2:$A$301,0))&amp;" "&amp;INDEX(Vidriería!$D$2:$D$301,MATCH(B1366,Vidriería!$A$2:$A$301,0)),"ID no existe"))</f>
        <v/>
      </c>
      <c r="D1366" s="8"/>
      <c r="E1366" s="8"/>
      <c r="F1366" s="8"/>
      <c r="G1366" s="13"/>
    </row>
    <row r="1367" spans="1:7" x14ac:dyDescent="0.3">
      <c r="A1367" s="11"/>
      <c r="B1367" s="8"/>
      <c r="C1367" s="7" t="str">
        <f>IF(B1367="","",IFERROR(INDEX(Vidriería!$C$2:$C$301,MATCH(B1367,Vidriería!$A$2:$A$301,0))&amp;" "&amp;INDEX(Vidriería!$D$2:$D$301,MATCH(B1367,Vidriería!$A$2:$A$301,0)),"ID no existe"))</f>
        <v/>
      </c>
      <c r="D1367" s="8"/>
      <c r="E1367" s="8"/>
      <c r="F1367" s="8"/>
      <c r="G1367" s="13"/>
    </row>
    <row r="1368" spans="1:7" x14ac:dyDescent="0.3">
      <c r="A1368" s="11"/>
      <c r="B1368" s="8"/>
      <c r="C1368" s="7" t="str">
        <f>IF(B1368="","",IFERROR(INDEX(Vidriería!$C$2:$C$301,MATCH(B1368,Vidriería!$A$2:$A$301,0))&amp;" "&amp;INDEX(Vidriería!$D$2:$D$301,MATCH(B1368,Vidriería!$A$2:$A$301,0)),"ID no existe"))</f>
        <v/>
      </c>
      <c r="D1368" s="8"/>
      <c r="E1368" s="8"/>
      <c r="F1368" s="8"/>
      <c r="G1368" s="13"/>
    </row>
    <row r="1369" spans="1:7" x14ac:dyDescent="0.3">
      <c r="A1369" s="11"/>
      <c r="B1369" s="8"/>
      <c r="C1369" s="7" t="str">
        <f>IF(B1369="","",IFERROR(INDEX(Vidriería!$C$2:$C$301,MATCH(B1369,Vidriería!$A$2:$A$301,0))&amp;" "&amp;INDEX(Vidriería!$D$2:$D$301,MATCH(B1369,Vidriería!$A$2:$A$301,0)),"ID no existe"))</f>
        <v/>
      </c>
      <c r="D1369" s="8"/>
      <c r="E1369" s="8"/>
      <c r="F1369" s="8"/>
      <c r="G1369" s="13"/>
    </row>
    <row r="1370" spans="1:7" x14ac:dyDescent="0.3">
      <c r="A1370" s="11"/>
      <c r="B1370" s="8"/>
      <c r="C1370" s="7" t="str">
        <f>IF(B1370="","",IFERROR(INDEX(Vidriería!$C$2:$C$301,MATCH(B1370,Vidriería!$A$2:$A$301,0))&amp;" "&amp;INDEX(Vidriería!$D$2:$D$301,MATCH(B1370,Vidriería!$A$2:$A$301,0)),"ID no existe"))</f>
        <v/>
      </c>
      <c r="D1370" s="8"/>
      <c r="E1370" s="8"/>
      <c r="F1370" s="8"/>
      <c r="G1370" s="13"/>
    </row>
    <row r="1371" spans="1:7" x14ac:dyDescent="0.3">
      <c r="A1371" s="11"/>
      <c r="B1371" s="8"/>
      <c r="C1371" s="7" t="str">
        <f>IF(B1371="","",IFERROR(INDEX(Vidriería!$C$2:$C$301,MATCH(B1371,Vidriería!$A$2:$A$301,0))&amp;" "&amp;INDEX(Vidriería!$D$2:$D$301,MATCH(B1371,Vidriería!$A$2:$A$301,0)),"ID no existe"))</f>
        <v/>
      </c>
      <c r="D1371" s="8"/>
      <c r="E1371" s="8"/>
      <c r="F1371" s="8"/>
      <c r="G1371" s="13"/>
    </row>
    <row r="1372" spans="1:7" x14ac:dyDescent="0.3">
      <c r="A1372" s="11"/>
      <c r="B1372" s="8"/>
      <c r="C1372" s="7" t="str">
        <f>IF(B1372="","",IFERROR(INDEX(Vidriería!$C$2:$C$301,MATCH(B1372,Vidriería!$A$2:$A$301,0))&amp;" "&amp;INDEX(Vidriería!$D$2:$D$301,MATCH(B1372,Vidriería!$A$2:$A$301,0)),"ID no existe"))</f>
        <v/>
      </c>
      <c r="D1372" s="8"/>
      <c r="E1372" s="8"/>
      <c r="F1372" s="8"/>
      <c r="G1372" s="13"/>
    </row>
    <row r="1373" spans="1:7" x14ac:dyDescent="0.3">
      <c r="A1373" s="11"/>
      <c r="B1373" s="8"/>
      <c r="C1373" s="7" t="str">
        <f>IF(B1373="","",IFERROR(INDEX(Vidriería!$C$2:$C$301,MATCH(B1373,Vidriería!$A$2:$A$301,0))&amp;" "&amp;INDEX(Vidriería!$D$2:$D$301,MATCH(B1373,Vidriería!$A$2:$A$301,0)),"ID no existe"))</f>
        <v/>
      </c>
      <c r="D1373" s="8"/>
      <c r="E1373" s="8"/>
      <c r="F1373" s="8"/>
      <c r="G1373" s="13"/>
    </row>
    <row r="1374" spans="1:7" x14ac:dyDescent="0.3">
      <c r="A1374" s="11"/>
      <c r="B1374" s="8"/>
      <c r="C1374" s="7" t="str">
        <f>IF(B1374="","",IFERROR(INDEX(Vidriería!$C$2:$C$301,MATCH(B1374,Vidriería!$A$2:$A$301,0))&amp;" "&amp;INDEX(Vidriería!$D$2:$D$301,MATCH(B1374,Vidriería!$A$2:$A$301,0)),"ID no existe"))</f>
        <v/>
      </c>
      <c r="D1374" s="8"/>
      <c r="E1374" s="8"/>
      <c r="F1374" s="8"/>
      <c r="G1374" s="13"/>
    </row>
    <row r="1375" spans="1:7" x14ac:dyDescent="0.3">
      <c r="A1375" s="11"/>
      <c r="B1375" s="8"/>
      <c r="C1375" s="7" t="str">
        <f>IF(B1375="","",IFERROR(INDEX(Vidriería!$C$2:$C$301,MATCH(B1375,Vidriería!$A$2:$A$301,0))&amp;" "&amp;INDEX(Vidriería!$D$2:$D$301,MATCH(B1375,Vidriería!$A$2:$A$301,0)),"ID no existe"))</f>
        <v/>
      </c>
      <c r="D1375" s="8"/>
      <c r="E1375" s="8"/>
      <c r="F1375" s="8"/>
      <c r="G1375" s="13"/>
    </row>
    <row r="1376" spans="1:7" x14ac:dyDescent="0.3">
      <c r="A1376" s="11"/>
      <c r="B1376" s="8"/>
      <c r="C1376" s="7" t="str">
        <f>IF(B1376="","",IFERROR(INDEX(Vidriería!$C$2:$C$301,MATCH(B1376,Vidriería!$A$2:$A$301,0))&amp;" "&amp;INDEX(Vidriería!$D$2:$D$301,MATCH(B1376,Vidriería!$A$2:$A$301,0)),"ID no existe"))</f>
        <v/>
      </c>
      <c r="D1376" s="8"/>
      <c r="E1376" s="8"/>
      <c r="F1376" s="8"/>
      <c r="G1376" s="13"/>
    </row>
    <row r="1377" spans="1:7" x14ac:dyDescent="0.3">
      <c r="A1377" s="11"/>
      <c r="B1377" s="8"/>
      <c r="C1377" s="7" t="str">
        <f>IF(B1377="","",IFERROR(INDEX(Vidriería!$C$2:$C$301,MATCH(B1377,Vidriería!$A$2:$A$301,0))&amp;" "&amp;INDEX(Vidriería!$D$2:$D$301,MATCH(B1377,Vidriería!$A$2:$A$301,0)),"ID no existe"))</f>
        <v/>
      </c>
      <c r="D1377" s="8"/>
      <c r="E1377" s="8"/>
      <c r="F1377" s="8"/>
      <c r="G1377" s="13"/>
    </row>
    <row r="1378" spans="1:7" x14ac:dyDescent="0.3">
      <c r="A1378" s="11"/>
      <c r="B1378" s="8"/>
      <c r="C1378" s="7" t="str">
        <f>IF(B1378="","",IFERROR(INDEX(Vidriería!$C$2:$C$301,MATCH(B1378,Vidriería!$A$2:$A$301,0))&amp;" "&amp;INDEX(Vidriería!$D$2:$D$301,MATCH(B1378,Vidriería!$A$2:$A$301,0)),"ID no existe"))</f>
        <v/>
      </c>
      <c r="D1378" s="8"/>
      <c r="E1378" s="8"/>
      <c r="F1378" s="8"/>
      <c r="G1378" s="13"/>
    </row>
    <row r="1379" spans="1:7" x14ac:dyDescent="0.3">
      <c r="A1379" s="11"/>
      <c r="B1379" s="8"/>
      <c r="C1379" s="7" t="str">
        <f>IF(B1379="","",IFERROR(INDEX(Vidriería!$C$2:$C$301,MATCH(B1379,Vidriería!$A$2:$A$301,0))&amp;" "&amp;INDEX(Vidriería!$D$2:$D$301,MATCH(B1379,Vidriería!$A$2:$A$301,0)),"ID no existe"))</f>
        <v/>
      </c>
      <c r="D1379" s="8"/>
      <c r="E1379" s="8"/>
      <c r="F1379" s="8"/>
      <c r="G1379" s="13"/>
    </row>
    <row r="1380" spans="1:7" x14ac:dyDescent="0.3">
      <c r="A1380" s="11"/>
      <c r="B1380" s="8"/>
      <c r="C1380" s="7" t="str">
        <f>IF(B1380="","",IFERROR(INDEX(Vidriería!$C$2:$C$301,MATCH(B1380,Vidriería!$A$2:$A$301,0))&amp;" "&amp;INDEX(Vidriería!$D$2:$D$301,MATCH(B1380,Vidriería!$A$2:$A$301,0)),"ID no existe"))</f>
        <v/>
      </c>
      <c r="D1380" s="8"/>
      <c r="E1380" s="8"/>
      <c r="F1380" s="8"/>
      <c r="G1380" s="13"/>
    </row>
    <row r="1381" spans="1:7" x14ac:dyDescent="0.3">
      <c r="A1381" s="11"/>
      <c r="B1381" s="8"/>
      <c r="C1381" s="7" t="str">
        <f>IF(B1381="","",IFERROR(INDEX(Vidriería!$C$2:$C$301,MATCH(B1381,Vidriería!$A$2:$A$301,0))&amp;" "&amp;INDEX(Vidriería!$D$2:$D$301,MATCH(B1381,Vidriería!$A$2:$A$301,0)),"ID no existe"))</f>
        <v/>
      </c>
      <c r="D1381" s="8"/>
      <c r="E1381" s="8"/>
      <c r="F1381" s="8"/>
      <c r="G1381" s="13"/>
    </row>
    <row r="1382" spans="1:7" x14ac:dyDescent="0.3">
      <c r="A1382" s="11"/>
      <c r="B1382" s="8"/>
      <c r="C1382" s="7" t="str">
        <f>IF(B1382="","",IFERROR(INDEX(Vidriería!$C$2:$C$301,MATCH(B1382,Vidriería!$A$2:$A$301,0))&amp;" "&amp;INDEX(Vidriería!$D$2:$D$301,MATCH(B1382,Vidriería!$A$2:$A$301,0)),"ID no existe"))</f>
        <v/>
      </c>
      <c r="D1382" s="8"/>
      <c r="E1382" s="8"/>
      <c r="F1382" s="8"/>
      <c r="G1382" s="13"/>
    </row>
    <row r="1383" spans="1:7" x14ac:dyDescent="0.3">
      <c r="A1383" s="11"/>
      <c r="B1383" s="8"/>
      <c r="C1383" s="7" t="str">
        <f>IF(B1383="","",IFERROR(INDEX(Vidriería!$C$2:$C$301,MATCH(B1383,Vidriería!$A$2:$A$301,0))&amp;" "&amp;INDEX(Vidriería!$D$2:$D$301,MATCH(B1383,Vidriería!$A$2:$A$301,0)),"ID no existe"))</f>
        <v/>
      </c>
      <c r="D1383" s="8"/>
      <c r="E1383" s="8"/>
      <c r="F1383" s="8"/>
      <c r="G1383" s="13"/>
    </row>
    <row r="1384" spans="1:7" x14ac:dyDescent="0.3">
      <c r="A1384" s="11"/>
      <c r="B1384" s="8"/>
      <c r="C1384" s="7" t="str">
        <f>IF(B1384="","",IFERROR(INDEX(Vidriería!$C$2:$C$301,MATCH(B1384,Vidriería!$A$2:$A$301,0))&amp;" "&amp;INDEX(Vidriería!$D$2:$D$301,MATCH(B1384,Vidriería!$A$2:$A$301,0)),"ID no existe"))</f>
        <v/>
      </c>
      <c r="D1384" s="8"/>
      <c r="E1384" s="8"/>
      <c r="F1384" s="8"/>
      <c r="G1384" s="13"/>
    </row>
    <row r="1385" spans="1:7" x14ac:dyDescent="0.3">
      <c r="A1385" s="11"/>
      <c r="B1385" s="8"/>
      <c r="C1385" s="7" t="str">
        <f>IF(B1385="","",IFERROR(INDEX(Vidriería!$C$2:$C$301,MATCH(B1385,Vidriería!$A$2:$A$301,0))&amp;" "&amp;INDEX(Vidriería!$D$2:$D$301,MATCH(B1385,Vidriería!$A$2:$A$301,0)),"ID no existe"))</f>
        <v/>
      </c>
      <c r="D1385" s="8"/>
      <c r="E1385" s="8"/>
      <c r="F1385" s="8"/>
      <c r="G1385" s="13"/>
    </row>
    <row r="1386" spans="1:7" x14ac:dyDescent="0.3">
      <c r="A1386" s="11"/>
      <c r="B1386" s="8"/>
      <c r="C1386" s="7" t="str">
        <f>IF(B1386="","",IFERROR(INDEX(Vidriería!$C$2:$C$301,MATCH(B1386,Vidriería!$A$2:$A$301,0))&amp;" "&amp;INDEX(Vidriería!$D$2:$D$301,MATCH(B1386,Vidriería!$A$2:$A$301,0)),"ID no existe"))</f>
        <v/>
      </c>
      <c r="D1386" s="8"/>
      <c r="E1386" s="8"/>
      <c r="F1386" s="8"/>
      <c r="G1386" s="13"/>
    </row>
    <row r="1387" spans="1:7" x14ac:dyDescent="0.3">
      <c r="A1387" s="11"/>
      <c r="B1387" s="8"/>
      <c r="C1387" s="7" t="str">
        <f>IF(B1387="","",IFERROR(INDEX(Vidriería!$C$2:$C$301,MATCH(B1387,Vidriería!$A$2:$A$301,0))&amp;" "&amp;INDEX(Vidriería!$D$2:$D$301,MATCH(B1387,Vidriería!$A$2:$A$301,0)),"ID no existe"))</f>
        <v/>
      </c>
      <c r="D1387" s="8"/>
      <c r="E1387" s="8"/>
      <c r="F1387" s="8"/>
      <c r="G1387" s="13"/>
    </row>
    <row r="1388" spans="1:7" x14ac:dyDescent="0.3">
      <c r="A1388" s="11"/>
      <c r="B1388" s="8"/>
      <c r="C1388" s="7" t="str">
        <f>IF(B1388="","",IFERROR(INDEX(Vidriería!$C$2:$C$301,MATCH(B1388,Vidriería!$A$2:$A$301,0))&amp;" "&amp;INDEX(Vidriería!$D$2:$D$301,MATCH(B1388,Vidriería!$A$2:$A$301,0)),"ID no existe"))</f>
        <v/>
      </c>
      <c r="D1388" s="8"/>
      <c r="E1388" s="8"/>
      <c r="F1388" s="8"/>
      <c r="G1388" s="13"/>
    </row>
    <row r="1389" spans="1:7" x14ac:dyDescent="0.3">
      <c r="A1389" s="11"/>
      <c r="B1389" s="8"/>
      <c r="C1389" s="7" t="str">
        <f>IF(B1389="","",IFERROR(INDEX(Vidriería!$C$2:$C$301,MATCH(B1389,Vidriería!$A$2:$A$301,0))&amp;" "&amp;INDEX(Vidriería!$D$2:$D$301,MATCH(B1389,Vidriería!$A$2:$A$301,0)),"ID no existe"))</f>
        <v/>
      </c>
      <c r="D1389" s="8"/>
      <c r="E1389" s="8"/>
      <c r="F1389" s="8"/>
      <c r="G1389" s="13"/>
    </row>
    <row r="1390" spans="1:7" x14ac:dyDescent="0.3">
      <c r="A1390" s="11"/>
      <c r="B1390" s="8"/>
      <c r="C1390" s="7" t="str">
        <f>IF(B1390="","",IFERROR(INDEX(Vidriería!$C$2:$C$301,MATCH(B1390,Vidriería!$A$2:$A$301,0))&amp;" "&amp;INDEX(Vidriería!$D$2:$D$301,MATCH(B1390,Vidriería!$A$2:$A$301,0)),"ID no existe"))</f>
        <v/>
      </c>
      <c r="D1390" s="8"/>
      <c r="E1390" s="8"/>
      <c r="F1390" s="8"/>
      <c r="G1390" s="13"/>
    </row>
    <row r="1391" spans="1:7" x14ac:dyDescent="0.3">
      <c r="A1391" s="11"/>
      <c r="B1391" s="8"/>
      <c r="C1391" s="7" t="str">
        <f>IF(B1391="","",IFERROR(INDEX(Vidriería!$C$2:$C$301,MATCH(B1391,Vidriería!$A$2:$A$301,0))&amp;" "&amp;INDEX(Vidriería!$D$2:$D$301,MATCH(B1391,Vidriería!$A$2:$A$301,0)),"ID no existe"))</f>
        <v/>
      </c>
      <c r="D1391" s="8"/>
      <c r="E1391" s="8"/>
      <c r="F1391" s="8"/>
      <c r="G1391" s="13"/>
    </row>
    <row r="1392" spans="1:7" x14ac:dyDescent="0.3">
      <c r="A1392" s="11"/>
      <c r="B1392" s="8"/>
      <c r="C1392" s="7" t="str">
        <f>IF(B1392="","",IFERROR(INDEX(Vidriería!$C$2:$C$301,MATCH(B1392,Vidriería!$A$2:$A$301,0))&amp;" "&amp;INDEX(Vidriería!$D$2:$D$301,MATCH(B1392,Vidriería!$A$2:$A$301,0)),"ID no existe"))</f>
        <v/>
      </c>
      <c r="D1392" s="8"/>
      <c r="E1392" s="8"/>
      <c r="F1392" s="8"/>
      <c r="G1392" s="13"/>
    </row>
    <row r="1393" spans="1:7" x14ac:dyDescent="0.3">
      <c r="A1393" s="11"/>
      <c r="B1393" s="8"/>
      <c r="C1393" s="7" t="str">
        <f>IF(B1393="","",IFERROR(INDEX(Vidriería!$C$2:$C$301,MATCH(B1393,Vidriería!$A$2:$A$301,0))&amp;" "&amp;INDEX(Vidriería!$D$2:$D$301,MATCH(B1393,Vidriería!$A$2:$A$301,0)),"ID no existe"))</f>
        <v/>
      </c>
      <c r="D1393" s="8"/>
      <c r="E1393" s="8"/>
      <c r="F1393" s="8"/>
      <c r="G1393" s="13"/>
    </row>
    <row r="1394" spans="1:7" x14ac:dyDescent="0.3">
      <c r="A1394" s="11"/>
      <c r="B1394" s="8"/>
      <c r="C1394" s="7" t="str">
        <f>IF(B1394="","",IFERROR(INDEX(Vidriería!$C$2:$C$301,MATCH(B1394,Vidriería!$A$2:$A$301,0))&amp;" "&amp;INDEX(Vidriería!$D$2:$D$301,MATCH(B1394,Vidriería!$A$2:$A$301,0)),"ID no existe"))</f>
        <v/>
      </c>
      <c r="D1394" s="8"/>
      <c r="E1394" s="8"/>
      <c r="F1394" s="8"/>
      <c r="G1394" s="13"/>
    </row>
    <row r="1395" spans="1:7" x14ac:dyDescent="0.3">
      <c r="A1395" s="11"/>
      <c r="B1395" s="8"/>
      <c r="C1395" s="7" t="str">
        <f>IF(B1395="","",IFERROR(INDEX(Vidriería!$C$2:$C$301,MATCH(B1395,Vidriería!$A$2:$A$301,0))&amp;" "&amp;INDEX(Vidriería!$D$2:$D$301,MATCH(B1395,Vidriería!$A$2:$A$301,0)),"ID no existe"))</f>
        <v/>
      </c>
      <c r="D1395" s="8"/>
      <c r="E1395" s="8"/>
      <c r="F1395" s="8"/>
      <c r="G1395" s="13"/>
    </row>
    <row r="1396" spans="1:7" x14ac:dyDescent="0.3">
      <c r="A1396" s="11"/>
      <c r="B1396" s="8"/>
      <c r="C1396" s="7" t="str">
        <f>IF(B1396="","",IFERROR(INDEX(Vidriería!$C$2:$C$301,MATCH(B1396,Vidriería!$A$2:$A$301,0))&amp;" "&amp;INDEX(Vidriería!$D$2:$D$301,MATCH(B1396,Vidriería!$A$2:$A$301,0)),"ID no existe"))</f>
        <v/>
      </c>
      <c r="D1396" s="8"/>
      <c r="E1396" s="8"/>
      <c r="F1396" s="8"/>
      <c r="G1396" s="13"/>
    </row>
    <row r="1397" spans="1:7" x14ac:dyDescent="0.3">
      <c r="A1397" s="11"/>
      <c r="B1397" s="8"/>
      <c r="C1397" s="7" t="str">
        <f>IF(B1397="","",IFERROR(INDEX(Vidriería!$C$2:$C$301,MATCH(B1397,Vidriería!$A$2:$A$301,0))&amp;" "&amp;INDEX(Vidriería!$D$2:$D$301,MATCH(B1397,Vidriería!$A$2:$A$301,0)),"ID no existe"))</f>
        <v/>
      </c>
      <c r="D1397" s="8"/>
      <c r="E1397" s="8"/>
      <c r="F1397" s="8"/>
      <c r="G1397" s="13"/>
    </row>
    <row r="1398" spans="1:7" x14ac:dyDescent="0.3">
      <c r="A1398" s="11"/>
      <c r="B1398" s="8"/>
      <c r="C1398" s="7" t="str">
        <f>IF(B1398="","",IFERROR(INDEX(Vidriería!$C$2:$C$301,MATCH(B1398,Vidriería!$A$2:$A$301,0))&amp;" "&amp;INDEX(Vidriería!$D$2:$D$301,MATCH(B1398,Vidriería!$A$2:$A$301,0)),"ID no existe"))</f>
        <v/>
      </c>
      <c r="D1398" s="8"/>
      <c r="E1398" s="8"/>
      <c r="F1398" s="8"/>
      <c r="G1398" s="13"/>
    </row>
    <row r="1399" spans="1:7" x14ac:dyDescent="0.3">
      <c r="A1399" s="11"/>
      <c r="B1399" s="8"/>
      <c r="C1399" s="7" t="str">
        <f>IF(B1399="","",IFERROR(INDEX(Vidriería!$C$2:$C$301,MATCH(B1399,Vidriería!$A$2:$A$301,0))&amp;" "&amp;INDEX(Vidriería!$D$2:$D$301,MATCH(B1399,Vidriería!$A$2:$A$301,0)),"ID no existe"))</f>
        <v/>
      </c>
      <c r="D1399" s="8"/>
      <c r="E1399" s="8"/>
      <c r="F1399" s="8"/>
      <c r="G1399" s="13"/>
    </row>
    <row r="1400" spans="1:7" x14ac:dyDescent="0.3">
      <c r="A1400" s="11"/>
      <c r="B1400" s="8"/>
      <c r="C1400" s="7" t="str">
        <f>IF(B1400="","",IFERROR(INDEX(Vidriería!$C$2:$C$301,MATCH(B1400,Vidriería!$A$2:$A$301,0))&amp;" "&amp;INDEX(Vidriería!$D$2:$D$301,MATCH(B1400,Vidriería!$A$2:$A$301,0)),"ID no existe"))</f>
        <v/>
      </c>
      <c r="D1400" s="8"/>
      <c r="E1400" s="8"/>
      <c r="F1400" s="8"/>
      <c r="G1400" s="13"/>
    </row>
    <row r="1401" spans="1:7" x14ac:dyDescent="0.3">
      <c r="A1401" s="11"/>
      <c r="B1401" s="8"/>
      <c r="C1401" s="7" t="str">
        <f>IF(B1401="","",IFERROR(INDEX(Vidriería!$C$2:$C$301,MATCH(B1401,Vidriería!$A$2:$A$301,0))&amp;" "&amp;INDEX(Vidriería!$D$2:$D$301,MATCH(B1401,Vidriería!$A$2:$A$301,0)),"ID no existe"))</f>
        <v/>
      </c>
      <c r="D1401" s="8"/>
      <c r="E1401" s="8"/>
      <c r="F1401" s="8"/>
      <c r="G1401" s="13"/>
    </row>
    <row r="1402" spans="1:7" x14ac:dyDescent="0.3">
      <c r="A1402" s="11"/>
      <c r="B1402" s="8"/>
      <c r="C1402" s="7" t="str">
        <f>IF(B1402="","",IFERROR(INDEX(Vidriería!$C$2:$C$301,MATCH(B1402,Vidriería!$A$2:$A$301,0))&amp;" "&amp;INDEX(Vidriería!$D$2:$D$301,MATCH(B1402,Vidriería!$A$2:$A$301,0)),"ID no existe"))</f>
        <v/>
      </c>
      <c r="D1402" s="8"/>
      <c r="E1402" s="8"/>
      <c r="F1402" s="8"/>
      <c r="G1402" s="13"/>
    </row>
    <row r="1403" spans="1:7" x14ac:dyDescent="0.3">
      <c r="A1403" s="11"/>
      <c r="B1403" s="8"/>
      <c r="C1403" s="7" t="str">
        <f>IF(B1403="","",IFERROR(INDEX(Vidriería!$C$2:$C$301,MATCH(B1403,Vidriería!$A$2:$A$301,0))&amp;" "&amp;INDEX(Vidriería!$D$2:$D$301,MATCH(B1403,Vidriería!$A$2:$A$301,0)),"ID no existe"))</f>
        <v/>
      </c>
      <c r="D1403" s="8"/>
      <c r="E1403" s="8"/>
      <c r="F1403" s="8"/>
      <c r="G1403" s="13"/>
    </row>
    <row r="1404" spans="1:7" x14ac:dyDescent="0.3">
      <c r="A1404" s="11"/>
      <c r="B1404" s="8"/>
      <c r="C1404" s="7" t="str">
        <f>IF(B1404="","",IFERROR(INDEX(Vidriería!$C$2:$C$301,MATCH(B1404,Vidriería!$A$2:$A$301,0))&amp;" "&amp;INDEX(Vidriería!$D$2:$D$301,MATCH(B1404,Vidriería!$A$2:$A$301,0)),"ID no existe"))</f>
        <v/>
      </c>
      <c r="D1404" s="8"/>
      <c r="E1404" s="8"/>
      <c r="F1404" s="8"/>
      <c r="G1404" s="13"/>
    </row>
    <row r="1405" spans="1:7" x14ac:dyDescent="0.3">
      <c r="A1405" s="11"/>
      <c r="B1405" s="8"/>
      <c r="C1405" s="7" t="str">
        <f>IF(B1405="","",IFERROR(INDEX(Vidriería!$C$2:$C$301,MATCH(B1405,Vidriería!$A$2:$A$301,0))&amp;" "&amp;INDEX(Vidriería!$D$2:$D$301,MATCH(B1405,Vidriería!$A$2:$A$301,0)),"ID no existe"))</f>
        <v/>
      </c>
      <c r="D1405" s="8"/>
      <c r="E1405" s="8"/>
      <c r="F1405" s="8"/>
      <c r="G1405" s="13"/>
    </row>
    <row r="1406" spans="1:7" x14ac:dyDescent="0.3">
      <c r="A1406" s="11"/>
      <c r="B1406" s="8"/>
      <c r="C1406" s="7" t="str">
        <f>IF(B1406="","",IFERROR(INDEX(Vidriería!$C$2:$C$301,MATCH(B1406,Vidriería!$A$2:$A$301,0))&amp;" "&amp;INDEX(Vidriería!$D$2:$D$301,MATCH(B1406,Vidriería!$A$2:$A$301,0)),"ID no existe"))</f>
        <v/>
      </c>
      <c r="D1406" s="8"/>
      <c r="E1406" s="8"/>
      <c r="F1406" s="8"/>
      <c r="G1406" s="13"/>
    </row>
    <row r="1407" spans="1:7" x14ac:dyDescent="0.3">
      <c r="A1407" s="11"/>
      <c r="B1407" s="8"/>
      <c r="C1407" s="7" t="str">
        <f>IF(B1407="","",IFERROR(INDEX(Vidriería!$C$2:$C$301,MATCH(B1407,Vidriería!$A$2:$A$301,0))&amp;" "&amp;INDEX(Vidriería!$D$2:$D$301,MATCH(B1407,Vidriería!$A$2:$A$301,0)),"ID no existe"))</f>
        <v/>
      </c>
      <c r="D1407" s="8"/>
      <c r="E1407" s="8"/>
      <c r="F1407" s="8"/>
      <c r="G1407" s="13"/>
    </row>
    <row r="1408" spans="1:7" x14ac:dyDescent="0.3">
      <c r="A1408" s="11"/>
      <c r="B1408" s="8"/>
      <c r="C1408" s="7" t="str">
        <f>IF(B1408="","",IFERROR(INDEX(Vidriería!$C$2:$C$301,MATCH(B1408,Vidriería!$A$2:$A$301,0))&amp;" "&amp;INDEX(Vidriería!$D$2:$D$301,MATCH(B1408,Vidriería!$A$2:$A$301,0)),"ID no existe"))</f>
        <v/>
      </c>
      <c r="D1408" s="8"/>
      <c r="E1408" s="8"/>
      <c r="F1408" s="8"/>
      <c r="G1408" s="13"/>
    </row>
    <row r="1409" spans="1:7" x14ac:dyDescent="0.3">
      <c r="A1409" s="11"/>
      <c r="B1409" s="8"/>
      <c r="C1409" s="7" t="str">
        <f>IF(B1409="","",IFERROR(INDEX(Vidriería!$C$2:$C$301,MATCH(B1409,Vidriería!$A$2:$A$301,0))&amp;" "&amp;INDEX(Vidriería!$D$2:$D$301,MATCH(B1409,Vidriería!$A$2:$A$301,0)),"ID no existe"))</f>
        <v/>
      </c>
      <c r="D1409" s="8"/>
      <c r="E1409" s="8"/>
      <c r="F1409" s="8"/>
      <c r="G1409" s="13"/>
    </row>
    <row r="1410" spans="1:7" x14ac:dyDescent="0.3">
      <c r="A1410" s="11"/>
      <c r="B1410" s="8"/>
      <c r="C1410" s="7" t="str">
        <f>IF(B1410="","",IFERROR(INDEX(Vidriería!$C$2:$C$301,MATCH(B1410,Vidriería!$A$2:$A$301,0))&amp;" "&amp;INDEX(Vidriería!$D$2:$D$301,MATCH(B1410,Vidriería!$A$2:$A$301,0)),"ID no existe"))</f>
        <v/>
      </c>
      <c r="D1410" s="8"/>
      <c r="E1410" s="8"/>
      <c r="F1410" s="8"/>
      <c r="G1410" s="13"/>
    </row>
    <row r="1411" spans="1:7" x14ac:dyDescent="0.3">
      <c r="A1411" s="11"/>
      <c r="B1411" s="8"/>
      <c r="C1411" s="7" t="str">
        <f>IF(B1411="","",IFERROR(INDEX(Vidriería!$C$2:$C$301,MATCH(B1411,Vidriería!$A$2:$A$301,0))&amp;" "&amp;INDEX(Vidriería!$D$2:$D$301,MATCH(B1411,Vidriería!$A$2:$A$301,0)),"ID no existe"))</f>
        <v/>
      </c>
      <c r="D1411" s="8"/>
      <c r="E1411" s="8"/>
      <c r="F1411" s="8"/>
      <c r="G1411" s="13"/>
    </row>
    <row r="1412" spans="1:7" x14ac:dyDescent="0.3">
      <c r="A1412" s="11"/>
      <c r="B1412" s="8"/>
      <c r="C1412" s="7" t="str">
        <f>IF(B1412="","",IFERROR(INDEX(Vidriería!$C$2:$C$301,MATCH(B1412,Vidriería!$A$2:$A$301,0))&amp;" "&amp;INDEX(Vidriería!$D$2:$D$301,MATCH(B1412,Vidriería!$A$2:$A$301,0)),"ID no existe"))</f>
        <v/>
      </c>
      <c r="D1412" s="8"/>
      <c r="E1412" s="8"/>
      <c r="F1412" s="8"/>
      <c r="G1412" s="13"/>
    </row>
    <row r="1413" spans="1:7" x14ac:dyDescent="0.3">
      <c r="A1413" s="11"/>
      <c r="B1413" s="8"/>
      <c r="C1413" s="7" t="str">
        <f>IF(B1413="","",IFERROR(INDEX(Vidriería!$C$2:$C$301,MATCH(B1413,Vidriería!$A$2:$A$301,0))&amp;" "&amp;INDEX(Vidriería!$D$2:$D$301,MATCH(B1413,Vidriería!$A$2:$A$301,0)),"ID no existe"))</f>
        <v/>
      </c>
      <c r="D1413" s="8"/>
      <c r="E1413" s="8"/>
      <c r="F1413" s="8"/>
      <c r="G1413" s="13"/>
    </row>
    <row r="1414" spans="1:7" x14ac:dyDescent="0.3">
      <c r="A1414" s="11"/>
      <c r="B1414" s="8"/>
      <c r="C1414" s="7" t="str">
        <f>IF(B1414="","",IFERROR(INDEX(Vidriería!$C$2:$C$301,MATCH(B1414,Vidriería!$A$2:$A$301,0))&amp;" "&amp;INDEX(Vidriería!$D$2:$D$301,MATCH(B1414,Vidriería!$A$2:$A$301,0)),"ID no existe"))</f>
        <v/>
      </c>
      <c r="D1414" s="8"/>
      <c r="E1414" s="8"/>
      <c r="F1414" s="8"/>
      <c r="G1414" s="13"/>
    </row>
    <row r="1415" spans="1:7" x14ac:dyDescent="0.3">
      <c r="A1415" s="11"/>
      <c r="B1415" s="8"/>
      <c r="C1415" s="7" t="str">
        <f>IF(B1415="","",IFERROR(INDEX(Vidriería!$C$2:$C$301,MATCH(B1415,Vidriería!$A$2:$A$301,0))&amp;" "&amp;INDEX(Vidriería!$D$2:$D$301,MATCH(B1415,Vidriería!$A$2:$A$301,0)),"ID no existe"))</f>
        <v/>
      </c>
      <c r="D1415" s="8"/>
      <c r="E1415" s="8"/>
      <c r="F1415" s="8"/>
      <c r="G1415" s="13"/>
    </row>
    <row r="1416" spans="1:7" x14ac:dyDescent="0.3">
      <c r="A1416" s="11"/>
      <c r="B1416" s="8"/>
      <c r="C1416" s="7" t="str">
        <f>IF(B1416="","",IFERROR(INDEX(Vidriería!$C$2:$C$301,MATCH(B1416,Vidriería!$A$2:$A$301,0))&amp;" "&amp;INDEX(Vidriería!$D$2:$D$301,MATCH(B1416,Vidriería!$A$2:$A$301,0)),"ID no existe"))</f>
        <v/>
      </c>
      <c r="D1416" s="8"/>
      <c r="E1416" s="8"/>
      <c r="F1416" s="8"/>
      <c r="G1416" s="13"/>
    </row>
    <row r="1417" spans="1:7" x14ac:dyDescent="0.3">
      <c r="A1417" s="11"/>
      <c r="B1417" s="8"/>
      <c r="C1417" s="7" t="str">
        <f>IF(B1417="","",IFERROR(INDEX(Vidriería!$C$2:$C$301,MATCH(B1417,Vidriería!$A$2:$A$301,0))&amp;" "&amp;INDEX(Vidriería!$D$2:$D$301,MATCH(B1417,Vidriería!$A$2:$A$301,0)),"ID no existe"))</f>
        <v/>
      </c>
      <c r="D1417" s="8"/>
      <c r="E1417" s="8"/>
      <c r="F1417" s="8"/>
      <c r="G1417" s="13"/>
    </row>
    <row r="1418" spans="1:7" x14ac:dyDescent="0.3">
      <c r="A1418" s="11"/>
      <c r="B1418" s="8"/>
      <c r="C1418" s="7" t="str">
        <f>IF(B1418="","",IFERROR(INDEX(Vidriería!$C$2:$C$301,MATCH(B1418,Vidriería!$A$2:$A$301,0))&amp;" "&amp;INDEX(Vidriería!$D$2:$D$301,MATCH(B1418,Vidriería!$A$2:$A$301,0)),"ID no existe"))</f>
        <v/>
      </c>
      <c r="D1418" s="8"/>
      <c r="E1418" s="8"/>
      <c r="F1418" s="8"/>
      <c r="G1418" s="13"/>
    </row>
    <row r="1419" spans="1:7" x14ac:dyDescent="0.3">
      <c r="A1419" s="11"/>
      <c r="B1419" s="8"/>
      <c r="C1419" s="7" t="str">
        <f>IF(B1419="","",IFERROR(INDEX(Vidriería!$C$2:$C$301,MATCH(B1419,Vidriería!$A$2:$A$301,0))&amp;" "&amp;INDEX(Vidriería!$D$2:$D$301,MATCH(B1419,Vidriería!$A$2:$A$301,0)),"ID no existe"))</f>
        <v/>
      </c>
      <c r="D1419" s="8"/>
      <c r="E1419" s="8"/>
      <c r="F1419" s="8"/>
      <c r="G1419" s="13"/>
    </row>
    <row r="1420" spans="1:7" x14ac:dyDescent="0.3">
      <c r="A1420" s="11"/>
      <c r="B1420" s="8"/>
      <c r="C1420" s="7" t="str">
        <f>IF(B1420="","",IFERROR(INDEX(Vidriería!$C$2:$C$301,MATCH(B1420,Vidriería!$A$2:$A$301,0))&amp;" "&amp;INDEX(Vidriería!$D$2:$D$301,MATCH(B1420,Vidriería!$A$2:$A$301,0)),"ID no existe"))</f>
        <v/>
      </c>
      <c r="D1420" s="8"/>
      <c r="E1420" s="8"/>
      <c r="F1420" s="8"/>
      <c r="G1420" s="13"/>
    </row>
    <row r="1421" spans="1:7" x14ac:dyDescent="0.3">
      <c r="A1421" s="11"/>
      <c r="B1421" s="8"/>
      <c r="C1421" s="7" t="str">
        <f>IF(B1421="","",IFERROR(INDEX(Vidriería!$C$2:$C$301,MATCH(B1421,Vidriería!$A$2:$A$301,0))&amp;" "&amp;INDEX(Vidriería!$D$2:$D$301,MATCH(B1421,Vidriería!$A$2:$A$301,0)),"ID no existe"))</f>
        <v/>
      </c>
      <c r="D1421" s="8"/>
      <c r="E1421" s="8"/>
      <c r="F1421" s="8"/>
      <c r="G1421" s="13"/>
    </row>
    <row r="1422" spans="1:7" x14ac:dyDescent="0.3">
      <c r="A1422" s="11"/>
      <c r="B1422" s="8"/>
      <c r="C1422" s="7" t="str">
        <f>IF(B1422="","",IFERROR(INDEX(Vidriería!$C$2:$C$301,MATCH(B1422,Vidriería!$A$2:$A$301,0))&amp;" "&amp;INDEX(Vidriería!$D$2:$D$301,MATCH(B1422,Vidriería!$A$2:$A$301,0)),"ID no existe"))</f>
        <v/>
      </c>
      <c r="D1422" s="8"/>
      <c r="E1422" s="8"/>
      <c r="F1422" s="8"/>
      <c r="G1422" s="13"/>
    </row>
    <row r="1423" spans="1:7" x14ac:dyDescent="0.3">
      <c r="A1423" s="11"/>
      <c r="B1423" s="8"/>
      <c r="C1423" s="7" t="str">
        <f>IF(B1423="","",IFERROR(INDEX(Vidriería!$C$2:$C$301,MATCH(B1423,Vidriería!$A$2:$A$301,0))&amp;" "&amp;INDEX(Vidriería!$D$2:$D$301,MATCH(B1423,Vidriería!$A$2:$A$301,0)),"ID no existe"))</f>
        <v/>
      </c>
      <c r="D1423" s="8"/>
      <c r="E1423" s="8"/>
      <c r="F1423" s="8"/>
      <c r="G1423" s="13"/>
    </row>
    <row r="1424" spans="1:7" x14ac:dyDescent="0.3">
      <c r="A1424" s="11"/>
      <c r="B1424" s="8"/>
      <c r="C1424" s="7" t="str">
        <f>IF(B1424="","",IFERROR(INDEX(Vidriería!$C$2:$C$301,MATCH(B1424,Vidriería!$A$2:$A$301,0))&amp;" "&amp;INDEX(Vidriería!$D$2:$D$301,MATCH(B1424,Vidriería!$A$2:$A$301,0)),"ID no existe"))</f>
        <v/>
      </c>
      <c r="D1424" s="8"/>
      <c r="E1424" s="8"/>
      <c r="F1424" s="8"/>
      <c r="G1424" s="13"/>
    </row>
    <row r="1425" spans="1:7" x14ac:dyDescent="0.3">
      <c r="A1425" s="11"/>
      <c r="B1425" s="8"/>
      <c r="C1425" s="7" t="str">
        <f>IF(B1425="","",IFERROR(INDEX(Vidriería!$C$2:$C$301,MATCH(B1425,Vidriería!$A$2:$A$301,0))&amp;" "&amp;INDEX(Vidriería!$D$2:$D$301,MATCH(B1425,Vidriería!$A$2:$A$301,0)),"ID no existe"))</f>
        <v/>
      </c>
      <c r="D1425" s="8"/>
      <c r="E1425" s="8"/>
      <c r="F1425" s="8"/>
      <c r="G1425" s="13"/>
    </row>
    <row r="1426" spans="1:7" x14ac:dyDescent="0.3">
      <c r="A1426" s="11"/>
      <c r="B1426" s="8"/>
      <c r="C1426" s="7" t="str">
        <f>IF(B1426="","",IFERROR(INDEX(Vidriería!$C$2:$C$301,MATCH(B1426,Vidriería!$A$2:$A$301,0))&amp;" "&amp;INDEX(Vidriería!$D$2:$D$301,MATCH(B1426,Vidriería!$A$2:$A$301,0)),"ID no existe"))</f>
        <v/>
      </c>
      <c r="D1426" s="8"/>
      <c r="E1426" s="8"/>
      <c r="F1426" s="8"/>
      <c r="G1426" s="13"/>
    </row>
    <row r="1427" spans="1:7" x14ac:dyDescent="0.3">
      <c r="A1427" s="11"/>
      <c r="B1427" s="8"/>
      <c r="C1427" s="7" t="str">
        <f>IF(B1427="","",IFERROR(INDEX(Vidriería!$C$2:$C$301,MATCH(B1427,Vidriería!$A$2:$A$301,0))&amp;" "&amp;INDEX(Vidriería!$D$2:$D$301,MATCH(B1427,Vidriería!$A$2:$A$301,0)),"ID no existe"))</f>
        <v/>
      </c>
      <c r="D1427" s="8"/>
      <c r="E1427" s="8"/>
      <c r="F1427" s="8"/>
      <c r="G1427" s="13"/>
    </row>
    <row r="1428" spans="1:7" x14ac:dyDescent="0.3">
      <c r="A1428" s="11"/>
      <c r="B1428" s="8"/>
      <c r="C1428" s="7" t="str">
        <f>IF(B1428="","",IFERROR(INDEX(Vidriería!$C$2:$C$301,MATCH(B1428,Vidriería!$A$2:$A$301,0))&amp;" "&amp;INDEX(Vidriería!$D$2:$D$301,MATCH(B1428,Vidriería!$A$2:$A$301,0)),"ID no existe"))</f>
        <v/>
      </c>
      <c r="D1428" s="8"/>
      <c r="E1428" s="8"/>
      <c r="F1428" s="8"/>
      <c r="G1428" s="13"/>
    </row>
    <row r="1429" spans="1:7" x14ac:dyDescent="0.3">
      <c r="A1429" s="11"/>
      <c r="B1429" s="8"/>
      <c r="C1429" s="7" t="str">
        <f>IF(B1429="","",IFERROR(INDEX(Vidriería!$C$2:$C$301,MATCH(B1429,Vidriería!$A$2:$A$301,0))&amp;" "&amp;INDEX(Vidriería!$D$2:$D$301,MATCH(B1429,Vidriería!$A$2:$A$301,0)),"ID no existe"))</f>
        <v/>
      </c>
      <c r="D1429" s="8"/>
      <c r="E1429" s="8"/>
      <c r="F1429" s="8"/>
      <c r="G1429" s="13"/>
    </row>
    <row r="1430" spans="1:7" x14ac:dyDescent="0.3">
      <c r="A1430" s="11"/>
      <c r="B1430" s="8"/>
      <c r="C1430" s="7" t="str">
        <f>IF(B1430="","",IFERROR(INDEX(Vidriería!$C$2:$C$301,MATCH(B1430,Vidriería!$A$2:$A$301,0))&amp;" "&amp;INDEX(Vidriería!$D$2:$D$301,MATCH(B1430,Vidriería!$A$2:$A$301,0)),"ID no existe"))</f>
        <v/>
      </c>
      <c r="D1430" s="8"/>
      <c r="E1430" s="8"/>
      <c r="F1430" s="8"/>
      <c r="G1430" s="13"/>
    </row>
    <row r="1431" spans="1:7" x14ac:dyDescent="0.3">
      <c r="A1431" s="11"/>
      <c r="B1431" s="8"/>
      <c r="C1431" s="7" t="str">
        <f>IF(B1431="","",IFERROR(INDEX(Vidriería!$C$2:$C$301,MATCH(B1431,Vidriería!$A$2:$A$301,0))&amp;" "&amp;INDEX(Vidriería!$D$2:$D$301,MATCH(B1431,Vidriería!$A$2:$A$301,0)),"ID no existe"))</f>
        <v/>
      </c>
      <c r="D1431" s="8"/>
      <c r="E1431" s="8"/>
      <c r="F1431" s="8"/>
      <c r="G1431" s="13"/>
    </row>
    <row r="1432" spans="1:7" x14ac:dyDescent="0.3">
      <c r="A1432" s="11"/>
      <c r="B1432" s="8"/>
      <c r="C1432" s="7" t="str">
        <f>IF(B1432="","",IFERROR(INDEX(Vidriería!$C$2:$C$301,MATCH(B1432,Vidriería!$A$2:$A$301,0))&amp;" "&amp;INDEX(Vidriería!$D$2:$D$301,MATCH(B1432,Vidriería!$A$2:$A$301,0)),"ID no existe"))</f>
        <v/>
      </c>
      <c r="D1432" s="8"/>
      <c r="E1432" s="8"/>
      <c r="F1432" s="8"/>
      <c r="G1432" s="13"/>
    </row>
    <row r="1433" spans="1:7" x14ac:dyDescent="0.3">
      <c r="A1433" s="11"/>
      <c r="B1433" s="8"/>
      <c r="C1433" s="7" t="str">
        <f>IF(B1433="","",IFERROR(INDEX(Vidriería!$C$2:$C$301,MATCH(B1433,Vidriería!$A$2:$A$301,0))&amp;" "&amp;INDEX(Vidriería!$D$2:$D$301,MATCH(B1433,Vidriería!$A$2:$A$301,0)),"ID no existe"))</f>
        <v/>
      </c>
      <c r="D1433" s="8"/>
      <c r="E1433" s="8"/>
      <c r="F1433" s="8"/>
      <c r="G1433" s="13"/>
    </row>
    <row r="1434" spans="1:7" x14ac:dyDescent="0.3">
      <c r="A1434" s="11"/>
      <c r="B1434" s="8"/>
      <c r="C1434" s="7" t="str">
        <f>IF(B1434="","",IFERROR(INDEX(Vidriería!$C$2:$C$301,MATCH(B1434,Vidriería!$A$2:$A$301,0))&amp;" "&amp;INDEX(Vidriería!$D$2:$D$301,MATCH(B1434,Vidriería!$A$2:$A$301,0)),"ID no existe"))</f>
        <v/>
      </c>
      <c r="D1434" s="8"/>
      <c r="E1434" s="8"/>
      <c r="F1434" s="8"/>
      <c r="G1434" s="13"/>
    </row>
    <row r="1435" spans="1:7" x14ac:dyDescent="0.3">
      <c r="A1435" s="11"/>
      <c r="B1435" s="8"/>
      <c r="C1435" s="7" t="str">
        <f>IF(B1435="","",IFERROR(INDEX(Vidriería!$C$2:$C$301,MATCH(B1435,Vidriería!$A$2:$A$301,0))&amp;" "&amp;INDEX(Vidriería!$D$2:$D$301,MATCH(B1435,Vidriería!$A$2:$A$301,0)),"ID no existe"))</f>
        <v/>
      </c>
      <c r="D1435" s="8"/>
      <c r="E1435" s="8"/>
      <c r="F1435" s="8"/>
      <c r="G1435" s="13"/>
    </row>
    <row r="1436" spans="1:7" x14ac:dyDescent="0.3">
      <c r="A1436" s="11"/>
      <c r="B1436" s="8"/>
      <c r="C1436" s="7" t="str">
        <f>IF(B1436="","",IFERROR(INDEX(Vidriería!$C$2:$C$301,MATCH(B1436,Vidriería!$A$2:$A$301,0))&amp;" "&amp;INDEX(Vidriería!$D$2:$D$301,MATCH(B1436,Vidriería!$A$2:$A$301,0)),"ID no existe"))</f>
        <v/>
      </c>
      <c r="D1436" s="8"/>
      <c r="E1436" s="8"/>
      <c r="F1436" s="8"/>
      <c r="G1436" s="13"/>
    </row>
    <row r="1437" spans="1:7" x14ac:dyDescent="0.3">
      <c r="A1437" s="11"/>
      <c r="B1437" s="8"/>
      <c r="C1437" s="7" t="str">
        <f>IF(B1437="","",IFERROR(INDEX(Vidriería!$C$2:$C$301,MATCH(B1437,Vidriería!$A$2:$A$301,0))&amp;" "&amp;INDEX(Vidriería!$D$2:$D$301,MATCH(B1437,Vidriería!$A$2:$A$301,0)),"ID no existe"))</f>
        <v/>
      </c>
      <c r="D1437" s="8"/>
      <c r="E1437" s="8"/>
      <c r="F1437" s="8"/>
      <c r="G1437" s="13"/>
    </row>
    <row r="1438" spans="1:7" x14ac:dyDescent="0.3">
      <c r="A1438" s="11"/>
      <c r="B1438" s="8"/>
      <c r="C1438" s="7" t="str">
        <f>IF(B1438="","",IFERROR(INDEX(Vidriería!$C$2:$C$301,MATCH(B1438,Vidriería!$A$2:$A$301,0))&amp;" "&amp;INDEX(Vidriería!$D$2:$D$301,MATCH(B1438,Vidriería!$A$2:$A$301,0)),"ID no existe"))</f>
        <v/>
      </c>
      <c r="D1438" s="8"/>
      <c r="E1438" s="8"/>
      <c r="F1438" s="8"/>
      <c r="G1438" s="13"/>
    </row>
    <row r="1439" spans="1:7" x14ac:dyDescent="0.3">
      <c r="A1439" s="11"/>
      <c r="B1439" s="8"/>
      <c r="C1439" s="7" t="str">
        <f>IF(B1439="","",IFERROR(INDEX(Vidriería!$C$2:$C$301,MATCH(B1439,Vidriería!$A$2:$A$301,0))&amp;" "&amp;INDEX(Vidriería!$D$2:$D$301,MATCH(B1439,Vidriería!$A$2:$A$301,0)),"ID no existe"))</f>
        <v/>
      </c>
      <c r="D1439" s="8"/>
      <c r="E1439" s="8"/>
      <c r="F1439" s="8"/>
      <c r="G1439" s="13"/>
    </row>
    <row r="1440" spans="1:7" x14ac:dyDescent="0.3">
      <c r="A1440" s="11"/>
      <c r="B1440" s="8"/>
      <c r="C1440" s="7" t="str">
        <f>IF(B1440="","",IFERROR(INDEX(Vidriería!$C$2:$C$301,MATCH(B1440,Vidriería!$A$2:$A$301,0))&amp;" "&amp;INDEX(Vidriería!$D$2:$D$301,MATCH(B1440,Vidriería!$A$2:$A$301,0)),"ID no existe"))</f>
        <v/>
      </c>
      <c r="D1440" s="8"/>
      <c r="E1440" s="8"/>
      <c r="F1440" s="8"/>
      <c r="G1440" s="13"/>
    </row>
    <row r="1441" spans="1:7" x14ac:dyDescent="0.3">
      <c r="A1441" s="11"/>
      <c r="B1441" s="8"/>
      <c r="C1441" s="7" t="str">
        <f>IF(B1441="","",IFERROR(INDEX(Vidriería!$C$2:$C$301,MATCH(B1441,Vidriería!$A$2:$A$301,0))&amp;" "&amp;INDEX(Vidriería!$D$2:$D$301,MATCH(B1441,Vidriería!$A$2:$A$301,0)),"ID no existe"))</f>
        <v/>
      </c>
      <c r="D1441" s="8"/>
      <c r="E1441" s="8"/>
      <c r="F1441" s="8"/>
      <c r="G1441" s="13"/>
    </row>
    <row r="1442" spans="1:7" x14ac:dyDescent="0.3">
      <c r="A1442" s="11"/>
      <c r="B1442" s="8"/>
      <c r="C1442" s="7" t="str">
        <f>IF(B1442="","",IFERROR(INDEX(Vidriería!$C$2:$C$301,MATCH(B1442,Vidriería!$A$2:$A$301,0))&amp;" "&amp;INDEX(Vidriería!$D$2:$D$301,MATCH(B1442,Vidriería!$A$2:$A$301,0)),"ID no existe"))</f>
        <v/>
      </c>
      <c r="D1442" s="8"/>
      <c r="E1442" s="8"/>
      <c r="F1442" s="8"/>
      <c r="G1442" s="13"/>
    </row>
    <row r="1443" spans="1:7" x14ac:dyDescent="0.3">
      <c r="A1443" s="11"/>
      <c r="B1443" s="8"/>
      <c r="C1443" s="7" t="str">
        <f>IF(B1443="","",IFERROR(INDEX(Vidriería!$C$2:$C$301,MATCH(B1443,Vidriería!$A$2:$A$301,0))&amp;" "&amp;INDEX(Vidriería!$D$2:$D$301,MATCH(B1443,Vidriería!$A$2:$A$301,0)),"ID no existe"))</f>
        <v/>
      </c>
      <c r="D1443" s="8"/>
      <c r="E1443" s="8"/>
      <c r="F1443" s="8"/>
      <c r="G1443" s="13"/>
    </row>
    <row r="1444" spans="1:7" x14ac:dyDescent="0.3">
      <c r="A1444" s="11"/>
      <c r="B1444" s="8"/>
      <c r="C1444" s="7" t="str">
        <f>IF(B1444="","",IFERROR(INDEX(Vidriería!$C$2:$C$301,MATCH(B1444,Vidriería!$A$2:$A$301,0))&amp;" "&amp;INDEX(Vidriería!$D$2:$D$301,MATCH(B1444,Vidriería!$A$2:$A$301,0)),"ID no existe"))</f>
        <v/>
      </c>
      <c r="D1444" s="8"/>
      <c r="E1444" s="8"/>
      <c r="F1444" s="8"/>
      <c r="G1444" s="13"/>
    </row>
    <row r="1445" spans="1:7" x14ac:dyDescent="0.3">
      <c r="A1445" s="11"/>
      <c r="B1445" s="8"/>
      <c r="C1445" s="7" t="str">
        <f>IF(B1445="","",IFERROR(INDEX(Vidriería!$C$2:$C$301,MATCH(B1445,Vidriería!$A$2:$A$301,0))&amp;" "&amp;INDEX(Vidriería!$D$2:$D$301,MATCH(B1445,Vidriería!$A$2:$A$301,0)),"ID no existe"))</f>
        <v/>
      </c>
      <c r="D1445" s="8"/>
      <c r="E1445" s="8"/>
      <c r="F1445" s="8"/>
      <c r="G1445" s="13"/>
    </row>
    <row r="1446" spans="1:7" x14ac:dyDescent="0.3">
      <c r="A1446" s="11"/>
      <c r="B1446" s="8"/>
      <c r="C1446" s="7" t="str">
        <f>IF(B1446="","",IFERROR(INDEX(Vidriería!$C$2:$C$301,MATCH(B1446,Vidriería!$A$2:$A$301,0))&amp;" "&amp;INDEX(Vidriería!$D$2:$D$301,MATCH(B1446,Vidriería!$A$2:$A$301,0)),"ID no existe"))</f>
        <v/>
      </c>
      <c r="D1446" s="8"/>
      <c r="E1446" s="8"/>
      <c r="F1446" s="8"/>
      <c r="G1446" s="13"/>
    </row>
    <row r="1447" spans="1:7" x14ac:dyDescent="0.3">
      <c r="A1447" s="11"/>
      <c r="B1447" s="8"/>
      <c r="C1447" s="7" t="str">
        <f>IF(B1447="","",IFERROR(INDEX(Vidriería!$C$2:$C$301,MATCH(B1447,Vidriería!$A$2:$A$301,0))&amp;" "&amp;INDEX(Vidriería!$D$2:$D$301,MATCH(B1447,Vidriería!$A$2:$A$301,0)),"ID no existe"))</f>
        <v/>
      </c>
      <c r="D1447" s="8"/>
      <c r="E1447" s="8"/>
      <c r="F1447" s="8"/>
      <c r="G1447" s="13"/>
    </row>
    <row r="1448" spans="1:7" x14ac:dyDescent="0.3">
      <c r="A1448" s="11"/>
      <c r="B1448" s="8"/>
      <c r="C1448" s="7" t="str">
        <f>IF(B1448="","",IFERROR(INDEX(Vidriería!$C$2:$C$301,MATCH(B1448,Vidriería!$A$2:$A$301,0))&amp;" "&amp;INDEX(Vidriería!$D$2:$D$301,MATCH(B1448,Vidriería!$A$2:$A$301,0)),"ID no existe"))</f>
        <v/>
      </c>
      <c r="D1448" s="8"/>
      <c r="E1448" s="8"/>
      <c r="F1448" s="8"/>
      <c r="G1448" s="13"/>
    </row>
    <row r="1449" spans="1:7" x14ac:dyDescent="0.3">
      <c r="A1449" s="11"/>
      <c r="B1449" s="8"/>
      <c r="C1449" s="7" t="str">
        <f>IF(B1449="","",IFERROR(INDEX(Vidriería!$C$2:$C$301,MATCH(B1449,Vidriería!$A$2:$A$301,0))&amp;" "&amp;INDEX(Vidriería!$D$2:$D$301,MATCH(B1449,Vidriería!$A$2:$A$301,0)),"ID no existe"))</f>
        <v/>
      </c>
      <c r="D1449" s="8"/>
      <c r="E1449" s="8"/>
      <c r="F1449" s="8"/>
      <c r="G1449" s="13"/>
    </row>
    <row r="1450" spans="1:7" x14ac:dyDescent="0.3">
      <c r="A1450" s="11"/>
      <c r="B1450" s="8"/>
      <c r="C1450" s="7" t="str">
        <f>IF(B1450="","",IFERROR(INDEX(Vidriería!$C$2:$C$301,MATCH(B1450,Vidriería!$A$2:$A$301,0))&amp;" "&amp;INDEX(Vidriería!$D$2:$D$301,MATCH(B1450,Vidriería!$A$2:$A$301,0)),"ID no existe"))</f>
        <v/>
      </c>
      <c r="D1450" s="8"/>
      <c r="E1450" s="8"/>
      <c r="F1450" s="8"/>
      <c r="G1450" s="13"/>
    </row>
    <row r="1451" spans="1:7" x14ac:dyDescent="0.3">
      <c r="A1451" s="11"/>
      <c r="B1451" s="8"/>
      <c r="C1451" s="7" t="str">
        <f>IF(B1451="","",IFERROR(INDEX(Vidriería!$C$2:$C$301,MATCH(B1451,Vidriería!$A$2:$A$301,0))&amp;" "&amp;INDEX(Vidriería!$D$2:$D$301,MATCH(B1451,Vidriería!$A$2:$A$301,0)),"ID no existe"))</f>
        <v/>
      </c>
      <c r="D1451" s="8"/>
      <c r="E1451" s="8"/>
      <c r="F1451" s="8"/>
      <c r="G1451" s="13"/>
    </row>
    <row r="1452" spans="1:7" x14ac:dyDescent="0.3">
      <c r="A1452" s="11"/>
      <c r="B1452" s="8"/>
      <c r="C1452" s="7" t="str">
        <f>IF(B1452="","",IFERROR(INDEX(Vidriería!$C$2:$C$301,MATCH(B1452,Vidriería!$A$2:$A$301,0))&amp;" "&amp;INDEX(Vidriería!$D$2:$D$301,MATCH(B1452,Vidriería!$A$2:$A$301,0)),"ID no existe"))</f>
        <v/>
      </c>
      <c r="D1452" s="8"/>
      <c r="E1452" s="8"/>
      <c r="F1452" s="8"/>
      <c r="G1452" s="13"/>
    </row>
    <row r="1453" spans="1:7" x14ac:dyDescent="0.3">
      <c r="A1453" s="11"/>
      <c r="B1453" s="8"/>
      <c r="C1453" s="7" t="str">
        <f>IF(B1453="","",IFERROR(INDEX(Vidriería!$C$2:$C$301,MATCH(B1453,Vidriería!$A$2:$A$301,0))&amp;" "&amp;INDEX(Vidriería!$D$2:$D$301,MATCH(B1453,Vidriería!$A$2:$A$301,0)),"ID no existe"))</f>
        <v/>
      </c>
      <c r="D1453" s="8"/>
      <c r="E1453" s="8"/>
      <c r="F1453" s="8"/>
      <c r="G1453" s="13"/>
    </row>
    <row r="1454" spans="1:7" x14ac:dyDescent="0.3">
      <c r="A1454" s="11"/>
      <c r="B1454" s="8"/>
      <c r="C1454" s="7" t="str">
        <f>IF(B1454="","",IFERROR(INDEX(Vidriería!$C$2:$C$301,MATCH(B1454,Vidriería!$A$2:$A$301,0))&amp;" "&amp;INDEX(Vidriería!$D$2:$D$301,MATCH(B1454,Vidriería!$A$2:$A$301,0)),"ID no existe"))</f>
        <v/>
      </c>
      <c r="D1454" s="8"/>
      <c r="E1454" s="8"/>
      <c r="F1454" s="8"/>
      <c r="G1454" s="13"/>
    </row>
    <row r="1455" spans="1:7" x14ac:dyDescent="0.3">
      <c r="A1455" s="11"/>
      <c r="B1455" s="8"/>
      <c r="C1455" s="7" t="str">
        <f>IF(B1455="","",IFERROR(INDEX(Vidriería!$C$2:$C$301,MATCH(B1455,Vidriería!$A$2:$A$301,0))&amp;" "&amp;INDEX(Vidriería!$D$2:$D$301,MATCH(B1455,Vidriería!$A$2:$A$301,0)),"ID no existe"))</f>
        <v/>
      </c>
      <c r="D1455" s="8"/>
      <c r="E1455" s="8"/>
      <c r="F1455" s="8"/>
      <c r="G1455" s="13"/>
    </row>
    <row r="1456" spans="1:7" x14ac:dyDescent="0.3">
      <c r="A1456" s="11"/>
      <c r="B1456" s="8"/>
      <c r="C1456" s="7" t="str">
        <f>IF(B1456="","",IFERROR(INDEX(Vidriería!$C$2:$C$301,MATCH(B1456,Vidriería!$A$2:$A$301,0))&amp;" "&amp;INDEX(Vidriería!$D$2:$D$301,MATCH(B1456,Vidriería!$A$2:$A$301,0)),"ID no existe"))</f>
        <v/>
      </c>
      <c r="D1456" s="8"/>
      <c r="E1456" s="8"/>
      <c r="F1456" s="8"/>
      <c r="G1456" s="13"/>
    </row>
    <row r="1457" spans="1:7" x14ac:dyDescent="0.3">
      <c r="A1457" s="11"/>
      <c r="B1457" s="8"/>
      <c r="C1457" s="7" t="str">
        <f>IF(B1457="","",IFERROR(INDEX(Vidriería!$C$2:$C$301,MATCH(B1457,Vidriería!$A$2:$A$301,0))&amp;" "&amp;INDEX(Vidriería!$D$2:$D$301,MATCH(B1457,Vidriería!$A$2:$A$301,0)),"ID no existe"))</f>
        <v/>
      </c>
      <c r="D1457" s="8"/>
      <c r="E1457" s="8"/>
      <c r="F1457" s="8"/>
      <c r="G1457" s="13"/>
    </row>
    <row r="1458" spans="1:7" x14ac:dyDescent="0.3">
      <c r="A1458" s="11"/>
      <c r="B1458" s="8"/>
      <c r="C1458" s="7" t="str">
        <f>IF(B1458="","",IFERROR(INDEX(Vidriería!$C$2:$C$301,MATCH(B1458,Vidriería!$A$2:$A$301,0))&amp;" "&amp;INDEX(Vidriería!$D$2:$D$301,MATCH(B1458,Vidriería!$A$2:$A$301,0)),"ID no existe"))</f>
        <v/>
      </c>
      <c r="D1458" s="8"/>
      <c r="E1458" s="8"/>
      <c r="F1458" s="8"/>
      <c r="G1458" s="13"/>
    </row>
    <row r="1459" spans="1:7" x14ac:dyDescent="0.3">
      <c r="A1459" s="11"/>
      <c r="B1459" s="8"/>
      <c r="C1459" s="7" t="str">
        <f>IF(B1459="","",IFERROR(INDEX(Vidriería!$C$2:$C$301,MATCH(B1459,Vidriería!$A$2:$A$301,0))&amp;" "&amp;INDEX(Vidriería!$D$2:$D$301,MATCH(B1459,Vidriería!$A$2:$A$301,0)),"ID no existe"))</f>
        <v/>
      </c>
      <c r="D1459" s="8"/>
      <c r="E1459" s="8"/>
      <c r="F1459" s="8"/>
      <c r="G1459" s="13"/>
    </row>
    <row r="1460" spans="1:7" x14ac:dyDescent="0.3">
      <c r="A1460" s="11"/>
      <c r="B1460" s="8"/>
      <c r="C1460" s="7" t="str">
        <f>IF(B1460="","",IFERROR(INDEX(Vidriería!$C$2:$C$301,MATCH(B1460,Vidriería!$A$2:$A$301,0))&amp;" "&amp;INDEX(Vidriería!$D$2:$D$301,MATCH(B1460,Vidriería!$A$2:$A$301,0)),"ID no existe"))</f>
        <v/>
      </c>
      <c r="D1460" s="8"/>
      <c r="E1460" s="8"/>
      <c r="F1460" s="8"/>
      <c r="G1460" s="13"/>
    </row>
    <row r="1461" spans="1:7" x14ac:dyDescent="0.3">
      <c r="A1461" s="11"/>
      <c r="B1461" s="8"/>
      <c r="C1461" s="7" t="str">
        <f>IF(B1461="","",IFERROR(INDEX(Vidriería!$C$2:$C$301,MATCH(B1461,Vidriería!$A$2:$A$301,0))&amp;" "&amp;INDEX(Vidriería!$D$2:$D$301,MATCH(B1461,Vidriería!$A$2:$A$301,0)),"ID no existe"))</f>
        <v/>
      </c>
      <c r="D1461" s="8"/>
      <c r="E1461" s="8"/>
      <c r="F1461" s="8"/>
      <c r="G1461" s="13"/>
    </row>
    <row r="1462" spans="1:7" x14ac:dyDescent="0.3">
      <c r="A1462" s="11"/>
      <c r="B1462" s="8"/>
      <c r="C1462" s="7" t="str">
        <f>IF(B1462="","",IFERROR(INDEX(Vidriería!$C$2:$C$301,MATCH(B1462,Vidriería!$A$2:$A$301,0))&amp;" "&amp;INDEX(Vidriería!$D$2:$D$301,MATCH(B1462,Vidriería!$A$2:$A$301,0)),"ID no existe"))</f>
        <v/>
      </c>
      <c r="D1462" s="8"/>
      <c r="E1462" s="8"/>
      <c r="F1462" s="8"/>
      <c r="G1462" s="13"/>
    </row>
    <row r="1463" spans="1:7" x14ac:dyDescent="0.3">
      <c r="A1463" s="11"/>
      <c r="B1463" s="8"/>
      <c r="C1463" s="7" t="str">
        <f>IF(B1463="","",IFERROR(INDEX(Vidriería!$C$2:$C$301,MATCH(B1463,Vidriería!$A$2:$A$301,0))&amp;" "&amp;INDEX(Vidriería!$D$2:$D$301,MATCH(B1463,Vidriería!$A$2:$A$301,0)),"ID no existe"))</f>
        <v/>
      </c>
      <c r="D1463" s="8"/>
      <c r="E1463" s="8"/>
      <c r="F1463" s="8"/>
      <c r="G1463" s="13"/>
    </row>
    <row r="1464" spans="1:7" x14ac:dyDescent="0.3">
      <c r="A1464" s="11"/>
      <c r="B1464" s="8"/>
      <c r="C1464" s="7" t="str">
        <f>IF(B1464="","",IFERROR(INDEX(Vidriería!$C$2:$C$301,MATCH(B1464,Vidriería!$A$2:$A$301,0))&amp;" "&amp;INDEX(Vidriería!$D$2:$D$301,MATCH(B1464,Vidriería!$A$2:$A$301,0)),"ID no existe"))</f>
        <v/>
      </c>
      <c r="D1464" s="8"/>
      <c r="E1464" s="8"/>
      <c r="F1464" s="8"/>
      <c r="G1464" s="13"/>
    </row>
    <row r="1465" spans="1:7" x14ac:dyDescent="0.3">
      <c r="A1465" s="11"/>
      <c r="B1465" s="8"/>
      <c r="C1465" s="7" t="str">
        <f>IF(B1465="","",IFERROR(INDEX(Vidriería!$C$2:$C$301,MATCH(B1465,Vidriería!$A$2:$A$301,0))&amp;" "&amp;INDEX(Vidriería!$D$2:$D$301,MATCH(B1465,Vidriería!$A$2:$A$301,0)),"ID no existe"))</f>
        <v/>
      </c>
      <c r="D1465" s="8"/>
      <c r="E1465" s="8"/>
      <c r="F1465" s="8"/>
      <c r="G1465" s="13"/>
    </row>
    <row r="1466" spans="1:7" x14ac:dyDescent="0.3">
      <c r="A1466" s="11"/>
      <c r="B1466" s="8"/>
      <c r="C1466" s="7" t="str">
        <f>IF(B1466="","",IFERROR(INDEX(Vidriería!$C$2:$C$301,MATCH(B1466,Vidriería!$A$2:$A$301,0))&amp;" "&amp;INDEX(Vidriería!$D$2:$D$301,MATCH(B1466,Vidriería!$A$2:$A$301,0)),"ID no existe"))</f>
        <v/>
      </c>
      <c r="D1466" s="8"/>
      <c r="E1466" s="8"/>
      <c r="F1466" s="8"/>
      <c r="G1466" s="13"/>
    </row>
    <row r="1467" spans="1:7" x14ac:dyDescent="0.3">
      <c r="A1467" s="11"/>
      <c r="B1467" s="8"/>
      <c r="C1467" s="7" t="str">
        <f>IF(B1467="","",IFERROR(INDEX(Vidriería!$C$2:$C$301,MATCH(B1467,Vidriería!$A$2:$A$301,0))&amp;" "&amp;INDEX(Vidriería!$D$2:$D$301,MATCH(B1467,Vidriería!$A$2:$A$301,0)),"ID no existe"))</f>
        <v/>
      </c>
      <c r="D1467" s="8"/>
      <c r="E1467" s="8"/>
      <c r="F1467" s="8"/>
      <c r="G1467" s="13"/>
    </row>
    <row r="1468" spans="1:7" x14ac:dyDescent="0.3">
      <c r="A1468" s="11"/>
      <c r="B1468" s="8"/>
      <c r="C1468" s="7" t="str">
        <f>IF(B1468="","",IFERROR(INDEX(Vidriería!$C$2:$C$301,MATCH(B1468,Vidriería!$A$2:$A$301,0))&amp;" "&amp;INDEX(Vidriería!$D$2:$D$301,MATCH(B1468,Vidriería!$A$2:$A$301,0)),"ID no existe"))</f>
        <v/>
      </c>
      <c r="D1468" s="8"/>
      <c r="E1468" s="8"/>
      <c r="F1468" s="8"/>
      <c r="G1468" s="13"/>
    </row>
    <row r="1469" spans="1:7" x14ac:dyDescent="0.3">
      <c r="A1469" s="11"/>
      <c r="B1469" s="8"/>
      <c r="C1469" s="7" t="str">
        <f>IF(B1469="","",IFERROR(INDEX(Vidriería!$C$2:$C$301,MATCH(B1469,Vidriería!$A$2:$A$301,0))&amp;" "&amp;INDEX(Vidriería!$D$2:$D$301,MATCH(B1469,Vidriería!$A$2:$A$301,0)),"ID no existe"))</f>
        <v/>
      </c>
      <c r="D1469" s="8"/>
      <c r="E1469" s="8"/>
      <c r="F1469" s="8"/>
      <c r="G1469" s="13"/>
    </row>
    <row r="1470" spans="1:7" x14ac:dyDescent="0.3">
      <c r="A1470" s="11"/>
      <c r="B1470" s="8"/>
      <c r="C1470" s="7" t="str">
        <f>IF(B1470="","",IFERROR(INDEX(Vidriería!$C$2:$C$301,MATCH(B1470,Vidriería!$A$2:$A$301,0))&amp;" "&amp;INDEX(Vidriería!$D$2:$D$301,MATCH(B1470,Vidriería!$A$2:$A$301,0)),"ID no existe"))</f>
        <v/>
      </c>
      <c r="D1470" s="8"/>
      <c r="E1470" s="8"/>
      <c r="F1470" s="8"/>
      <c r="G1470" s="13"/>
    </row>
    <row r="1471" spans="1:7" x14ac:dyDescent="0.3">
      <c r="A1471" s="11"/>
      <c r="B1471" s="8"/>
      <c r="C1471" s="7" t="str">
        <f>IF(B1471="","",IFERROR(INDEX(Vidriería!$C$2:$C$301,MATCH(B1471,Vidriería!$A$2:$A$301,0))&amp;" "&amp;INDEX(Vidriería!$D$2:$D$301,MATCH(B1471,Vidriería!$A$2:$A$301,0)),"ID no existe"))</f>
        <v/>
      </c>
      <c r="D1471" s="8"/>
      <c r="E1471" s="8"/>
      <c r="F1471" s="8"/>
      <c r="G1471" s="13"/>
    </row>
    <row r="1472" spans="1:7" x14ac:dyDescent="0.3">
      <c r="A1472" s="11"/>
      <c r="B1472" s="8"/>
      <c r="C1472" s="7" t="str">
        <f>IF(B1472="","",IFERROR(INDEX(Vidriería!$C$2:$C$301,MATCH(B1472,Vidriería!$A$2:$A$301,0))&amp;" "&amp;INDEX(Vidriería!$D$2:$D$301,MATCH(B1472,Vidriería!$A$2:$A$301,0)),"ID no existe"))</f>
        <v/>
      </c>
      <c r="D1472" s="8"/>
      <c r="E1472" s="8"/>
      <c r="F1472" s="8"/>
      <c r="G1472" s="13"/>
    </row>
    <row r="1473" spans="1:7" x14ac:dyDescent="0.3">
      <c r="A1473" s="11"/>
      <c r="B1473" s="8"/>
      <c r="C1473" s="7" t="str">
        <f>IF(B1473="","",IFERROR(INDEX(Vidriería!$C$2:$C$301,MATCH(B1473,Vidriería!$A$2:$A$301,0))&amp;" "&amp;INDEX(Vidriería!$D$2:$D$301,MATCH(B1473,Vidriería!$A$2:$A$301,0)),"ID no existe"))</f>
        <v/>
      </c>
      <c r="D1473" s="8"/>
      <c r="E1473" s="8"/>
      <c r="F1473" s="8"/>
      <c r="G1473" s="13"/>
    </row>
    <row r="1474" spans="1:7" x14ac:dyDescent="0.3">
      <c r="A1474" s="11"/>
      <c r="B1474" s="8"/>
      <c r="C1474" s="7" t="str">
        <f>IF(B1474="","",IFERROR(INDEX(Vidriería!$C$2:$C$301,MATCH(B1474,Vidriería!$A$2:$A$301,0))&amp;" "&amp;INDEX(Vidriería!$D$2:$D$301,MATCH(B1474,Vidriería!$A$2:$A$301,0)),"ID no existe"))</f>
        <v/>
      </c>
      <c r="D1474" s="8"/>
      <c r="E1474" s="8"/>
      <c r="F1474" s="8"/>
      <c r="G1474" s="13"/>
    </row>
    <row r="1475" spans="1:7" x14ac:dyDescent="0.3">
      <c r="A1475" s="11"/>
      <c r="B1475" s="8"/>
      <c r="C1475" s="7" t="str">
        <f>IF(B1475="","",IFERROR(INDEX(Vidriería!$C$2:$C$301,MATCH(B1475,Vidriería!$A$2:$A$301,0))&amp;" "&amp;INDEX(Vidriería!$D$2:$D$301,MATCH(B1475,Vidriería!$A$2:$A$301,0)),"ID no existe"))</f>
        <v/>
      </c>
      <c r="D1475" s="8"/>
      <c r="E1475" s="8"/>
      <c r="F1475" s="8"/>
      <c r="G1475" s="13"/>
    </row>
    <row r="1476" spans="1:7" x14ac:dyDescent="0.3">
      <c r="A1476" s="11"/>
      <c r="B1476" s="8"/>
      <c r="C1476" s="7" t="str">
        <f>IF(B1476="","",IFERROR(INDEX(Vidriería!$C$2:$C$301,MATCH(B1476,Vidriería!$A$2:$A$301,0))&amp;" "&amp;INDEX(Vidriería!$D$2:$D$301,MATCH(B1476,Vidriería!$A$2:$A$301,0)),"ID no existe"))</f>
        <v/>
      </c>
      <c r="D1476" s="8"/>
      <c r="E1476" s="8"/>
      <c r="F1476" s="8"/>
      <c r="G1476" s="13"/>
    </row>
    <row r="1477" spans="1:7" x14ac:dyDescent="0.3">
      <c r="A1477" s="11"/>
      <c r="B1477" s="8"/>
      <c r="C1477" s="7" t="str">
        <f>IF(B1477="","",IFERROR(INDEX(Vidriería!$C$2:$C$301,MATCH(B1477,Vidriería!$A$2:$A$301,0))&amp;" "&amp;INDEX(Vidriería!$D$2:$D$301,MATCH(B1477,Vidriería!$A$2:$A$301,0)),"ID no existe"))</f>
        <v/>
      </c>
      <c r="D1477" s="8"/>
      <c r="E1477" s="8"/>
      <c r="F1477" s="8"/>
      <c r="G1477" s="13"/>
    </row>
    <row r="1478" spans="1:7" x14ac:dyDescent="0.3">
      <c r="A1478" s="11"/>
      <c r="B1478" s="8"/>
      <c r="C1478" s="7" t="str">
        <f>IF(B1478="","",IFERROR(INDEX(Vidriería!$C$2:$C$301,MATCH(B1478,Vidriería!$A$2:$A$301,0))&amp;" "&amp;INDEX(Vidriería!$D$2:$D$301,MATCH(B1478,Vidriería!$A$2:$A$301,0)),"ID no existe"))</f>
        <v/>
      </c>
      <c r="D1478" s="8"/>
      <c r="E1478" s="8"/>
      <c r="F1478" s="8"/>
      <c r="G1478" s="13"/>
    </row>
    <row r="1479" spans="1:7" x14ac:dyDescent="0.3">
      <c r="A1479" s="11"/>
      <c r="B1479" s="8"/>
      <c r="C1479" s="7" t="str">
        <f>IF(B1479="","",IFERROR(INDEX(Vidriería!$C$2:$C$301,MATCH(B1479,Vidriería!$A$2:$A$301,0))&amp;" "&amp;INDEX(Vidriería!$D$2:$D$301,MATCH(B1479,Vidriería!$A$2:$A$301,0)),"ID no existe"))</f>
        <v/>
      </c>
      <c r="D1479" s="8"/>
      <c r="E1479" s="8"/>
      <c r="F1479" s="8"/>
      <c r="G1479" s="13"/>
    </row>
    <row r="1480" spans="1:7" x14ac:dyDescent="0.3">
      <c r="A1480" s="11"/>
      <c r="B1480" s="8"/>
      <c r="C1480" s="7" t="str">
        <f>IF(B1480="","",IFERROR(INDEX(Vidriería!$C$2:$C$301,MATCH(B1480,Vidriería!$A$2:$A$301,0))&amp;" "&amp;INDEX(Vidriería!$D$2:$D$301,MATCH(B1480,Vidriería!$A$2:$A$301,0)),"ID no existe"))</f>
        <v/>
      </c>
      <c r="D1480" s="8"/>
      <c r="E1480" s="8"/>
      <c r="F1480" s="8"/>
      <c r="G1480" s="13"/>
    </row>
    <row r="1481" spans="1:7" x14ac:dyDescent="0.3">
      <c r="A1481" s="11"/>
      <c r="B1481" s="8"/>
      <c r="C1481" s="7" t="str">
        <f>IF(B1481="","",IFERROR(INDEX(Vidriería!$C$2:$C$301,MATCH(B1481,Vidriería!$A$2:$A$301,0))&amp;" "&amp;INDEX(Vidriería!$D$2:$D$301,MATCH(B1481,Vidriería!$A$2:$A$301,0)),"ID no existe"))</f>
        <v/>
      </c>
      <c r="D1481" s="8"/>
      <c r="E1481" s="8"/>
      <c r="F1481" s="8"/>
      <c r="G1481" s="13"/>
    </row>
    <row r="1482" spans="1:7" x14ac:dyDescent="0.3">
      <c r="A1482" s="11"/>
      <c r="B1482" s="8"/>
      <c r="C1482" s="7" t="str">
        <f>IF(B1482="","",IFERROR(INDEX(Vidriería!$C$2:$C$301,MATCH(B1482,Vidriería!$A$2:$A$301,0))&amp;" "&amp;INDEX(Vidriería!$D$2:$D$301,MATCH(B1482,Vidriería!$A$2:$A$301,0)),"ID no existe"))</f>
        <v/>
      </c>
      <c r="D1482" s="8"/>
      <c r="E1482" s="8"/>
      <c r="F1482" s="8"/>
      <c r="G1482" s="13"/>
    </row>
    <row r="1483" spans="1:7" x14ac:dyDescent="0.3">
      <c r="A1483" s="11"/>
      <c r="B1483" s="8"/>
      <c r="C1483" s="7" t="str">
        <f>IF(B1483="","",IFERROR(INDEX(Vidriería!$C$2:$C$301,MATCH(B1483,Vidriería!$A$2:$A$301,0))&amp;" "&amp;INDEX(Vidriería!$D$2:$D$301,MATCH(B1483,Vidriería!$A$2:$A$301,0)),"ID no existe"))</f>
        <v/>
      </c>
      <c r="D1483" s="8"/>
      <c r="E1483" s="8"/>
      <c r="F1483" s="8"/>
      <c r="G1483" s="13"/>
    </row>
    <row r="1484" spans="1:7" x14ac:dyDescent="0.3">
      <c r="A1484" s="11"/>
      <c r="B1484" s="8"/>
      <c r="C1484" s="7" t="str">
        <f>IF(B1484="","",IFERROR(INDEX(Vidriería!$C$2:$C$301,MATCH(B1484,Vidriería!$A$2:$A$301,0))&amp;" "&amp;INDEX(Vidriería!$D$2:$D$301,MATCH(B1484,Vidriería!$A$2:$A$301,0)),"ID no existe"))</f>
        <v/>
      </c>
      <c r="D1484" s="8"/>
      <c r="E1484" s="8"/>
      <c r="F1484" s="8"/>
      <c r="G1484" s="13"/>
    </row>
    <row r="1485" spans="1:7" x14ac:dyDescent="0.3">
      <c r="A1485" s="11"/>
      <c r="B1485" s="8"/>
      <c r="C1485" s="7" t="str">
        <f>IF(B1485="","",IFERROR(INDEX(Vidriería!$C$2:$C$301,MATCH(B1485,Vidriería!$A$2:$A$301,0))&amp;" "&amp;INDEX(Vidriería!$D$2:$D$301,MATCH(B1485,Vidriería!$A$2:$A$301,0)),"ID no existe"))</f>
        <v/>
      </c>
      <c r="D1485" s="8"/>
      <c r="E1485" s="8"/>
      <c r="F1485" s="8"/>
      <c r="G1485" s="13"/>
    </row>
    <row r="1486" spans="1:7" x14ac:dyDescent="0.3">
      <c r="A1486" s="11"/>
      <c r="B1486" s="8"/>
      <c r="C1486" s="7" t="str">
        <f>IF(B1486="","",IFERROR(INDEX(Vidriería!$C$2:$C$301,MATCH(B1486,Vidriería!$A$2:$A$301,0))&amp;" "&amp;INDEX(Vidriería!$D$2:$D$301,MATCH(B1486,Vidriería!$A$2:$A$301,0)),"ID no existe"))</f>
        <v/>
      </c>
      <c r="D1486" s="8"/>
      <c r="E1486" s="8"/>
      <c r="F1486" s="8"/>
      <c r="G1486" s="13"/>
    </row>
    <row r="1487" spans="1:7" x14ac:dyDescent="0.3">
      <c r="A1487" s="11"/>
      <c r="B1487" s="8"/>
      <c r="C1487" s="7" t="str">
        <f>IF(B1487="","",IFERROR(INDEX(Vidriería!$C$2:$C$301,MATCH(B1487,Vidriería!$A$2:$A$301,0))&amp;" "&amp;INDEX(Vidriería!$D$2:$D$301,MATCH(B1487,Vidriería!$A$2:$A$301,0)),"ID no existe"))</f>
        <v/>
      </c>
      <c r="D1487" s="8"/>
      <c r="E1487" s="8"/>
      <c r="F1487" s="8"/>
      <c r="G1487" s="13"/>
    </row>
    <row r="1488" spans="1:7" x14ac:dyDescent="0.3">
      <c r="A1488" s="11"/>
      <c r="B1488" s="8"/>
      <c r="C1488" s="7" t="str">
        <f>IF(B1488="","",IFERROR(INDEX(Vidriería!$C$2:$C$301,MATCH(B1488,Vidriería!$A$2:$A$301,0))&amp;" "&amp;INDEX(Vidriería!$D$2:$D$301,MATCH(B1488,Vidriería!$A$2:$A$301,0)),"ID no existe"))</f>
        <v/>
      </c>
      <c r="D1488" s="8"/>
      <c r="E1488" s="8"/>
      <c r="F1488" s="8"/>
      <c r="G1488" s="13"/>
    </row>
    <row r="1489" spans="1:7" x14ac:dyDescent="0.3">
      <c r="A1489" s="11"/>
      <c r="B1489" s="8"/>
      <c r="C1489" s="7" t="str">
        <f>IF(B1489="","",IFERROR(INDEX(Vidriería!$C$2:$C$301,MATCH(B1489,Vidriería!$A$2:$A$301,0))&amp;" "&amp;INDEX(Vidriería!$D$2:$D$301,MATCH(B1489,Vidriería!$A$2:$A$301,0)),"ID no existe"))</f>
        <v/>
      </c>
      <c r="D1489" s="8"/>
      <c r="E1489" s="8"/>
      <c r="F1489" s="8"/>
      <c r="G1489" s="13"/>
    </row>
    <row r="1490" spans="1:7" x14ac:dyDescent="0.3">
      <c r="A1490" s="11"/>
      <c r="B1490" s="8"/>
      <c r="C1490" s="7" t="str">
        <f>IF(B1490="","",IFERROR(INDEX(Vidriería!$C$2:$C$301,MATCH(B1490,Vidriería!$A$2:$A$301,0))&amp;" "&amp;INDEX(Vidriería!$D$2:$D$301,MATCH(B1490,Vidriería!$A$2:$A$301,0)),"ID no existe"))</f>
        <v/>
      </c>
      <c r="D1490" s="8"/>
      <c r="E1490" s="8"/>
      <c r="F1490" s="8"/>
      <c r="G1490" s="13"/>
    </row>
    <row r="1491" spans="1:7" x14ac:dyDescent="0.3">
      <c r="A1491" s="11"/>
      <c r="B1491" s="8"/>
      <c r="C1491" s="7" t="str">
        <f>IF(B1491="","",IFERROR(INDEX(Vidriería!$C$2:$C$301,MATCH(B1491,Vidriería!$A$2:$A$301,0))&amp;" "&amp;INDEX(Vidriería!$D$2:$D$301,MATCH(B1491,Vidriería!$A$2:$A$301,0)),"ID no existe"))</f>
        <v/>
      </c>
      <c r="D1491" s="8"/>
      <c r="E1491" s="8"/>
      <c r="F1491" s="8"/>
      <c r="G1491" s="13"/>
    </row>
    <row r="1492" spans="1:7" x14ac:dyDescent="0.3">
      <c r="A1492" s="11"/>
      <c r="B1492" s="8"/>
      <c r="C1492" s="7" t="str">
        <f>IF(B1492="","",IFERROR(INDEX(Vidriería!$C$2:$C$301,MATCH(B1492,Vidriería!$A$2:$A$301,0))&amp;" "&amp;INDEX(Vidriería!$D$2:$D$301,MATCH(B1492,Vidriería!$A$2:$A$301,0)),"ID no existe"))</f>
        <v/>
      </c>
      <c r="D1492" s="8"/>
      <c r="E1492" s="8"/>
      <c r="F1492" s="8"/>
      <c r="G1492" s="13"/>
    </row>
    <row r="1493" spans="1:7" x14ac:dyDescent="0.3">
      <c r="A1493" s="11"/>
      <c r="B1493" s="8"/>
      <c r="C1493" s="7" t="str">
        <f>IF(B1493="","",IFERROR(INDEX(Vidriería!$C$2:$C$301,MATCH(B1493,Vidriería!$A$2:$A$301,0))&amp;" "&amp;INDEX(Vidriería!$D$2:$D$301,MATCH(B1493,Vidriería!$A$2:$A$301,0)),"ID no existe"))</f>
        <v/>
      </c>
      <c r="D1493" s="8"/>
      <c r="E1493" s="8"/>
      <c r="F1493" s="8"/>
      <c r="G1493" s="13"/>
    </row>
    <row r="1494" spans="1:7" x14ac:dyDescent="0.3">
      <c r="A1494" s="11"/>
      <c r="B1494" s="8"/>
      <c r="C1494" s="7" t="str">
        <f>IF(B1494="","",IFERROR(INDEX(Vidriería!$C$2:$C$301,MATCH(B1494,Vidriería!$A$2:$A$301,0))&amp;" "&amp;INDEX(Vidriería!$D$2:$D$301,MATCH(B1494,Vidriería!$A$2:$A$301,0)),"ID no existe"))</f>
        <v/>
      </c>
      <c r="D1494" s="8"/>
      <c r="E1494" s="8"/>
      <c r="F1494" s="8"/>
      <c r="G1494" s="13"/>
    </row>
    <row r="1495" spans="1:7" x14ac:dyDescent="0.3">
      <c r="A1495" s="11"/>
      <c r="B1495" s="8"/>
      <c r="C1495" s="7" t="str">
        <f>IF(B1495="","",IFERROR(INDEX(Vidriería!$C$2:$C$301,MATCH(B1495,Vidriería!$A$2:$A$301,0))&amp;" "&amp;INDEX(Vidriería!$D$2:$D$301,MATCH(B1495,Vidriería!$A$2:$A$301,0)),"ID no existe"))</f>
        <v/>
      </c>
      <c r="D1495" s="8"/>
      <c r="E1495" s="8"/>
      <c r="F1495" s="8"/>
      <c r="G1495" s="13"/>
    </row>
    <row r="1496" spans="1:7" x14ac:dyDescent="0.3">
      <c r="A1496" s="11"/>
      <c r="B1496" s="8"/>
      <c r="C1496" s="7" t="str">
        <f>IF(B1496="","",IFERROR(INDEX(Vidriería!$C$2:$C$301,MATCH(B1496,Vidriería!$A$2:$A$301,0))&amp;" "&amp;INDEX(Vidriería!$D$2:$D$301,MATCH(B1496,Vidriería!$A$2:$A$301,0)),"ID no existe"))</f>
        <v/>
      </c>
      <c r="D1496" s="8"/>
      <c r="E1496" s="8"/>
      <c r="F1496" s="8"/>
      <c r="G1496" s="13"/>
    </row>
    <row r="1497" spans="1:7" x14ac:dyDescent="0.3">
      <c r="A1497" s="11"/>
      <c r="B1497" s="8"/>
      <c r="C1497" s="7" t="str">
        <f>IF(B1497="","",IFERROR(INDEX(Vidriería!$C$2:$C$301,MATCH(B1497,Vidriería!$A$2:$A$301,0))&amp;" "&amp;INDEX(Vidriería!$D$2:$D$301,MATCH(B1497,Vidriería!$A$2:$A$301,0)),"ID no existe"))</f>
        <v/>
      </c>
      <c r="D1497" s="8"/>
      <c r="E1497" s="8"/>
      <c r="F1497" s="8"/>
      <c r="G1497" s="13"/>
    </row>
    <row r="1498" spans="1:7" x14ac:dyDescent="0.3">
      <c r="A1498" s="11"/>
      <c r="B1498" s="8"/>
      <c r="C1498" s="7" t="str">
        <f>IF(B1498="","",IFERROR(INDEX(Vidriería!$C$2:$C$301,MATCH(B1498,Vidriería!$A$2:$A$301,0))&amp;" "&amp;INDEX(Vidriería!$D$2:$D$301,MATCH(B1498,Vidriería!$A$2:$A$301,0)),"ID no existe"))</f>
        <v/>
      </c>
      <c r="D1498" s="8"/>
      <c r="E1498" s="8"/>
      <c r="F1498" s="8"/>
      <c r="G1498" s="13"/>
    </row>
    <row r="1499" spans="1:7" x14ac:dyDescent="0.3">
      <c r="A1499" s="11"/>
      <c r="B1499" s="8"/>
      <c r="C1499" s="7" t="str">
        <f>IF(B1499="","",IFERROR(INDEX(Vidriería!$C$2:$C$301,MATCH(B1499,Vidriería!$A$2:$A$301,0))&amp;" "&amp;INDEX(Vidriería!$D$2:$D$301,MATCH(B1499,Vidriería!$A$2:$A$301,0)),"ID no existe"))</f>
        <v/>
      </c>
      <c r="D1499" s="8"/>
      <c r="E1499" s="8"/>
      <c r="F1499" s="8"/>
      <c r="G1499" s="13"/>
    </row>
    <row r="1500" spans="1:7" x14ac:dyDescent="0.3">
      <c r="A1500" s="11"/>
      <c r="B1500" s="8"/>
      <c r="C1500" s="7" t="str">
        <f>IF(B1500="","",IFERROR(INDEX(Vidriería!$C$2:$C$301,MATCH(B1500,Vidriería!$A$2:$A$301,0))&amp;" "&amp;INDEX(Vidriería!$D$2:$D$301,MATCH(B1500,Vidriería!$A$2:$A$301,0)),"ID no existe"))</f>
        <v/>
      </c>
      <c r="D1500" s="8"/>
      <c r="E1500" s="8"/>
      <c r="F1500" s="8"/>
      <c r="G1500" s="13"/>
    </row>
    <row r="1501" spans="1:7" x14ac:dyDescent="0.3">
      <c r="A1501" s="11"/>
      <c r="B1501" s="8"/>
      <c r="C1501" s="7" t="str">
        <f>IF(B1501="","",IFERROR(INDEX(Vidriería!$C$2:$C$301,MATCH(B1501,Vidriería!$A$2:$A$301,0))&amp;" "&amp;INDEX(Vidriería!$D$2:$D$301,MATCH(B1501,Vidriería!$A$2:$A$301,0)),"ID no existe"))</f>
        <v/>
      </c>
      <c r="D1501" s="8"/>
      <c r="E1501" s="8"/>
      <c r="F1501" s="8"/>
      <c r="G1501" s="13"/>
    </row>
    <row r="1502" spans="1:7" x14ac:dyDescent="0.3">
      <c r="A1502" s="11"/>
      <c r="B1502" s="8"/>
      <c r="C1502" s="7" t="str">
        <f>IF(B1502="","",IFERROR(INDEX(Vidriería!$C$2:$C$301,MATCH(B1502,Vidriería!$A$2:$A$301,0))&amp;" "&amp;INDEX(Vidriería!$D$2:$D$301,MATCH(B1502,Vidriería!$A$2:$A$301,0)),"ID no existe"))</f>
        <v/>
      </c>
      <c r="D1502" s="8"/>
      <c r="E1502" s="8"/>
      <c r="F1502" s="8"/>
      <c r="G1502" s="13"/>
    </row>
    <row r="1503" spans="1:7" x14ac:dyDescent="0.3">
      <c r="A1503" s="11"/>
      <c r="B1503" s="8"/>
      <c r="C1503" s="7" t="str">
        <f>IF(B1503="","",IFERROR(INDEX(Vidriería!$C$2:$C$301,MATCH(B1503,Vidriería!$A$2:$A$301,0))&amp;" "&amp;INDEX(Vidriería!$D$2:$D$301,MATCH(B1503,Vidriería!$A$2:$A$301,0)),"ID no existe"))</f>
        <v/>
      </c>
      <c r="D1503" s="8"/>
      <c r="E1503" s="8"/>
      <c r="F1503" s="8"/>
      <c r="G1503" s="13"/>
    </row>
    <row r="1504" spans="1:7" x14ac:dyDescent="0.3">
      <c r="A1504" s="11"/>
      <c r="B1504" s="8"/>
      <c r="C1504" s="7" t="str">
        <f>IF(B1504="","",IFERROR(INDEX(Vidriería!$C$2:$C$301,MATCH(B1504,Vidriería!$A$2:$A$301,0))&amp;" "&amp;INDEX(Vidriería!$D$2:$D$301,MATCH(B1504,Vidriería!$A$2:$A$301,0)),"ID no existe"))</f>
        <v/>
      </c>
      <c r="D1504" s="8"/>
      <c r="E1504" s="8"/>
      <c r="F1504" s="8"/>
      <c r="G1504" s="13"/>
    </row>
    <row r="1505" spans="1:7" x14ac:dyDescent="0.3">
      <c r="A1505" s="11"/>
      <c r="B1505" s="8"/>
      <c r="C1505" s="7" t="str">
        <f>IF(B1505="","",IFERROR(INDEX(Vidriería!$C$2:$C$301,MATCH(B1505,Vidriería!$A$2:$A$301,0))&amp;" "&amp;INDEX(Vidriería!$D$2:$D$301,MATCH(B1505,Vidriería!$A$2:$A$301,0)),"ID no existe"))</f>
        <v/>
      </c>
      <c r="D1505" s="8"/>
      <c r="E1505" s="8"/>
      <c r="F1505" s="8"/>
      <c r="G1505" s="13"/>
    </row>
    <row r="1506" spans="1:7" x14ac:dyDescent="0.3">
      <c r="A1506" s="11"/>
      <c r="B1506" s="8"/>
      <c r="C1506" s="7" t="str">
        <f>IF(B1506="","",IFERROR(INDEX(Vidriería!$C$2:$C$301,MATCH(B1506,Vidriería!$A$2:$A$301,0))&amp;" "&amp;INDEX(Vidriería!$D$2:$D$301,MATCH(B1506,Vidriería!$A$2:$A$301,0)),"ID no existe"))</f>
        <v/>
      </c>
      <c r="D1506" s="8"/>
      <c r="E1506" s="8"/>
      <c r="F1506" s="8"/>
      <c r="G1506" s="13"/>
    </row>
    <row r="1507" spans="1:7" x14ac:dyDescent="0.3">
      <c r="A1507" s="11"/>
      <c r="B1507" s="8"/>
      <c r="C1507" s="7" t="str">
        <f>IF(B1507="","",IFERROR(INDEX(Vidriería!$C$2:$C$301,MATCH(B1507,Vidriería!$A$2:$A$301,0))&amp;" "&amp;INDEX(Vidriería!$D$2:$D$301,MATCH(B1507,Vidriería!$A$2:$A$301,0)),"ID no existe"))</f>
        <v/>
      </c>
      <c r="D1507" s="8"/>
      <c r="E1507" s="8"/>
      <c r="F1507" s="8"/>
      <c r="G1507" s="13"/>
    </row>
    <row r="1508" spans="1:7" x14ac:dyDescent="0.3">
      <c r="A1508" s="11"/>
      <c r="B1508" s="8"/>
      <c r="C1508" s="7" t="str">
        <f>IF(B1508="","",IFERROR(INDEX(Vidriería!$C$2:$C$301,MATCH(B1508,Vidriería!$A$2:$A$301,0))&amp;" "&amp;INDEX(Vidriería!$D$2:$D$301,MATCH(B1508,Vidriería!$A$2:$A$301,0)),"ID no existe"))</f>
        <v/>
      </c>
      <c r="D1508" s="8"/>
      <c r="E1508" s="8"/>
      <c r="F1508" s="8"/>
      <c r="G1508" s="13"/>
    </row>
    <row r="1509" spans="1:7" x14ac:dyDescent="0.3">
      <c r="A1509" s="11"/>
      <c r="B1509" s="8"/>
      <c r="C1509" s="7" t="str">
        <f>IF(B1509="","",IFERROR(INDEX(Vidriería!$C$2:$C$301,MATCH(B1509,Vidriería!$A$2:$A$301,0))&amp;" "&amp;INDEX(Vidriería!$D$2:$D$301,MATCH(B1509,Vidriería!$A$2:$A$301,0)),"ID no existe"))</f>
        <v/>
      </c>
      <c r="D1509" s="8"/>
      <c r="E1509" s="8"/>
      <c r="F1509" s="8"/>
      <c r="G1509" s="13"/>
    </row>
    <row r="1510" spans="1:7" x14ac:dyDescent="0.3">
      <c r="A1510" s="11"/>
      <c r="B1510" s="8"/>
      <c r="C1510" s="7" t="str">
        <f>IF(B1510="","",IFERROR(INDEX(Vidriería!$C$2:$C$301,MATCH(B1510,Vidriería!$A$2:$A$301,0))&amp;" "&amp;INDEX(Vidriería!$D$2:$D$301,MATCH(B1510,Vidriería!$A$2:$A$301,0)),"ID no existe"))</f>
        <v/>
      </c>
      <c r="D1510" s="8"/>
      <c r="E1510" s="8"/>
      <c r="F1510" s="8"/>
      <c r="G1510" s="13"/>
    </row>
    <row r="1511" spans="1:7" x14ac:dyDescent="0.3">
      <c r="A1511" s="11"/>
      <c r="B1511" s="8"/>
      <c r="C1511" s="7" t="str">
        <f>IF(B1511="","",IFERROR(INDEX(Vidriería!$C$2:$C$301,MATCH(B1511,Vidriería!$A$2:$A$301,0))&amp;" "&amp;INDEX(Vidriería!$D$2:$D$301,MATCH(B1511,Vidriería!$A$2:$A$301,0)),"ID no existe"))</f>
        <v/>
      </c>
      <c r="D1511" s="8"/>
      <c r="E1511" s="8"/>
      <c r="F1511" s="8"/>
      <c r="G1511" s="13"/>
    </row>
    <row r="1512" spans="1:7" x14ac:dyDescent="0.3">
      <c r="A1512" s="11"/>
      <c r="B1512" s="8"/>
      <c r="C1512" s="7" t="str">
        <f>IF(B1512="","",IFERROR(INDEX(Vidriería!$C$2:$C$301,MATCH(B1512,Vidriería!$A$2:$A$301,0))&amp;" "&amp;INDEX(Vidriería!$D$2:$D$301,MATCH(B1512,Vidriería!$A$2:$A$301,0)),"ID no existe"))</f>
        <v/>
      </c>
      <c r="D1512" s="8"/>
      <c r="E1512" s="8"/>
      <c r="F1512" s="8"/>
      <c r="G1512" s="13"/>
    </row>
    <row r="1513" spans="1:7" x14ac:dyDescent="0.3">
      <c r="A1513" s="11"/>
      <c r="B1513" s="8"/>
      <c r="C1513" s="7" t="str">
        <f>IF(B1513="","",IFERROR(INDEX(Vidriería!$C$2:$C$301,MATCH(B1513,Vidriería!$A$2:$A$301,0))&amp;" "&amp;INDEX(Vidriería!$D$2:$D$301,MATCH(B1513,Vidriería!$A$2:$A$301,0)),"ID no existe"))</f>
        <v/>
      </c>
      <c r="D1513" s="8"/>
      <c r="E1513" s="8"/>
      <c r="F1513" s="8"/>
      <c r="G1513" s="13"/>
    </row>
    <row r="1514" spans="1:7" x14ac:dyDescent="0.3">
      <c r="A1514" s="11"/>
      <c r="B1514" s="8"/>
      <c r="C1514" s="7" t="str">
        <f>IF(B1514="","",IFERROR(INDEX(Vidriería!$C$2:$C$301,MATCH(B1514,Vidriería!$A$2:$A$301,0))&amp;" "&amp;INDEX(Vidriería!$D$2:$D$301,MATCH(B1514,Vidriería!$A$2:$A$301,0)),"ID no existe"))</f>
        <v/>
      </c>
      <c r="D1514" s="8"/>
      <c r="E1514" s="8"/>
      <c r="F1514" s="8"/>
      <c r="G1514" s="13"/>
    </row>
    <row r="1515" spans="1:7" x14ac:dyDescent="0.3">
      <c r="A1515" s="11"/>
      <c r="B1515" s="8"/>
      <c r="C1515" s="7" t="str">
        <f>IF(B1515="","",IFERROR(INDEX(Vidriería!$C$2:$C$301,MATCH(B1515,Vidriería!$A$2:$A$301,0))&amp;" "&amp;INDEX(Vidriería!$D$2:$D$301,MATCH(B1515,Vidriería!$A$2:$A$301,0)),"ID no existe"))</f>
        <v/>
      </c>
      <c r="D1515" s="8"/>
      <c r="E1515" s="8"/>
      <c r="F1515" s="8"/>
      <c r="G1515" s="13"/>
    </row>
    <row r="1516" spans="1:7" x14ac:dyDescent="0.3">
      <c r="A1516" s="11"/>
      <c r="B1516" s="8"/>
      <c r="C1516" s="7" t="str">
        <f>IF(B1516="","",IFERROR(INDEX(Vidriería!$C$2:$C$301,MATCH(B1516,Vidriería!$A$2:$A$301,0))&amp;" "&amp;INDEX(Vidriería!$D$2:$D$301,MATCH(B1516,Vidriería!$A$2:$A$301,0)),"ID no existe"))</f>
        <v/>
      </c>
      <c r="D1516" s="8"/>
      <c r="E1516" s="8"/>
      <c r="F1516" s="8"/>
      <c r="G1516" s="13"/>
    </row>
    <row r="1517" spans="1:7" x14ac:dyDescent="0.3">
      <c r="A1517" s="11"/>
      <c r="B1517" s="8"/>
      <c r="C1517" s="7" t="str">
        <f>IF(B1517="","",IFERROR(INDEX(Vidriería!$C$2:$C$301,MATCH(B1517,Vidriería!$A$2:$A$301,0))&amp;" "&amp;INDEX(Vidriería!$D$2:$D$301,MATCH(B1517,Vidriería!$A$2:$A$301,0)),"ID no existe"))</f>
        <v/>
      </c>
      <c r="D1517" s="8"/>
      <c r="E1517" s="8"/>
      <c r="F1517" s="8"/>
      <c r="G1517" s="13"/>
    </row>
    <row r="1518" spans="1:7" x14ac:dyDescent="0.3">
      <c r="A1518" s="11"/>
      <c r="B1518" s="8"/>
      <c r="C1518" s="7" t="str">
        <f>IF(B1518="","",IFERROR(INDEX(Vidriería!$C$2:$C$301,MATCH(B1518,Vidriería!$A$2:$A$301,0))&amp;" "&amp;INDEX(Vidriería!$D$2:$D$301,MATCH(B1518,Vidriería!$A$2:$A$301,0)),"ID no existe"))</f>
        <v/>
      </c>
      <c r="D1518" s="8"/>
      <c r="E1518" s="8"/>
      <c r="F1518" s="8"/>
      <c r="G1518" s="13"/>
    </row>
    <row r="1519" spans="1:7" x14ac:dyDescent="0.3">
      <c r="A1519" s="11"/>
      <c r="B1519" s="8"/>
      <c r="C1519" s="7" t="str">
        <f>IF(B1519="","",IFERROR(INDEX(Vidriería!$C$2:$C$301,MATCH(B1519,Vidriería!$A$2:$A$301,0))&amp;" "&amp;INDEX(Vidriería!$D$2:$D$301,MATCH(B1519,Vidriería!$A$2:$A$301,0)),"ID no existe"))</f>
        <v/>
      </c>
      <c r="D1519" s="8"/>
      <c r="E1519" s="8"/>
      <c r="F1519" s="8"/>
      <c r="G1519" s="13"/>
    </row>
    <row r="1520" spans="1:7" x14ac:dyDescent="0.3">
      <c r="A1520" s="11"/>
      <c r="B1520" s="8"/>
      <c r="C1520" s="7" t="str">
        <f>IF(B1520="","",IFERROR(INDEX(Vidriería!$C$2:$C$301,MATCH(B1520,Vidriería!$A$2:$A$301,0))&amp;" "&amp;INDEX(Vidriería!$D$2:$D$301,MATCH(B1520,Vidriería!$A$2:$A$301,0)),"ID no existe"))</f>
        <v/>
      </c>
      <c r="D1520" s="8"/>
      <c r="E1520" s="8"/>
      <c r="F1520" s="8"/>
      <c r="G1520" s="13"/>
    </row>
    <row r="1521" spans="1:7" x14ac:dyDescent="0.3">
      <c r="A1521" s="11"/>
      <c r="B1521" s="8"/>
      <c r="C1521" s="7" t="str">
        <f>IF(B1521="","",IFERROR(INDEX(Vidriería!$C$2:$C$301,MATCH(B1521,Vidriería!$A$2:$A$301,0))&amp;" "&amp;INDEX(Vidriería!$D$2:$D$301,MATCH(B1521,Vidriería!$A$2:$A$301,0)),"ID no existe"))</f>
        <v/>
      </c>
      <c r="D1521" s="8"/>
      <c r="E1521" s="8"/>
      <c r="F1521" s="8"/>
      <c r="G1521" s="13"/>
    </row>
    <row r="1522" spans="1:7" x14ac:dyDescent="0.3">
      <c r="A1522" s="11"/>
      <c r="B1522" s="8"/>
      <c r="C1522" s="7" t="str">
        <f>IF(B1522="","",IFERROR(INDEX(Vidriería!$C$2:$C$301,MATCH(B1522,Vidriería!$A$2:$A$301,0))&amp;" "&amp;INDEX(Vidriería!$D$2:$D$301,MATCH(B1522,Vidriería!$A$2:$A$301,0)),"ID no existe"))</f>
        <v/>
      </c>
      <c r="D1522" s="8"/>
      <c r="E1522" s="8"/>
      <c r="F1522" s="8"/>
      <c r="G1522" s="13"/>
    </row>
    <row r="1523" spans="1:7" x14ac:dyDescent="0.3">
      <c r="A1523" s="11"/>
      <c r="B1523" s="8"/>
      <c r="C1523" s="7" t="str">
        <f>IF(B1523="","",IFERROR(INDEX(Vidriería!$C$2:$C$301,MATCH(B1523,Vidriería!$A$2:$A$301,0))&amp;" "&amp;INDEX(Vidriería!$D$2:$D$301,MATCH(B1523,Vidriería!$A$2:$A$301,0)),"ID no existe"))</f>
        <v/>
      </c>
      <c r="D1523" s="8"/>
      <c r="E1523" s="8"/>
      <c r="F1523" s="8"/>
      <c r="G1523" s="13"/>
    </row>
    <row r="1524" spans="1:7" x14ac:dyDescent="0.3">
      <c r="A1524" s="11"/>
      <c r="B1524" s="8"/>
      <c r="C1524" s="7" t="str">
        <f>IF(B1524="","",IFERROR(INDEX(Vidriería!$C$2:$C$301,MATCH(B1524,Vidriería!$A$2:$A$301,0))&amp;" "&amp;INDEX(Vidriería!$D$2:$D$301,MATCH(B1524,Vidriería!$A$2:$A$301,0)),"ID no existe"))</f>
        <v/>
      </c>
      <c r="D1524" s="8"/>
      <c r="E1524" s="8"/>
      <c r="F1524" s="8"/>
      <c r="G1524" s="13"/>
    </row>
    <row r="1525" spans="1:7" x14ac:dyDescent="0.3">
      <c r="A1525" s="11"/>
      <c r="B1525" s="8"/>
      <c r="C1525" s="7" t="str">
        <f>IF(B1525="","",IFERROR(INDEX(Vidriería!$C$2:$C$301,MATCH(B1525,Vidriería!$A$2:$A$301,0))&amp;" "&amp;INDEX(Vidriería!$D$2:$D$301,MATCH(B1525,Vidriería!$A$2:$A$301,0)),"ID no existe"))</f>
        <v/>
      </c>
      <c r="D1525" s="8"/>
      <c r="E1525" s="8"/>
      <c r="F1525" s="8"/>
      <c r="G1525" s="13"/>
    </row>
    <row r="1526" spans="1:7" x14ac:dyDescent="0.3">
      <c r="A1526" s="11"/>
      <c r="B1526" s="8"/>
      <c r="C1526" s="7" t="str">
        <f>IF(B1526="","",IFERROR(INDEX(Vidriería!$C$2:$C$301,MATCH(B1526,Vidriería!$A$2:$A$301,0))&amp;" "&amp;INDEX(Vidriería!$D$2:$D$301,MATCH(B1526,Vidriería!$A$2:$A$301,0)),"ID no existe"))</f>
        <v/>
      </c>
      <c r="D1526" s="8"/>
      <c r="E1526" s="8"/>
      <c r="F1526" s="8"/>
      <c r="G1526" s="13"/>
    </row>
    <row r="1527" spans="1:7" x14ac:dyDescent="0.3">
      <c r="A1527" s="11"/>
      <c r="B1527" s="8"/>
      <c r="C1527" s="7" t="str">
        <f>IF(B1527="","",IFERROR(INDEX(Vidriería!$C$2:$C$301,MATCH(B1527,Vidriería!$A$2:$A$301,0))&amp;" "&amp;INDEX(Vidriería!$D$2:$D$301,MATCH(B1527,Vidriería!$A$2:$A$301,0)),"ID no existe"))</f>
        <v/>
      </c>
      <c r="D1527" s="8"/>
      <c r="E1527" s="8"/>
      <c r="F1527" s="8"/>
      <c r="G1527" s="13"/>
    </row>
    <row r="1528" spans="1:7" x14ac:dyDescent="0.3">
      <c r="A1528" s="11"/>
      <c r="B1528" s="8"/>
      <c r="C1528" s="7" t="str">
        <f>IF(B1528="","",IFERROR(INDEX(Vidriería!$C$2:$C$301,MATCH(B1528,Vidriería!$A$2:$A$301,0))&amp;" "&amp;INDEX(Vidriería!$D$2:$D$301,MATCH(B1528,Vidriería!$A$2:$A$301,0)),"ID no existe"))</f>
        <v/>
      </c>
      <c r="D1528" s="8"/>
      <c r="E1528" s="8"/>
      <c r="F1528" s="8"/>
      <c r="G1528" s="13"/>
    </row>
    <row r="1529" spans="1:7" x14ac:dyDescent="0.3">
      <c r="A1529" s="11"/>
      <c r="B1529" s="8"/>
      <c r="C1529" s="7" t="str">
        <f>IF(B1529="","",IFERROR(INDEX(Vidriería!$C$2:$C$301,MATCH(B1529,Vidriería!$A$2:$A$301,0))&amp;" "&amp;INDEX(Vidriería!$D$2:$D$301,MATCH(B1529,Vidriería!$A$2:$A$301,0)),"ID no existe"))</f>
        <v/>
      </c>
      <c r="D1529" s="8"/>
      <c r="E1529" s="8"/>
      <c r="F1529" s="8"/>
      <c r="G1529" s="13"/>
    </row>
    <row r="1530" spans="1:7" x14ac:dyDescent="0.3">
      <c r="A1530" s="11"/>
      <c r="B1530" s="8"/>
      <c r="C1530" s="7" t="str">
        <f>IF(B1530="","",IFERROR(INDEX(Vidriería!$C$2:$C$301,MATCH(B1530,Vidriería!$A$2:$A$301,0))&amp;" "&amp;INDEX(Vidriería!$D$2:$D$301,MATCH(B1530,Vidriería!$A$2:$A$301,0)),"ID no existe"))</f>
        <v/>
      </c>
      <c r="D1530" s="8"/>
      <c r="E1530" s="8"/>
      <c r="F1530" s="8"/>
      <c r="G1530" s="13"/>
    </row>
    <row r="1531" spans="1:7" x14ac:dyDescent="0.3">
      <c r="A1531" s="11"/>
      <c r="B1531" s="8"/>
      <c r="C1531" s="7" t="str">
        <f>IF(B1531="","",IFERROR(INDEX(Vidriería!$C$2:$C$301,MATCH(B1531,Vidriería!$A$2:$A$301,0))&amp;" "&amp;INDEX(Vidriería!$D$2:$D$301,MATCH(B1531,Vidriería!$A$2:$A$301,0)),"ID no existe"))</f>
        <v/>
      </c>
      <c r="D1531" s="8"/>
      <c r="E1531" s="8"/>
      <c r="F1531" s="8"/>
      <c r="G1531" s="13"/>
    </row>
    <row r="1532" spans="1:7" x14ac:dyDescent="0.3">
      <c r="A1532" s="11"/>
      <c r="B1532" s="8"/>
      <c r="C1532" s="7" t="str">
        <f>IF(B1532="","",IFERROR(INDEX(Vidriería!$C$2:$C$301,MATCH(B1532,Vidriería!$A$2:$A$301,0))&amp;" "&amp;INDEX(Vidriería!$D$2:$D$301,MATCH(B1532,Vidriería!$A$2:$A$301,0)),"ID no existe"))</f>
        <v/>
      </c>
      <c r="D1532" s="8"/>
      <c r="E1532" s="8"/>
      <c r="F1532" s="8"/>
      <c r="G1532" s="13"/>
    </row>
    <row r="1533" spans="1:7" x14ac:dyDescent="0.3">
      <c r="A1533" s="11"/>
      <c r="B1533" s="8"/>
      <c r="C1533" s="7" t="str">
        <f>IF(B1533="","",IFERROR(INDEX(Vidriería!$C$2:$C$301,MATCH(B1533,Vidriería!$A$2:$A$301,0))&amp;" "&amp;INDEX(Vidriería!$D$2:$D$301,MATCH(B1533,Vidriería!$A$2:$A$301,0)),"ID no existe"))</f>
        <v/>
      </c>
      <c r="D1533" s="8"/>
      <c r="E1533" s="8"/>
      <c r="F1533" s="8"/>
      <c r="G1533" s="13"/>
    </row>
    <row r="1534" spans="1:7" x14ac:dyDescent="0.3">
      <c r="A1534" s="11"/>
      <c r="B1534" s="8"/>
      <c r="C1534" s="7" t="str">
        <f>IF(B1534="","",IFERROR(INDEX(Vidriería!$C$2:$C$301,MATCH(B1534,Vidriería!$A$2:$A$301,0))&amp;" "&amp;INDEX(Vidriería!$D$2:$D$301,MATCH(B1534,Vidriería!$A$2:$A$301,0)),"ID no existe"))</f>
        <v/>
      </c>
      <c r="D1534" s="8"/>
      <c r="E1534" s="8"/>
      <c r="F1534" s="8"/>
      <c r="G1534" s="13"/>
    </row>
    <row r="1535" spans="1:7" x14ac:dyDescent="0.3">
      <c r="A1535" s="11"/>
      <c r="B1535" s="8"/>
      <c r="C1535" s="7" t="str">
        <f>IF(B1535="","",IFERROR(INDEX(Vidriería!$C$2:$C$301,MATCH(B1535,Vidriería!$A$2:$A$301,0))&amp;" "&amp;INDEX(Vidriería!$D$2:$D$301,MATCH(B1535,Vidriería!$A$2:$A$301,0)),"ID no existe"))</f>
        <v/>
      </c>
      <c r="D1535" s="8"/>
      <c r="E1535" s="8"/>
      <c r="F1535" s="8"/>
      <c r="G1535" s="13"/>
    </row>
    <row r="1536" spans="1:7" x14ac:dyDescent="0.3">
      <c r="A1536" s="11"/>
      <c r="B1536" s="8"/>
      <c r="C1536" s="7" t="str">
        <f>IF(B1536="","",IFERROR(INDEX(Vidriería!$C$2:$C$301,MATCH(B1536,Vidriería!$A$2:$A$301,0))&amp;" "&amp;INDEX(Vidriería!$D$2:$D$301,MATCH(B1536,Vidriería!$A$2:$A$301,0)),"ID no existe"))</f>
        <v/>
      </c>
      <c r="D1536" s="8"/>
      <c r="E1536" s="8"/>
      <c r="F1536" s="8"/>
      <c r="G1536" s="13"/>
    </row>
    <row r="1537" spans="1:7" x14ac:dyDescent="0.3">
      <c r="A1537" s="11"/>
      <c r="B1537" s="8"/>
      <c r="C1537" s="7" t="str">
        <f>IF(B1537="","",IFERROR(INDEX(Vidriería!$C$2:$C$301,MATCH(B1537,Vidriería!$A$2:$A$301,0))&amp;" "&amp;INDEX(Vidriería!$D$2:$D$301,MATCH(B1537,Vidriería!$A$2:$A$301,0)),"ID no existe"))</f>
        <v/>
      </c>
      <c r="D1537" s="8"/>
      <c r="E1537" s="8"/>
      <c r="F1537" s="8"/>
      <c r="G1537" s="13"/>
    </row>
    <row r="1538" spans="1:7" x14ac:dyDescent="0.3">
      <c r="A1538" s="11"/>
      <c r="B1538" s="8"/>
      <c r="C1538" s="7" t="str">
        <f>IF(B1538="","",IFERROR(INDEX(Vidriería!$C$2:$C$301,MATCH(B1538,Vidriería!$A$2:$A$301,0))&amp;" "&amp;INDEX(Vidriería!$D$2:$D$301,MATCH(B1538,Vidriería!$A$2:$A$301,0)),"ID no existe"))</f>
        <v/>
      </c>
      <c r="D1538" s="8"/>
      <c r="E1538" s="8"/>
      <c r="F1538" s="8"/>
      <c r="G1538" s="13"/>
    </row>
    <row r="1539" spans="1:7" x14ac:dyDescent="0.3">
      <c r="A1539" s="11"/>
      <c r="B1539" s="8"/>
      <c r="C1539" s="7" t="str">
        <f>IF(B1539="","",IFERROR(INDEX(Vidriería!$C$2:$C$301,MATCH(B1539,Vidriería!$A$2:$A$301,0))&amp;" "&amp;INDEX(Vidriería!$D$2:$D$301,MATCH(B1539,Vidriería!$A$2:$A$301,0)),"ID no existe"))</f>
        <v/>
      </c>
      <c r="D1539" s="8"/>
      <c r="E1539" s="8"/>
      <c r="F1539" s="8"/>
      <c r="G1539" s="13"/>
    </row>
    <row r="1540" spans="1:7" x14ac:dyDescent="0.3">
      <c r="A1540" s="11"/>
      <c r="B1540" s="8"/>
      <c r="C1540" s="7" t="str">
        <f>IF(B1540="","",IFERROR(INDEX(Vidriería!$C$2:$C$301,MATCH(B1540,Vidriería!$A$2:$A$301,0))&amp;" "&amp;INDEX(Vidriería!$D$2:$D$301,MATCH(B1540,Vidriería!$A$2:$A$301,0)),"ID no existe"))</f>
        <v/>
      </c>
      <c r="D1540" s="8"/>
      <c r="E1540" s="8"/>
      <c r="F1540" s="8"/>
      <c r="G1540" s="13"/>
    </row>
    <row r="1541" spans="1:7" x14ac:dyDescent="0.3">
      <c r="A1541" s="11"/>
      <c r="B1541" s="8"/>
      <c r="C1541" s="7" t="str">
        <f>IF(B1541="","",IFERROR(INDEX(Vidriería!$C$2:$C$301,MATCH(B1541,Vidriería!$A$2:$A$301,0))&amp;" "&amp;INDEX(Vidriería!$D$2:$D$301,MATCH(B1541,Vidriería!$A$2:$A$301,0)),"ID no existe"))</f>
        <v/>
      </c>
      <c r="D1541" s="8"/>
      <c r="E1541" s="8"/>
      <c r="F1541" s="8"/>
      <c r="G1541" s="13"/>
    </row>
    <row r="1542" spans="1:7" x14ac:dyDescent="0.3">
      <c r="A1542" s="11"/>
      <c r="B1542" s="8"/>
      <c r="C1542" s="7" t="str">
        <f>IF(B1542="","",IFERROR(INDEX(Vidriería!$C$2:$C$301,MATCH(B1542,Vidriería!$A$2:$A$301,0))&amp;" "&amp;INDEX(Vidriería!$D$2:$D$301,MATCH(B1542,Vidriería!$A$2:$A$301,0)),"ID no existe"))</f>
        <v/>
      </c>
      <c r="D1542" s="8"/>
      <c r="E1542" s="8"/>
      <c r="F1542" s="8"/>
      <c r="G1542" s="13"/>
    </row>
    <row r="1543" spans="1:7" x14ac:dyDescent="0.3">
      <c r="A1543" s="11"/>
      <c r="B1543" s="8"/>
      <c r="C1543" s="7" t="str">
        <f>IF(B1543="","",IFERROR(INDEX(Vidriería!$C$2:$C$301,MATCH(B1543,Vidriería!$A$2:$A$301,0))&amp;" "&amp;INDEX(Vidriería!$D$2:$D$301,MATCH(B1543,Vidriería!$A$2:$A$301,0)),"ID no existe"))</f>
        <v/>
      </c>
      <c r="D1543" s="8"/>
      <c r="E1543" s="8"/>
      <c r="F1543" s="8"/>
      <c r="G1543" s="13"/>
    </row>
    <row r="1544" spans="1:7" x14ac:dyDescent="0.3">
      <c r="A1544" s="11"/>
      <c r="B1544" s="8"/>
      <c r="C1544" s="7" t="str">
        <f>IF(B1544="","",IFERROR(INDEX(Vidriería!$C$2:$C$301,MATCH(B1544,Vidriería!$A$2:$A$301,0))&amp;" "&amp;INDEX(Vidriería!$D$2:$D$301,MATCH(B1544,Vidriería!$A$2:$A$301,0)),"ID no existe"))</f>
        <v/>
      </c>
      <c r="D1544" s="8"/>
      <c r="E1544" s="8"/>
      <c r="F1544" s="8"/>
      <c r="G1544" s="13"/>
    </row>
    <row r="1545" spans="1:7" x14ac:dyDescent="0.3">
      <c r="A1545" s="11"/>
      <c r="B1545" s="8"/>
      <c r="C1545" s="7" t="str">
        <f>IF(B1545="","",IFERROR(INDEX(Vidriería!$C$2:$C$301,MATCH(B1545,Vidriería!$A$2:$A$301,0))&amp;" "&amp;INDEX(Vidriería!$D$2:$D$301,MATCH(B1545,Vidriería!$A$2:$A$301,0)),"ID no existe"))</f>
        <v/>
      </c>
      <c r="D1545" s="8"/>
      <c r="E1545" s="8"/>
      <c r="F1545" s="8"/>
      <c r="G1545" s="13"/>
    </row>
    <row r="1546" spans="1:7" x14ac:dyDescent="0.3">
      <c r="A1546" s="11"/>
      <c r="B1546" s="8"/>
      <c r="C1546" s="7" t="str">
        <f>IF(B1546="","",IFERROR(INDEX(Vidriería!$C$2:$C$301,MATCH(B1546,Vidriería!$A$2:$A$301,0))&amp;" "&amp;INDEX(Vidriería!$D$2:$D$301,MATCH(B1546,Vidriería!$A$2:$A$301,0)),"ID no existe"))</f>
        <v/>
      </c>
      <c r="D1546" s="8"/>
      <c r="E1546" s="8"/>
      <c r="F1546" s="8"/>
      <c r="G1546" s="13"/>
    </row>
    <row r="1547" spans="1:7" x14ac:dyDescent="0.3">
      <c r="A1547" s="11"/>
      <c r="B1547" s="8"/>
      <c r="C1547" s="7" t="str">
        <f>IF(B1547="","",IFERROR(INDEX(Vidriería!$C$2:$C$301,MATCH(B1547,Vidriería!$A$2:$A$301,0))&amp;" "&amp;INDEX(Vidriería!$D$2:$D$301,MATCH(B1547,Vidriería!$A$2:$A$301,0)),"ID no existe"))</f>
        <v/>
      </c>
      <c r="D1547" s="8"/>
      <c r="E1547" s="8"/>
      <c r="F1547" s="8"/>
      <c r="G1547" s="13"/>
    </row>
    <row r="1548" spans="1:7" x14ac:dyDescent="0.3">
      <c r="A1548" s="11"/>
      <c r="B1548" s="8"/>
      <c r="C1548" s="7" t="str">
        <f>IF(B1548="","",IFERROR(INDEX(Vidriería!$C$2:$C$301,MATCH(B1548,Vidriería!$A$2:$A$301,0))&amp;" "&amp;INDEX(Vidriería!$D$2:$D$301,MATCH(B1548,Vidriería!$A$2:$A$301,0)),"ID no existe"))</f>
        <v/>
      </c>
      <c r="D1548" s="8"/>
      <c r="E1548" s="8"/>
      <c r="F1548" s="8"/>
      <c r="G1548" s="13"/>
    </row>
    <row r="1549" spans="1:7" x14ac:dyDescent="0.3">
      <c r="A1549" s="11"/>
      <c r="B1549" s="8"/>
      <c r="C1549" s="7" t="str">
        <f>IF(B1549="","",IFERROR(INDEX(Vidriería!$C$2:$C$301,MATCH(B1549,Vidriería!$A$2:$A$301,0))&amp;" "&amp;INDEX(Vidriería!$D$2:$D$301,MATCH(B1549,Vidriería!$A$2:$A$301,0)),"ID no existe"))</f>
        <v/>
      </c>
      <c r="D1549" s="8"/>
      <c r="E1549" s="8"/>
      <c r="F1549" s="8"/>
      <c r="G1549" s="13"/>
    </row>
    <row r="1550" spans="1:7" x14ac:dyDescent="0.3">
      <c r="A1550" s="11"/>
      <c r="B1550" s="8"/>
      <c r="C1550" s="7" t="str">
        <f>IF(B1550="","",IFERROR(INDEX(Vidriería!$C$2:$C$301,MATCH(B1550,Vidriería!$A$2:$A$301,0))&amp;" "&amp;INDEX(Vidriería!$D$2:$D$301,MATCH(B1550,Vidriería!$A$2:$A$301,0)),"ID no existe"))</f>
        <v/>
      </c>
      <c r="D1550" s="8"/>
      <c r="E1550" s="8"/>
      <c r="F1550" s="8"/>
      <c r="G1550" s="13"/>
    </row>
    <row r="1551" spans="1:7" x14ac:dyDescent="0.3">
      <c r="A1551" s="11"/>
      <c r="B1551" s="8"/>
      <c r="C1551" s="7" t="str">
        <f>IF(B1551="","",IFERROR(INDEX(Vidriería!$C$2:$C$301,MATCH(B1551,Vidriería!$A$2:$A$301,0))&amp;" "&amp;INDEX(Vidriería!$D$2:$D$301,MATCH(B1551,Vidriería!$A$2:$A$301,0)),"ID no existe"))</f>
        <v/>
      </c>
      <c r="D1551" s="8"/>
      <c r="E1551" s="8"/>
      <c r="F1551" s="8"/>
      <c r="G1551" s="13"/>
    </row>
    <row r="1552" spans="1:7" x14ac:dyDescent="0.3">
      <c r="A1552" s="11"/>
      <c r="B1552" s="8"/>
      <c r="C1552" s="7" t="str">
        <f>IF(B1552="","",IFERROR(INDEX(Vidriería!$C$2:$C$301,MATCH(B1552,Vidriería!$A$2:$A$301,0))&amp;" "&amp;INDEX(Vidriería!$D$2:$D$301,MATCH(B1552,Vidriería!$A$2:$A$301,0)),"ID no existe"))</f>
        <v/>
      </c>
      <c r="D1552" s="8"/>
      <c r="E1552" s="8"/>
      <c r="F1552" s="8"/>
      <c r="G1552" s="13"/>
    </row>
    <row r="1553" spans="1:7" x14ac:dyDescent="0.3">
      <c r="A1553" s="11"/>
      <c r="B1553" s="8"/>
      <c r="C1553" s="7" t="str">
        <f>IF(B1553="","",IFERROR(INDEX(Vidriería!$C$2:$C$301,MATCH(B1553,Vidriería!$A$2:$A$301,0))&amp;" "&amp;INDEX(Vidriería!$D$2:$D$301,MATCH(B1553,Vidriería!$A$2:$A$301,0)),"ID no existe"))</f>
        <v/>
      </c>
      <c r="D1553" s="8"/>
      <c r="E1553" s="8"/>
      <c r="F1553" s="8"/>
      <c r="G1553" s="13"/>
    </row>
    <row r="1554" spans="1:7" x14ac:dyDescent="0.3">
      <c r="A1554" s="11"/>
      <c r="B1554" s="8"/>
      <c r="C1554" s="7" t="str">
        <f>IF(B1554="","",IFERROR(INDEX(Vidriería!$C$2:$C$301,MATCH(B1554,Vidriería!$A$2:$A$301,0))&amp;" "&amp;INDEX(Vidriería!$D$2:$D$301,MATCH(B1554,Vidriería!$A$2:$A$301,0)),"ID no existe"))</f>
        <v/>
      </c>
      <c r="D1554" s="8"/>
      <c r="E1554" s="8"/>
      <c r="F1554" s="8"/>
      <c r="G1554" s="13"/>
    </row>
    <row r="1555" spans="1:7" x14ac:dyDescent="0.3">
      <c r="A1555" s="11"/>
      <c r="B1555" s="8"/>
      <c r="C1555" s="7" t="str">
        <f>IF(B1555="","",IFERROR(INDEX(Vidriería!$C$2:$C$301,MATCH(B1555,Vidriería!$A$2:$A$301,0))&amp;" "&amp;INDEX(Vidriería!$D$2:$D$301,MATCH(B1555,Vidriería!$A$2:$A$301,0)),"ID no existe"))</f>
        <v/>
      </c>
      <c r="D1555" s="8"/>
      <c r="E1555" s="8"/>
      <c r="F1555" s="8"/>
      <c r="G1555" s="13"/>
    </row>
    <row r="1556" spans="1:7" x14ac:dyDescent="0.3">
      <c r="A1556" s="11"/>
      <c r="B1556" s="8"/>
      <c r="C1556" s="7" t="str">
        <f>IF(B1556="","",IFERROR(INDEX(Vidriería!$C$2:$C$301,MATCH(B1556,Vidriería!$A$2:$A$301,0))&amp;" "&amp;INDEX(Vidriería!$D$2:$D$301,MATCH(B1556,Vidriería!$A$2:$A$301,0)),"ID no existe"))</f>
        <v/>
      </c>
      <c r="D1556" s="8"/>
      <c r="E1556" s="8"/>
      <c r="F1556" s="8"/>
      <c r="G1556" s="13"/>
    </row>
    <row r="1557" spans="1:7" x14ac:dyDescent="0.3">
      <c r="A1557" s="11"/>
      <c r="B1557" s="8"/>
      <c r="C1557" s="7" t="str">
        <f>IF(B1557="","",IFERROR(INDEX(Vidriería!$C$2:$C$301,MATCH(B1557,Vidriería!$A$2:$A$301,0))&amp;" "&amp;INDEX(Vidriería!$D$2:$D$301,MATCH(B1557,Vidriería!$A$2:$A$301,0)),"ID no existe"))</f>
        <v/>
      </c>
      <c r="D1557" s="8"/>
      <c r="E1557" s="8"/>
      <c r="F1557" s="8"/>
      <c r="G1557" s="13"/>
    </row>
    <row r="1558" spans="1:7" x14ac:dyDescent="0.3">
      <c r="A1558" s="11"/>
      <c r="B1558" s="8"/>
      <c r="C1558" s="7" t="str">
        <f>IF(B1558="","",IFERROR(INDEX(Vidriería!$C$2:$C$301,MATCH(B1558,Vidriería!$A$2:$A$301,0))&amp;" "&amp;INDEX(Vidriería!$D$2:$D$301,MATCH(B1558,Vidriería!$A$2:$A$301,0)),"ID no existe"))</f>
        <v/>
      </c>
      <c r="D1558" s="8"/>
      <c r="E1558" s="8"/>
      <c r="F1558" s="8"/>
      <c r="G1558" s="13"/>
    </row>
    <row r="1559" spans="1:7" x14ac:dyDescent="0.3">
      <c r="A1559" s="11"/>
      <c r="B1559" s="8"/>
      <c r="C1559" s="7" t="str">
        <f>IF(B1559="","",IFERROR(INDEX(Vidriería!$C$2:$C$301,MATCH(B1559,Vidriería!$A$2:$A$301,0))&amp;" "&amp;INDEX(Vidriería!$D$2:$D$301,MATCH(B1559,Vidriería!$A$2:$A$301,0)),"ID no existe"))</f>
        <v/>
      </c>
      <c r="D1559" s="8"/>
      <c r="E1559" s="8"/>
      <c r="F1559" s="8"/>
      <c r="G1559" s="13"/>
    </row>
    <row r="1560" spans="1:7" x14ac:dyDescent="0.3">
      <c r="A1560" s="11"/>
      <c r="B1560" s="8"/>
      <c r="C1560" s="7" t="str">
        <f>IF(B1560="","",IFERROR(INDEX(Vidriería!$C$2:$C$301,MATCH(B1560,Vidriería!$A$2:$A$301,0))&amp;" "&amp;INDEX(Vidriería!$D$2:$D$301,MATCH(B1560,Vidriería!$A$2:$A$301,0)),"ID no existe"))</f>
        <v/>
      </c>
      <c r="D1560" s="8"/>
      <c r="E1560" s="8"/>
      <c r="F1560" s="8"/>
      <c r="G1560" s="13"/>
    </row>
    <row r="1561" spans="1:7" x14ac:dyDescent="0.3">
      <c r="A1561" s="11"/>
      <c r="B1561" s="8"/>
      <c r="C1561" s="7" t="str">
        <f>IF(B1561="","",IFERROR(INDEX(Vidriería!$C$2:$C$301,MATCH(B1561,Vidriería!$A$2:$A$301,0))&amp;" "&amp;INDEX(Vidriería!$D$2:$D$301,MATCH(B1561,Vidriería!$A$2:$A$301,0)),"ID no existe"))</f>
        <v/>
      </c>
      <c r="D1561" s="8"/>
      <c r="E1561" s="8"/>
      <c r="F1561" s="8"/>
      <c r="G1561" s="13"/>
    </row>
    <row r="1562" spans="1:7" x14ac:dyDescent="0.3">
      <c r="A1562" s="11"/>
      <c r="B1562" s="8"/>
      <c r="C1562" s="7" t="str">
        <f>IF(B1562="","",IFERROR(INDEX(Vidriería!$C$2:$C$301,MATCH(B1562,Vidriería!$A$2:$A$301,0))&amp;" "&amp;INDEX(Vidriería!$D$2:$D$301,MATCH(B1562,Vidriería!$A$2:$A$301,0)),"ID no existe"))</f>
        <v/>
      </c>
      <c r="D1562" s="8"/>
      <c r="E1562" s="8"/>
      <c r="F1562" s="8"/>
      <c r="G1562" s="13"/>
    </row>
    <row r="1563" spans="1:7" x14ac:dyDescent="0.3">
      <c r="A1563" s="11"/>
      <c r="B1563" s="8"/>
      <c r="C1563" s="7" t="str">
        <f>IF(B1563="","",IFERROR(INDEX(Vidriería!$C$2:$C$301,MATCH(B1563,Vidriería!$A$2:$A$301,0))&amp;" "&amp;INDEX(Vidriería!$D$2:$D$301,MATCH(B1563,Vidriería!$A$2:$A$301,0)),"ID no existe"))</f>
        <v/>
      </c>
      <c r="D1563" s="8"/>
      <c r="E1563" s="8"/>
      <c r="F1563" s="8"/>
      <c r="G1563" s="13"/>
    </row>
    <row r="1564" spans="1:7" x14ac:dyDescent="0.3">
      <c r="A1564" s="11"/>
      <c r="B1564" s="8"/>
      <c r="C1564" s="7" t="str">
        <f>IF(B1564="","",IFERROR(INDEX(Vidriería!$C$2:$C$301,MATCH(B1564,Vidriería!$A$2:$A$301,0))&amp;" "&amp;INDEX(Vidriería!$D$2:$D$301,MATCH(B1564,Vidriería!$A$2:$A$301,0)),"ID no existe"))</f>
        <v/>
      </c>
      <c r="D1564" s="8"/>
      <c r="E1564" s="8"/>
      <c r="F1564" s="8"/>
      <c r="G1564" s="13"/>
    </row>
    <row r="1565" spans="1:7" x14ac:dyDescent="0.3">
      <c r="A1565" s="11"/>
      <c r="B1565" s="8"/>
      <c r="C1565" s="7" t="str">
        <f>IF(B1565="","",IFERROR(INDEX(Vidriería!$C$2:$C$301,MATCH(B1565,Vidriería!$A$2:$A$301,0))&amp;" "&amp;INDEX(Vidriería!$D$2:$D$301,MATCH(B1565,Vidriería!$A$2:$A$301,0)),"ID no existe"))</f>
        <v/>
      </c>
      <c r="D1565" s="8"/>
      <c r="E1565" s="8"/>
      <c r="F1565" s="8"/>
      <c r="G1565" s="13"/>
    </row>
    <row r="1566" spans="1:7" x14ac:dyDescent="0.3">
      <c r="A1566" s="11"/>
      <c r="B1566" s="8"/>
      <c r="C1566" s="7" t="str">
        <f>IF(B1566="","",IFERROR(INDEX(Vidriería!$C$2:$C$301,MATCH(B1566,Vidriería!$A$2:$A$301,0))&amp;" "&amp;INDEX(Vidriería!$D$2:$D$301,MATCH(B1566,Vidriería!$A$2:$A$301,0)),"ID no existe"))</f>
        <v/>
      </c>
      <c r="D1566" s="8"/>
      <c r="E1566" s="8"/>
      <c r="F1566" s="8"/>
      <c r="G1566" s="13"/>
    </row>
    <row r="1567" spans="1:7" x14ac:dyDescent="0.3">
      <c r="A1567" s="11"/>
      <c r="B1567" s="8"/>
      <c r="C1567" s="7" t="str">
        <f>IF(B1567="","",IFERROR(INDEX(Vidriería!$C$2:$C$301,MATCH(B1567,Vidriería!$A$2:$A$301,0))&amp;" "&amp;INDEX(Vidriería!$D$2:$D$301,MATCH(B1567,Vidriería!$A$2:$A$301,0)),"ID no existe"))</f>
        <v/>
      </c>
      <c r="D1567" s="8"/>
      <c r="E1567" s="8"/>
      <c r="F1567" s="8"/>
      <c r="G1567" s="13"/>
    </row>
    <row r="1568" spans="1:7" x14ac:dyDescent="0.3">
      <c r="A1568" s="11"/>
      <c r="B1568" s="8"/>
      <c r="C1568" s="7" t="str">
        <f>IF(B1568="","",IFERROR(INDEX(Vidriería!$C$2:$C$301,MATCH(B1568,Vidriería!$A$2:$A$301,0))&amp;" "&amp;INDEX(Vidriería!$D$2:$D$301,MATCH(B1568,Vidriería!$A$2:$A$301,0)),"ID no existe"))</f>
        <v/>
      </c>
      <c r="D1568" s="8"/>
      <c r="E1568" s="8"/>
      <c r="F1568" s="8"/>
      <c r="G1568" s="13"/>
    </row>
    <row r="1569" spans="1:7" x14ac:dyDescent="0.3">
      <c r="A1569" s="11"/>
      <c r="B1569" s="8"/>
      <c r="C1569" s="7" t="str">
        <f>IF(B1569="","",IFERROR(INDEX(Vidriería!$C$2:$C$301,MATCH(B1569,Vidriería!$A$2:$A$301,0))&amp;" "&amp;INDEX(Vidriería!$D$2:$D$301,MATCH(B1569,Vidriería!$A$2:$A$301,0)),"ID no existe"))</f>
        <v/>
      </c>
      <c r="D1569" s="8"/>
      <c r="E1569" s="8"/>
      <c r="F1569" s="8"/>
      <c r="G1569" s="13"/>
    </row>
    <row r="1570" spans="1:7" x14ac:dyDescent="0.3">
      <c r="A1570" s="11"/>
      <c r="B1570" s="8"/>
      <c r="C1570" s="7" t="str">
        <f>IF(B1570="","",IFERROR(INDEX(Vidriería!$C$2:$C$301,MATCH(B1570,Vidriería!$A$2:$A$301,0))&amp;" "&amp;INDEX(Vidriería!$D$2:$D$301,MATCH(B1570,Vidriería!$A$2:$A$301,0)),"ID no existe"))</f>
        <v/>
      </c>
      <c r="D1570" s="8"/>
      <c r="E1570" s="8"/>
      <c r="F1570" s="8"/>
      <c r="G1570" s="13"/>
    </row>
    <row r="1571" spans="1:7" x14ac:dyDescent="0.3">
      <c r="A1571" s="11"/>
      <c r="B1571" s="8"/>
      <c r="C1571" s="7" t="str">
        <f>IF(B1571="","",IFERROR(INDEX(Vidriería!$C$2:$C$301,MATCH(B1571,Vidriería!$A$2:$A$301,0))&amp;" "&amp;INDEX(Vidriería!$D$2:$D$301,MATCH(B1571,Vidriería!$A$2:$A$301,0)),"ID no existe"))</f>
        <v/>
      </c>
      <c r="D1571" s="8"/>
      <c r="E1571" s="8"/>
      <c r="F1571" s="8"/>
      <c r="G1571" s="13"/>
    </row>
    <row r="1572" spans="1:7" x14ac:dyDescent="0.3">
      <c r="A1572" s="11"/>
      <c r="B1572" s="8"/>
      <c r="C1572" s="7" t="str">
        <f>IF(B1572="","",IFERROR(INDEX(Vidriería!$C$2:$C$301,MATCH(B1572,Vidriería!$A$2:$A$301,0))&amp;" "&amp;INDEX(Vidriería!$D$2:$D$301,MATCH(B1572,Vidriería!$A$2:$A$301,0)),"ID no existe"))</f>
        <v/>
      </c>
      <c r="D1572" s="8"/>
      <c r="E1572" s="8"/>
      <c r="F1572" s="8"/>
      <c r="G1572" s="13"/>
    </row>
    <row r="1573" spans="1:7" x14ac:dyDescent="0.3">
      <c r="A1573" s="11"/>
      <c r="B1573" s="8"/>
      <c r="C1573" s="7" t="str">
        <f>IF(B1573="","",IFERROR(INDEX(Vidriería!$C$2:$C$301,MATCH(B1573,Vidriería!$A$2:$A$301,0))&amp;" "&amp;INDEX(Vidriería!$D$2:$D$301,MATCH(B1573,Vidriería!$A$2:$A$301,0)),"ID no existe"))</f>
        <v/>
      </c>
      <c r="D1573" s="8"/>
      <c r="E1573" s="8"/>
      <c r="F1573" s="8"/>
      <c r="G1573" s="13"/>
    </row>
    <row r="1574" spans="1:7" x14ac:dyDescent="0.3">
      <c r="A1574" s="11"/>
      <c r="B1574" s="8"/>
      <c r="C1574" s="7" t="str">
        <f>IF(B1574="","",IFERROR(INDEX(Vidriería!$C$2:$C$301,MATCH(B1574,Vidriería!$A$2:$A$301,0))&amp;" "&amp;INDEX(Vidriería!$D$2:$D$301,MATCH(B1574,Vidriería!$A$2:$A$301,0)),"ID no existe"))</f>
        <v/>
      </c>
      <c r="D1574" s="8"/>
      <c r="E1574" s="8"/>
      <c r="F1574" s="8"/>
      <c r="G1574" s="13"/>
    </row>
    <row r="1575" spans="1:7" x14ac:dyDescent="0.3">
      <c r="A1575" s="11"/>
      <c r="B1575" s="8"/>
      <c r="C1575" s="7" t="str">
        <f>IF(B1575="","",IFERROR(INDEX(Vidriería!$C$2:$C$301,MATCH(B1575,Vidriería!$A$2:$A$301,0))&amp;" "&amp;INDEX(Vidriería!$D$2:$D$301,MATCH(B1575,Vidriería!$A$2:$A$301,0)),"ID no existe"))</f>
        <v/>
      </c>
      <c r="D1575" s="8"/>
      <c r="E1575" s="8"/>
      <c r="F1575" s="8"/>
      <c r="G1575" s="13"/>
    </row>
    <row r="1576" spans="1:7" x14ac:dyDescent="0.3">
      <c r="A1576" s="11"/>
      <c r="B1576" s="8"/>
      <c r="C1576" s="7" t="str">
        <f>IF(B1576="","",IFERROR(INDEX(Vidriería!$C$2:$C$301,MATCH(B1576,Vidriería!$A$2:$A$301,0))&amp;" "&amp;INDEX(Vidriería!$D$2:$D$301,MATCH(B1576,Vidriería!$A$2:$A$301,0)),"ID no existe"))</f>
        <v/>
      </c>
      <c r="D1576" s="8"/>
      <c r="E1576" s="8"/>
      <c r="F1576" s="8"/>
      <c r="G1576" s="13"/>
    </row>
    <row r="1577" spans="1:7" x14ac:dyDescent="0.3">
      <c r="A1577" s="11"/>
      <c r="B1577" s="8"/>
      <c r="C1577" s="7" t="str">
        <f>IF(B1577="","",IFERROR(INDEX(Vidriería!$C$2:$C$301,MATCH(B1577,Vidriería!$A$2:$A$301,0))&amp;" "&amp;INDEX(Vidriería!$D$2:$D$301,MATCH(B1577,Vidriería!$A$2:$A$301,0)),"ID no existe"))</f>
        <v/>
      </c>
      <c r="D1577" s="8"/>
      <c r="E1577" s="8"/>
      <c r="F1577" s="8"/>
      <c r="G1577" s="13"/>
    </row>
    <row r="1578" spans="1:7" x14ac:dyDescent="0.3">
      <c r="A1578" s="11"/>
      <c r="B1578" s="8"/>
      <c r="C1578" s="7" t="str">
        <f>IF(B1578="","",IFERROR(INDEX(Vidriería!$C$2:$C$301,MATCH(B1578,Vidriería!$A$2:$A$301,0))&amp;" "&amp;INDEX(Vidriería!$D$2:$D$301,MATCH(B1578,Vidriería!$A$2:$A$301,0)),"ID no existe"))</f>
        <v/>
      </c>
      <c r="D1578" s="8"/>
      <c r="E1578" s="8"/>
      <c r="F1578" s="8"/>
      <c r="G1578" s="13"/>
    </row>
    <row r="1579" spans="1:7" x14ac:dyDescent="0.3">
      <c r="A1579" s="11"/>
      <c r="B1579" s="8"/>
      <c r="C1579" s="7" t="str">
        <f>IF(B1579="","",IFERROR(INDEX(Vidriería!$C$2:$C$301,MATCH(B1579,Vidriería!$A$2:$A$301,0))&amp;" "&amp;INDEX(Vidriería!$D$2:$D$301,MATCH(B1579,Vidriería!$A$2:$A$301,0)),"ID no existe"))</f>
        <v/>
      </c>
      <c r="D1579" s="8"/>
      <c r="E1579" s="8"/>
      <c r="F1579" s="8"/>
      <c r="G1579" s="13"/>
    </row>
    <row r="1580" spans="1:7" x14ac:dyDescent="0.3">
      <c r="A1580" s="11"/>
      <c r="B1580" s="8"/>
      <c r="C1580" s="7" t="str">
        <f>IF(B1580="","",IFERROR(INDEX(Vidriería!$C$2:$C$301,MATCH(B1580,Vidriería!$A$2:$A$301,0))&amp;" "&amp;INDEX(Vidriería!$D$2:$D$301,MATCH(B1580,Vidriería!$A$2:$A$301,0)),"ID no existe"))</f>
        <v/>
      </c>
      <c r="D1580" s="8"/>
      <c r="E1580" s="8"/>
      <c r="F1580" s="8"/>
      <c r="G1580" s="13"/>
    </row>
    <row r="1581" spans="1:7" x14ac:dyDescent="0.3">
      <c r="A1581" s="11"/>
      <c r="B1581" s="8"/>
      <c r="C1581" s="7" t="str">
        <f>IF(B1581="","",IFERROR(INDEX(Vidriería!$C$2:$C$301,MATCH(B1581,Vidriería!$A$2:$A$301,0))&amp;" "&amp;INDEX(Vidriería!$D$2:$D$301,MATCH(B1581,Vidriería!$A$2:$A$301,0)),"ID no existe"))</f>
        <v/>
      </c>
      <c r="D1581" s="8"/>
      <c r="E1581" s="8"/>
      <c r="F1581" s="8"/>
      <c r="G1581" s="13"/>
    </row>
    <row r="1582" spans="1:7" x14ac:dyDescent="0.3">
      <c r="A1582" s="11"/>
      <c r="B1582" s="8"/>
      <c r="C1582" s="7" t="str">
        <f>IF(B1582="","",IFERROR(INDEX(Vidriería!$C$2:$C$301,MATCH(B1582,Vidriería!$A$2:$A$301,0))&amp;" "&amp;INDEX(Vidriería!$D$2:$D$301,MATCH(B1582,Vidriería!$A$2:$A$301,0)),"ID no existe"))</f>
        <v/>
      </c>
      <c r="D1582" s="8"/>
      <c r="E1582" s="8"/>
      <c r="F1582" s="8"/>
      <c r="G1582" s="13"/>
    </row>
    <row r="1583" spans="1:7" x14ac:dyDescent="0.3">
      <c r="A1583" s="11"/>
      <c r="B1583" s="8"/>
      <c r="C1583" s="7" t="str">
        <f>IF(B1583="","",IFERROR(INDEX(Vidriería!$C$2:$C$301,MATCH(B1583,Vidriería!$A$2:$A$301,0))&amp;" "&amp;INDEX(Vidriería!$D$2:$D$301,MATCH(B1583,Vidriería!$A$2:$A$301,0)),"ID no existe"))</f>
        <v/>
      </c>
      <c r="D1583" s="8"/>
      <c r="E1583" s="8"/>
      <c r="F1583" s="8"/>
      <c r="G1583" s="13"/>
    </row>
    <row r="1584" spans="1:7" x14ac:dyDescent="0.3">
      <c r="A1584" s="11"/>
      <c r="B1584" s="8"/>
      <c r="C1584" s="7" t="str">
        <f>IF(B1584="","",IFERROR(INDEX(Vidriería!$C$2:$C$301,MATCH(B1584,Vidriería!$A$2:$A$301,0))&amp;" "&amp;INDEX(Vidriería!$D$2:$D$301,MATCH(B1584,Vidriería!$A$2:$A$301,0)),"ID no existe"))</f>
        <v/>
      </c>
      <c r="D1584" s="8"/>
      <c r="E1584" s="8"/>
      <c r="F1584" s="8"/>
      <c r="G1584" s="13"/>
    </row>
    <row r="1585" spans="1:7" x14ac:dyDescent="0.3">
      <c r="A1585" s="11"/>
      <c r="B1585" s="8"/>
      <c r="C1585" s="7" t="str">
        <f>IF(B1585="","",IFERROR(INDEX(Vidriería!$C$2:$C$301,MATCH(B1585,Vidriería!$A$2:$A$301,0))&amp;" "&amp;INDEX(Vidriería!$D$2:$D$301,MATCH(B1585,Vidriería!$A$2:$A$301,0)),"ID no existe"))</f>
        <v/>
      </c>
      <c r="D1585" s="8"/>
      <c r="E1585" s="8"/>
      <c r="F1585" s="8"/>
      <c r="G1585" s="13"/>
    </row>
    <row r="1586" spans="1:7" x14ac:dyDescent="0.3">
      <c r="A1586" s="11"/>
      <c r="B1586" s="8"/>
      <c r="C1586" s="7" t="str">
        <f>IF(B1586="","",IFERROR(INDEX(Vidriería!$C$2:$C$301,MATCH(B1586,Vidriería!$A$2:$A$301,0))&amp;" "&amp;INDEX(Vidriería!$D$2:$D$301,MATCH(B1586,Vidriería!$A$2:$A$301,0)),"ID no existe"))</f>
        <v/>
      </c>
      <c r="D1586" s="8"/>
      <c r="E1586" s="8"/>
      <c r="F1586" s="8"/>
      <c r="G1586" s="13"/>
    </row>
    <row r="1587" spans="1:7" x14ac:dyDescent="0.3">
      <c r="A1587" s="11"/>
      <c r="B1587" s="8"/>
      <c r="C1587" s="7" t="str">
        <f>IF(B1587="","",IFERROR(INDEX(Vidriería!$C$2:$C$301,MATCH(B1587,Vidriería!$A$2:$A$301,0))&amp;" "&amp;INDEX(Vidriería!$D$2:$D$301,MATCH(B1587,Vidriería!$A$2:$A$301,0)),"ID no existe"))</f>
        <v/>
      </c>
      <c r="D1587" s="8"/>
      <c r="E1587" s="8"/>
      <c r="F1587" s="8"/>
      <c r="G1587" s="13"/>
    </row>
    <row r="1588" spans="1:7" x14ac:dyDescent="0.3">
      <c r="A1588" s="11"/>
      <c r="B1588" s="8"/>
      <c r="C1588" s="7" t="str">
        <f>IF(B1588="","",IFERROR(INDEX(Vidriería!$C$2:$C$301,MATCH(B1588,Vidriería!$A$2:$A$301,0))&amp;" "&amp;INDEX(Vidriería!$D$2:$D$301,MATCH(B1588,Vidriería!$A$2:$A$301,0)),"ID no existe"))</f>
        <v/>
      </c>
      <c r="D1588" s="8"/>
      <c r="E1588" s="8"/>
      <c r="F1588" s="8"/>
      <c r="G1588" s="13"/>
    </row>
    <row r="1589" spans="1:7" x14ac:dyDescent="0.3">
      <c r="A1589" s="11"/>
      <c r="B1589" s="8"/>
      <c r="C1589" s="7" t="str">
        <f>IF(B1589="","",IFERROR(INDEX(Vidriería!$C$2:$C$301,MATCH(B1589,Vidriería!$A$2:$A$301,0))&amp;" "&amp;INDEX(Vidriería!$D$2:$D$301,MATCH(B1589,Vidriería!$A$2:$A$301,0)),"ID no existe"))</f>
        <v/>
      </c>
      <c r="D1589" s="8"/>
      <c r="E1589" s="8"/>
      <c r="F1589" s="8"/>
      <c r="G1589" s="13"/>
    </row>
    <row r="1590" spans="1:7" x14ac:dyDescent="0.3">
      <c r="A1590" s="11"/>
      <c r="B1590" s="8"/>
      <c r="C1590" s="7" t="str">
        <f>IF(B1590="","",IFERROR(INDEX(Vidriería!$C$2:$C$301,MATCH(B1590,Vidriería!$A$2:$A$301,0))&amp;" "&amp;INDEX(Vidriería!$D$2:$D$301,MATCH(B1590,Vidriería!$A$2:$A$301,0)),"ID no existe"))</f>
        <v/>
      </c>
      <c r="D1590" s="8"/>
      <c r="E1590" s="8"/>
      <c r="F1590" s="8"/>
      <c r="G1590" s="13"/>
    </row>
    <row r="1591" spans="1:7" x14ac:dyDescent="0.3">
      <c r="A1591" s="11"/>
      <c r="B1591" s="8"/>
      <c r="C1591" s="7" t="str">
        <f>IF(B1591="","",IFERROR(INDEX(Vidriería!$C$2:$C$301,MATCH(B1591,Vidriería!$A$2:$A$301,0))&amp;" "&amp;INDEX(Vidriería!$D$2:$D$301,MATCH(B1591,Vidriería!$A$2:$A$301,0)),"ID no existe"))</f>
        <v/>
      </c>
      <c r="D1591" s="8"/>
      <c r="E1591" s="8"/>
      <c r="F1591" s="8"/>
      <c r="G1591" s="13"/>
    </row>
    <row r="1592" spans="1:7" x14ac:dyDescent="0.3">
      <c r="A1592" s="11"/>
      <c r="B1592" s="8"/>
      <c r="C1592" s="7" t="str">
        <f>IF(B1592="","",IFERROR(INDEX(Vidriería!$C$2:$C$301,MATCH(B1592,Vidriería!$A$2:$A$301,0))&amp;" "&amp;INDEX(Vidriería!$D$2:$D$301,MATCH(B1592,Vidriería!$A$2:$A$301,0)),"ID no existe"))</f>
        <v/>
      </c>
      <c r="D1592" s="8"/>
      <c r="E1592" s="8"/>
      <c r="F1592" s="8"/>
      <c r="G1592" s="13"/>
    </row>
    <row r="1593" spans="1:7" x14ac:dyDescent="0.3">
      <c r="A1593" s="11"/>
      <c r="B1593" s="8"/>
      <c r="C1593" s="7" t="str">
        <f>IF(B1593="","",IFERROR(INDEX(Vidriería!$C$2:$C$301,MATCH(B1593,Vidriería!$A$2:$A$301,0))&amp;" "&amp;INDEX(Vidriería!$D$2:$D$301,MATCH(B1593,Vidriería!$A$2:$A$301,0)),"ID no existe"))</f>
        <v/>
      </c>
      <c r="D1593" s="8"/>
      <c r="E1593" s="8"/>
      <c r="F1593" s="8"/>
      <c r="G1593" s="13"/>
    </row>
    <row r="1594" spans="1:7" x14ac:dyDescent="0.3">
      <c r="A1594" s="11"/>
      <c r="B1594" s="8"/>
      <c r="C1594" s="7" t="str">
        <f>IF(B1594="","",IFERROR(INDEX(Vidriería!$C$2:$C$301,MATCH(B1594,Vidriería!$A$2:$A$301,0))&amp;" "&amp;INDEX(Vidriería!$D$2:$D$301,MATCH(B1594,Vidriería!$A$2:$A$301,0)),"ID no existe"))</f>
        <v/>
      </c>
      <c r="D1594" s="8"/>
      <c r="E1594" s="8"/>
      <c r="F1594" s="8"/>
      <c r="G1594" s="13"/>
    </row>
    <row r="1595" spans="1:7" x14ac:dyDescent="0.3">
      <c r="A1595" s="11"/>
      <c r="B1595" s="8"/>
      <c r="C1595" s="7" t="str">
        <f>IF(B1595="","",IFERROR(INDEX(Vidriería!$C$2:$C$301,MATCH(B1595,Vidriería!$A$2:$A$301,0))&amp;" "&amp;INDEX(Vidriería!$D$2:$D$301,MATCH(B1595,Vidriería!$A$2:$A$301,0)),"ID no existe"))</f>
        <v/>
      </c>
      <c r="D1595" s="8"/>
      <c r="E1595" s="8"/>
      <c r="F1595" s="8"/>
      <c r="G1595" s="13"/>
    </row>
    <row r="1596" spans="1:7" x14ac:dyDescent="0.3">
      <c r="A1596" s="11"/>
      <c r="B1596" s="8"/>
      <c r="C1596" s="7" t="str">
        <f>IF(B1596="","",IFERROR(INDEX(Vidriería!$C$2:$C$301,MATCH(B1596,Vidriería!$A$2:$A$301,0))&amp;" "&amp;INDEX(Vidriería!$D$2:$D$301,MATCH(B1596,Vidriería!$A$2:$A$301,0)),"ID no existe"))</f>
        <v/>
      </c>
      <c r="D1596" s="8"/>
      <c r="E1596" s="8"/>
      <c r="F1596" s="8"/>
      <c r="G1596" s="13"/>
    </row>
    <row r="1597" spans="1:7" x14ac:dyDescent="0.3">
      <c r="A1597" s="11"/>
      <c r="B1597" s="8"/>
      <c r="C1597" s="7" t="str">
        <f>IF(B1597="","",IFERROR(INDEX(Vidriería!$C$2:$C$301,MATCH(B1597,Vidriería!$A$2:$A$301,0))&amp;" "&amp;INDEX(Vidriería!$D$2:$D$301,MATCH(B1597,Vidriería!$A$2:$A$301,0)),"ID no existe"))</f>
        <v/>
      </c>
      <c r="D1597" s="8"/>
      <c r="E1597" s="8"/>
      <c r="F1597" s="8"/>
      <c r="G1597" s="13"/>
    </row>
    <row r="1598" spans="1:7" x14ac:dyDescent="0.3">
      <c r="A1598" s="11"/>
      <c r="B1598" s="8"/>
      <c r="C1598" s="7" t="str">
        <f>IF(B1598="","",IFERROR(INDEX(Vidriería!$C$2:$C$301,MATCH(B1598,Vidriería!$A$2:$A$301,0))&amp;" "&amp;INDEX(Vidriería!$D$2:$D$301,MATCH(B1598,Vidriería!$A$2:$A$301,0)),"ID no existe"))</f>
        <v/>
      </c>
      <c r="D1598" s="8"/>
      <c r="E1598" s="8"/>
      <c r="F1598" s="8"/>
      <c r="G1598" s="13"/>
    </row>
    <row r="1599" spans="1:7" x14ac:dyDescent="0.3">
      <c r="A1599" s="11"/>
      <c r="B1599" s="8"/>
      <c r="C1599" s="7" t="str">
        <f>IF(B1599="","",IFERROR(INDEX(Vidriería!$C$2:$C$301,MATCH(B1599,Vidriería!$A$2:$A$301,0))&amp;" "&amp;INDEX(Vidriería!$D$2:$D$301,MATCH(B1599,Vidriería!$A$2:$A$301,0)),"ID no existe"))</f>
        <v/>
      </c>
      <c r="D1599" s="8"/>
      <c r="E1599" s="8"/>
      <c r="F1599" s="8"/>
      <c r="G1599" s="13"/>
    </row>
    <row r="1600" spans="1:7" x14ac:dyDescent="0.3">
      <c r="A1600" s="11"/>
      <c r="B1600" s="8"/>
      <c r="C1600" s="7" t="str">
        <f>IF(B1600="","",IFERROR(INDEX(Vidriería!$C$2:$C$301,MATCH(B1600,Vidriería!$A$2:$A$301,0))&amp;" "&amp;INDEX(Vidriería!$D$2:$D$301,MATCH(B1600,Vidriería!$A$2:$A$301,0)),"ID no existe"))</f>
        <v/>
      </c>
      <c r="D1600" s="8"/>
      <c r="E1600" s="8"/>
      <c r="F1600" s="8"/>
      <c r="G1600" s="13"/>
    </row>
    <row r="1601" spans="1:7" x14ac:dyDescent="0.3">
      <c r="A1601" s="11"/>
      <c r="B1601" s="8"/>
      <c r="C1601" s="7" t="str">
        <f>IF(B1601="","",IFERROR(INDEX(Vidriería!$C$2:$C$301,MATCH(B1601,Vidriería!$A$2:$A$301,0))&amp;" "&amp;INDEX(Vidriería!$D$2:$D$301,MATCH(B1601,Vidriería!$A$2:$A$301,0)),"ID no existe"))</f>
        <v/>
      </c>
      <c r="D1601" s="8"/>
      <c r="E1601" s="8"/>
      <c r="F1601" s="8"/>
      <c r="G1601" s="13"/>
    </row>
    <row r="1602" spans="1:7" x14ac:dyDescent="0.3">
      <c r="A1602" s="11"/>
      <c r="B1602" s="8"/>
      <c r="C1602" s="7" t="str">
        <f>IF(B1602="","",IFERROR(INDEX(Vidriería!$C$2:$C$301,MATCH(B1602,Vidriería!$A$2:$A$301,0))&amp;" "&amp;INDEX(Vidriería!$D$2:$D$301,MATCH(B1602,Vidriería!$A$2:$A$301,0)),"ID no existe"))</f>
        <v/>
      </c>
      <c r="D1602" s="8"/>
      <c r="E1602" s="8"/>
      <c r="F1602" s="8"/>
      <c r="G1602" s="13"/>
    </row>
    <row r="1603" spans="1:7" x14ac:dyDescent="0.3">
      <c r="A1603" s="11"/>
      <c r="B1603" s="8"/>
      <c r="C1603" s="7" t="str">
        <f>IF(B1603="","",IFERROR(INDEX(Vidriería!$C$2:$C$301,MATCH(B1603,Vidriería!$A$2:$A$301,0))&amp;" "&amp;INDEX(Vidriería!$D$2:$D$301,MATCH(B1603,Vidriería!$A$2:$A$301,0)),"ID no existe"))</f>
        <v/>
      </c>
      <c r="D1603" s="8"/>
      <c r="E1603" s="8"/>
      <c r="F1603" s="8"/>
      <c r="G1603" s="13"/>
    </row>
    <row r="1604" spans="1:7" x14ac:dyDescent="0.3">
      <c r="A1604" s="11"/>
      <c r="B1604" s="8"/>
      <c r="C1604" s="7" t="str">
        <f>IF(B1604="","",IFERROR(INDEX(Vidriería!$C$2:$C$301,MATCH(B1604,Vidriería!$A$2:$A$301,0))&amp;" "&amp;INDEX(Vidriería!$D$2:$D$301,MATCH(B1604,Vidriería!$A$2:$A$301,0)),"ID no existe"))</f>
        <v/>
      </c>
      <c r="D1604" s="8"/>
      <c r="E1604" s="8"/>
      <c r="F1604" s="8"/>
      <c r="G1604" s="13"/>
    </row>
    <row r="1605" spans="1:7" x14ac:dyDescent="0.3">
      <c r="A1605" s="11"/>
      <c r="B1605" s="8"/>
      <c r="C1605" s="7" t="str">
        <f>IF(B1605="","",IFERROR(INDEX(Vidriería!$C$2:$C$301,MATCH(B1605,Vidriería!$A$2:$A$301,0))&amp;" "&amp;INDEX(Vidriería!$D$2:$D$301,MATCH(B1605,Vidriería!$A$2:$A$301,0)),"ID no existe"))</f>
        <v/>
      </c>
      <c r="D1605" s="8"/>
      <c r="E1605" s="8"/>
      <c r="F1605" s="8"/>
      <c r="G1605" s="13"/>
    </row>
    <row r="1606" spans="1:7" x14ac:dyDescent="0.3">
      <c r="A1606" s="11"/>
      <c r="B1606" s="8"/>
      <c r="C1606" s="7" t="str">
        <f>IF(B1606="","",IFERROR(INDEX(Vidriería!$C$2:$C$301,MATCH(B1606,Vidriería!$A$2:$A$301,0))&amp;" "&amp;INDEX(Vidriería!$D$2:$D$301,MATCH(B1606,Vidriería!$A$2:$A$301,0)),"ID no existe"))</f>
        <v/>
      </c>
      <c r="D1606" s="8"/>
      <c r="E1606" s="8"/>
      <c r="F1606" s="8"/>
      <c r="G1606" s="13"/>
    </row>
    <row r="1607" spans="1:7" x14ac:dyDescent="0.3">
      <c r="A1607" s="11"/>
      <c r="B1607" s="8"/>
      <c r="C1607" s="7" t="str">
        <f>IF(B1607="","",IFERROR(INDEX(Vidriería!$C$2:$C$301,MATCH(B1607,Vidriería!$A$2:$A$301,0))&amp;" "&amp;INDEX(Vidriería!$D$2:$D$301,MATCH(B1607,Vidriería!$A$2:$A$301,0)),"ID no existe"))</f>
        <v/>
      </c>
      <c r="D1607" s="8"/>
      <c r="E1607" s="8"/>
      <c r="F1607" s="8"/>
      <c r="G1607" s="13"/>
    </row>
    <row r="1608" spans="1:7" x14ac:dyDescent="0.3">
      <c r="A1608" s="11"/>
      <c r="B1608" s="8"/>
      <c r="C1608" s="7" t="str">
        <f>IF(B1608="","",IFERROR(INDEX(Vidriería!$C$2:$C$301,MATCH(B1608,Vidriería!$A$2:$A$301,0))&amp;" "&amp;INDEX(Vidriería!$D$2:$D$301,MATCH(B1608,Vidriería!$A$2:$A$301,0)),"ID no existe"))</f>
        <v/>
      </c>
      <c r="D1608" s="8"/>
      <c r="E1608" s="8"/>
      <c r="F1608" s="8"/>
      <c r="G1608" s="13"/>
    </row>
    <row r="1609" spans="1:7" x14ac:dyDescent="0.3">
      <c r="A1609" s="11"/>
      <c r="B1609" s="8"/>
      <c r="C1609" s="7" t="str">
        <f>IF(B1609="","",IFERROR(INDEX(Vidriería!$C$2:$C$301,MATCH(B1609,Vidriería!$A$2:$A$301,0))&amp;" "&amp;INDEX(Vidriería!$D$2:$D$301,MATCH(B1609,Vidriería!$A$2:$A$301,0)),"ID no existe"))</f>
        <v/>
      </c>
      <c r="D1609" s="8"/>
      <c r="E1609" s="8"/>
      <c r="F1609" s="8"/>
      <c r="G1609" s="13"/>
    </row>
    <row r="1610" spans="1:7" x14ac:dyDescent="0.3">
      <c r="A1610" s="11"/>
      <c r="B1610" s="8"/>
      <c r="C1610" s="7" t="str">
        <f>IF(B1610="","",IFERROR(INDEX(Vidriería!$C$2:$C$301,MATCH(B1610,Vidriería!$A$2:$A$301,0))&amp;" "&amp;INDEX(Vidriería!$D$2:$D$301,MATCH(B1610,Vidriería!$A$2:$A$301,0)),"ID no existe"))</f>
        <v/>
      </c>
      <c r="D1610" s="8"/>
      <c r="E1610" s="8"/>
      <c r="F1610" s="8"/>
      <c r="G1610" s="13"/>
    </row>
    <row r="1611" spans="1:7" x14ac:dyDescent="0.3">
      <c r="A1611" s="11"/>
      <c r="B1611" s="8"/>
      <c r="C1611" s="7" t="str">
        <f>IF(B1611="","",IFERROR(INDEX(Vidriería!$C$2:$C$301,MATCH(B1611,Vidriería!$A$2:$A$301,0))&amp;" "&amp;INDEX(Vidriería!$D$2:$D$301,MATCH(B1611,Vidriería!$A$2:$A$301,0)),"ID no existe"))</f>
        <v/>
      </c>
      <c r="D1611" s="8"/>
      <c r="E1611" s="8"/>
      <c r="F1611" s="8"/>
      <c r="G1611" s="13"/>
    </row>
    <row r="1612" spans="1:7" x14ac:dyDescent="0.3">
      <c r="A1612" s="11"/>
      <c r="B1612" s="8"/>
      <c r="C1612" s="7" t="str">
        <f>IF(B1612="","",IFERROR(INDEX(Vidriería!$C$2:$C$301,MATCH(B1612,Vidriería!$A$2:$A$301,0))&amp;" "&amp;INDEX(Vidriería!$D$2:$D$301,MATCH(B1612,Vidriería!$A$2:$A$301,0)),"ID no existe"))</f>
        <v/>
      </c>
      <c r="D1612" s="8"/>
      <c r="E1612" s="8"/>
      <c r="F1612" s="8"/>
      <c r="G1612" s="13"/>
    </row>
    <row r="1613" spans="1:7" x14ac:dyDescent="0.3">
      <c r="A1613" s="11"/>
      <c r="B1613" s="8"/>
      <c r="C1613" s="7" t="str">
        <f>IF(B1613="","",IFERROR(INDEX(Vidriería!$C$2:$C$301,MATCH(B1613,Vidriería!$A$2:$A$301,0))&amp;" "&amp;INDEX(Vidriería!$D$2:$D$301,MATCH(B1613,Vidriería!$A$2:$A$301,0)),"ID no existe"))</f>
        <v/>
      </c>
      <c r="D1613" s="8"/>
      <c r="E1613" s="8"/>
      <c r="F1613" s="8"/>
      <c r="G1613" s="13"/>
    </row>
    <row r="1614" spans="1:7" x14ac:dyDescent="0.3">
      <c r="A1614" s="11"/>
      <c r="B1614" s="8"/>
      <c r="C1614" s="7" t="str">
        <f>IF(B1614="","",IFERROR(INDEX(Vidriería!$C$2:$C$301,MATCH(B1614,Vidriería!$A$2:$A$301,0))&amp;" "&amp;INDEX(Vidriería!$D$2:$D$301,MATCH(B1614,Vidriería!$A$2:$A$301,0)),"ID no existe"))</f>
        <v/>
      </c>
      <c r="D1614" s="8"/>
      <c r="E1614" s="8"/>
      <c r="F1614" s="8"/>
      <c r="G1614" s="13"/>
    </row>
    <row r="1615" spans="1:7" x14ac:dyDescent="0.3">
      <c r="A1615" s="11"/>
      <c r="B1615" s="8"/>
      <c r="C1615" s="7" t="str">
        <f>IF(B1615="","",IFERROR(INDEX(Vidriería!$C$2:$C$301,MATCH(B1615,Vidriería!$A$2:$A$301,0))&amp;" "&amp;INDEX(Vidriería!$D$2:$D$301,MATCH(B1615,Vidriería!$A$2:$A$301,0)),"ID no existe"))</f>
        <v/>
      </c>
      <c r="D1615" s="8"/>
      <c r="E1615" s="8"/>
      <c r="F1615" s="8"/>
      <c r="G1615" s="13"/>
    </row>
    <row r="1616" spans="1:7" x14ac:dyDescent="0.3">
      <c r="A1616" s="11"/>
      <c r="B1616" s="8"/>
      <c r="C1616" s="7" t="str">
        <f>IF(B1616="","",IFERROR(INDEX(Vidriería!$C$2:$C$301,MATCH(B1616,Vidriería!$A$2:$A$301,0))&amp;" "&amp;INDEX(Vidriería!$D$2:$D$301,MATCH(B1616,Vidriería!$A$2:$A$301,0)),"ID no existe"))</f>
        <v/>
      </c>
      <c r="D1616" s="8"/>
      <c r="E1616" s="8"/>
      <c r="F1616" s="8"/>
      <c r="G1616" s="13"/>
    </row>
    <row r="1617" spans="1:7" x14ac:dyDescent="0.3">
      <c r="A1617" s="11"/>
      <c r="B1617" s="8"/>
      <c r="C1617" s="7" t="str">
        <f>IF(B1617="","",IFERROR(INDEX(Vidriería!$C$2:$C$301,MATCH(B1617,Vidriería!$A$2:$A$301,0))&amp;" "&amp;INDEX(Vidriería!$D$2:$D$301,MATCH(B1617,Vidriería!$A$2:$A$301,0)),"ID no existe"))</f>
        <v/>
      </c>
      <c r="D1617" s="8"/>
      <c r="E1617" s="8"/>
      <c r="F1617" s="8"/>
      <c r="G1617" s="13"/>
    </row>
    <row r="1618" spans="1:7" x14ac:dyDescent="0.3">
      <c r="A1618" s="11"/>
      <c r="B1618" s="8"/>
      <c r="C1618" s="7" t="str">
        <f>IF(B1618="","",IFERROR(INDEX(Vidriería!$C$2:$C$301,MATCH(B1618,Vidriería!$A$2:$A$301,0))&amp;" "&amp;INDEX(Vidriería!$D$2:$D$301,MATCH(B1618,Vidriería!$A$2:$A$301,0)),"ID no existe"))</f>
        <v/>
      </c>
      <c r="D1618" s="8"/>
      <c r="E1618" s="8"/>
      <c r="F1618" s="8"/>
      <c r="G1618" s="13"/>
    </row>
    <row r="1619" spans="1:7" x14ac:dyDescent="0.3">
      <c r="A1619" s="11"/>
      <c r="B1619" s="8"/>
      <c r="C1619" s="7" t="str">
        <f>IF(B1619="","",IFERROR(INDEX(Vidriería!$C$2:$C$301,MATCH(B1619,Vidriería!$A$2:$A$301,0))&amp;" "&amp;INDEX(Vidriería!$D$2:$D$301,MATCH(B1619,Vidriería!$A$2:$A$301,0)),"ID no existe"))</f>
        <v/>
      </c>
      <c r="D1619" s="8"/>
      <c r="E1619" s="8"/>
      <c r="F1619" s="8"/>
      <c r="G1619" s="13"/>
    </row>
    <row r="1620" spans="1:7" x14ac:dyDescent="0.3">
      <c r="A1620" s="11"/>
      <c r="B1620" s="8"/>
      <c r="C1620" s="7" t="str">
        <f>IF(B1620="","",IFERROR(INDEX(Vidriería!$C$2:$C$301,MATCH(B1620,Vidriería!$A$2:$A$301,0))&amp;" "&amp;INDEX(Vidriería!$D$2:$D$301,MATCH(B1620,Vidriería!$A$2:$A$301,0)),"ID no existe"))</f>
        <v/>
      </c>
      <c r="D1620" s="8"/>
      <c r="E1620" s="8"/>
      <c r="F1620" s="8"/>
      <c r="G1620" s="13"/>
    </row>
    <row r="1621" spans="1:7" x14ac:dyDescent="0.3">
      <c r="A1621" s="11"/>
      <c r="B1621" s="8"/>
      <c r="C1621" s="7" t="str">
        <f>IF(B1621="","",IFERROR(INDEX(Vidriería!$C$2:$C$301,MATCH(B1621,Vidriería!$A$2:$A$301,0))&amp;" "&amp;INDEX(Vidriería!$D$2:$D$301,MATCH(B1621,Vidriería!$A$2:$A$301,0)),"ID no existe"))</f>
        <v/>
      </c>
      <c r="D1621" s="8"/>
      <c r="E1621" s="8"/>
      <c r="F1621" s="8"/>
      <c r="G1621" s="13"/>
    </row>
    <row r="1622" spans="1:7" x14ac:dyDescent="0.3">
      <c r="A1622" s="11"/>
      <c r="B1622" s="8"/>
      <c r="C1622" s="7" t="str">
        <f>IF(B1622="","",IFERROR(INDEX(Vidriería!$C$2:$C$301,MATCH(B1622,Vidriería!$A$2:$A$301,0))&amp;" "&amp;INDEX(Vidriería!$D$2:$D$301,MATCH(B1622,Vidriería!$A$2:$A$301,0)),"ID no existe"))</f>
        <v/>
      </c>
      <c r="D1622" s="8"/>
      <c r="E1622" s="8"/>
      <c r="F1622" s="8"/>
      <c r="G1622" s="13"/>
    </row>
    <row r="1623" spans="1:7" x14ac:dyDescent="0.3">
      <c r="A1623" s="11"/>
      <c r="B1623" s="8"/>
      <c r="C1623" s="7" t="str">
        <f>IF(B1623="","",IFERROR(INDEX(Vidriería!$C$2:$C$301,MATCH(B1623,Vidriería!$A$2:$A$301,0))&amp;" "&amp;INDEX(Vidriería!$D$2:$D$301,MATCH(B1623,Vidriería!$A$2:$A$301,0)),"ID no existe"))</f>
        <v/>
      </c>
      <c r="D1623" s="8"/>
      <c r="E1623" s="8"/>
      <c r="F1623" s="8"/>
      <c r="G1623" s="13"/>
    </row>
    <row r="1624" spans="1:7" x14ac:dyDescent="0.3">
      <c r="A1624" s="11"/>
      <c r="B1624" s="8"/>
      <c r="C1624" s="7" t="str">
        <f>IF(B1624="","",IFERROR(INDEX(Vidriería!$C$2:$C$301,MATCH(B1624,Vidriería!$A$2:$A$301,0))&amp;" "&amp;INDEX(Vidriería!$D$2:$D$301,MATCH(B1624,Vidriería!$A$2:$A$301,0)),"ID no existe"))</f>
        <v/>
      </c>
      <c r="D1624" s="8"/>
      <c r="E1624" s="8"/>
      <c r="F1624" s="8"/>
      <c r="G1624" s="13"/>
    </row>
    <row r="1625" spans="1:7" x14ac:dyDescent="0.3">
      <c r="A1625" s="11"/>
      <c r="B1625" s="8"/>
      <c r="C1625" s="7" t="str">
        <f>IF(B1625="","",IFERROR(INDEX(Vidriería!$C$2:$C$301,MATCH(B1625,Vidriería!$A$2:$A$301,0))&amp;" "&amp;INDEX(Vidriería!$D$2:$D$301,MATCH(B1625,Vidriería!$A$2:$A$301,0)),"ID no existe"))</f>
        <v/>
      </c>
      <c r="D1625" s="8"/>
      <c r="E1625" s="8"/>
      <c r="F1625" s="8"/>
      <c r="G1625" s="13"/>
    </row>
    <row r="1626" spans="1:7" x14ac:dyDescent="0.3">
      <c r="A1626" s="11"/>
      <c r="B1626" s="8"/>
      <c r="C1626" s="7" t="str">
        <f>IF(B1626="","",IFERROR(INDEX(Vidriería!$C$2:$C$301,MATCH(B1626,Vidriería!$A$2:$A$301,0))&amp;" "&amp;INDEX(Vidriería!$D$2:$D$301,MATCH(B1626,Vidriería!$A$2:$A$301,0)),"ID no existe"))</f>
        <v/>
      </c>
      <c r="D1626" s="8"/>
      <c r="E1626" s="8"/>
      <c r="F1626" s="8"/>
      <c r="G1626" s="13"/>
    </row>
    <row r="1627" spans="1:7" x14ac:dyDescent="0.3">
      <c r="A1627" s="11"/>
      <c r="B1627" s="8"/>
      <c r="C1627" s="7" t="str">
        <f>IF(B1627="","",IFERROR(INDEX(Vidriería!$C$2:$C$301,MATCH(B1627,Vidriería!$A$2:$A$301,0))&amp;" "&amp;INDEX(Vidriería!$D$2:$D$301,MATCH(B1627,Vidriería!$A$2:$A$301,0)),"ID no existe"))</f>
        <v/>
      </c>
      <c r="D1627" s="8"/>
      <c r="E1627" s="8"/>
      <c r="F1627" s="8"/>
      <c r="G1627" s="13"/>
    </row>
    <row r="1628" spans="1:7" x14ac:dyDescent="0.3">
      <c r="A1628" s="11"/>
      <c r="B1628" s="8"/>
      <c r="C1628" s="7" t="str">
        <f>IF(B1628="","",IFERROR(INDEX(Vidriería!$C$2:$C$301,MATCH(B1628,Vidriería!$A$2:$A$301,0))&amp;" "&amp;INDEX(Vidriería!$D$2:$D$301,MATCH(B1628,Vidriería!$A$2:$A$301,0)),"ID no existe"))</f>
        <v/>
      </c>
      <c r="D1628" s="8"/>
      <c r="E1628" s="8"/>
      <c r="F1628" s="8"/>
      <c r="G1628" s="13"/>
    </row>
    <row r="1629" spans="1:7" x14ac:dyDescent="0.3">
      <c r="A1629" s="11"/>
      <c r="B1629" s="8"/>
      <c r="C1629" s="7" t="str">
        <f>IF(B1629="","",IFERROR(INDEX(Vidriería!$C$2:$C$301,MATCH(B1629,Vidriería!$A$2:$A$301,0))&amp;" "&amp;INDEX(Vidriería!$D$2:$D$301,MATCH(B1629,Vidriería!$A$2:$A$301,0)),"ID no existe"))</f>
        <v/>
      </c>
      <c r="D1629" s="8"/>
      <c r="E1629" s="8"/>
      <c r="F1629" s="8"/>
      <c r="G1629" s="13"/>
    </row>
    <row r="1630" spans="1:7" x14ac:dyDescent="0.3">
      <c r="A1630" s="11"/>
      <c r="B1630" s="8"/>
      <c r="C1630" s="7" t="str">
        <f>IF(B1630="","",IFERROR(INDEX(Vidriería!$C$2:$C$301,MATCH(B1630,Vidriería!$A$2:$A$301,0))&amp;" "&amp;INDEX(Vidriería!$D$2:$D$301,MATCH(B1630,Vidriería!$A$2:$A$301,0)),"ID no existe"))</f>
        <v/>
      </c>
      <c r="D1630" s="8"/>
      <c r="E1630" s="8"/>
      <c r="F1630" s="8"/>
      <c r="G1630" s="13"/>
    </row>
    <row r="1631" spans="1:7" x14ac:dyDescent="0.3">
      <c r="A1631" s="11"/>
      <c r="B1631" s="8"/>
      <c r="C1631" s="7" t="str">
        <f>IF(B1631="","",IFERROR(INDEX(Vidriería!$C$2:$C$301,MATCH(B1631,Vidriería!$A$2:$A$301,0))&amp;" "&amp;INDEX(Vidriería!$D$2:$D$301,MATCH(B1631,Vidriería!$A$2:$A$301,0)),"ID no existe"))</f>
        <v/>
      </c>
      <c r="D1631" s="8"/>
      <c r="E1631" s="8"/>
      <c r="F1631" s="8"/>
      <c r="G1631" s="13"/>
    </row>
    <row r="1632" spans="1:7" x14ac:dyDescent="0.3">
      <c r="A1632" s="11"/>
      <c r="B1632" s="8"/>
      <c r="C1632" s="7" t="str">
        <f>IF(B1632="","",IFERROR(INDEX(Vidriería!$C$2:$C$301,MATCH(B1632,Vidriería!$A$2:$A$301,0))&amp;" "&amp;INDEX(Vidriería!$D$2:$D$301,MATCH(B1632,Vidriería!$A$2:$A$301,0)),"ID no existe"))</f>
        <v/>
      </c>
      <c r="D1632" s="8"/>
      <c r="E1632" s="8"/>
      <c r="F1632" s="8"/>
      <c r="G1632" s="13"/>
    </row>
    <row r="1633" spans="1:7" x14ac:dyDescent="0.3">
      <c r="A1633" s="11"/>
      <c r="B1633" s="8"/>
      <c r="C1633" s="7" t="str">
        <f>IF(B1633="","",IFERROR(INDEX(Vidriería!$C$2:$C$301,MATCH(B1633,Vidriería!$A$2:$A$301,0))&amp;" "&amp;INDEX(Vidriería!$D$2:$D$301,MATCH(B1633,Vidriería!$A$2:$A$301,0)),"ID no existe"))</f>
        <v/>
      </c>
      <c r="D1633" s="8"/>
      <c r="E1633" s="8"/>
      <c r="F1633" s="8"/>
      <c r="G1633" s="13"/>
    </row>
    <row r="1634" spans="1:7" x14ac:dyDescent="0.3">
      <c r="A1634" s="11"/>
      <c r="B1634" s="8"/>
      <c r="C1634" s="7" t="str">
        <f>IF(B1634="","",IFERROR(INDEX(Vidriería!$C$2:$C$301,MATCH(B1634,Vidriería!$A$2:$A$301,0))&amp;" "&amp;INDEX(Vidriería!$D$2:$D$301,MATCH(B1634,Vidriería!$A$2:$A$301,0)),"ID no existe"))</f>
        <v/>
      </c>
      <c r="D1634" s="8"/>
      <c r="E1634" s="8"/>
      <c r="F1634" s="8"/>
      <c r="G1634" s="13"/>
    </row>
    <row r="1635" spans="1:7" x14ac:dyDescent="0.3">
      <c r="A1635" s="11"/>
      <c r="B1635" s="8"/>
      <c r="C1635" s="7" t="str">
        <f>IF(B1635="","",IFERROR(INDEX(Vidriería!$C$2:$C$301,MATCH(B1635,Vidriería!$A$2:$A$301,0))&amp;" "&amp;INDEX(Vidriería!$D$2:$D$301,MATCH(B1635,Vidriería!$A$2:$A$301,0)),"ID no existe"))</f>
        <v/>
      </c>
      <c r="D1635" s="8"/>
      <c r="E1635" s="8"/>
      <c r="F1635" s="8"/>
      <c r="G1635" s="13"/>
    </row>
    <row r="1636" spans="1:7" x14ac:dyDescent="0.3">
      <c r="A1636" s="11"/>
      <c r="B1636" s="8"/>
      <c r="C1636" s="7" t="str">
        <f>IF(B1636="","",IFERROR(INDEX(Vidriería!$C$2:$C$301,MATCH(B1636,Vidriería!$A$2:$A$301,0))&amp;" "&amp;INDEX(Vidriería!$D$2:$D$301,MATCH(B1636,Vidriería!$A$2:$A$301,0)),"ID no existe"))</f>
        <v/>
      </c>
      <c r="D1636" s="8"/>
      <c r="E1636" s="8"/>
      <c r="F1636" s="8"/>
      <c r="G1636" s="13"/>
    </row>
    <row r="1637" spans="1:7" x14ac:dyDescent="0.3">
      <c r="A1637" s="11"/>
      <c r="B1637" s="8"/>
      <c r="C1637" s="7" t="str">
        <f>IF(B1637="","",IFERROR(INDEX(Vidriería!$C$2:$C$301,MATCH(B1637,Vidriería!$A$2:$A$301,0))&amp;" "&amp;INDEX(Vidriería!$D$2:$D$301,MATCH(B1637,Vidriería!$A$2:$A$301,0)),"ID no existe"))</f>
        <v/>
      </c>
      <c r="D1637" s="8"/>
      <c r="E1637" s="8"/>
      <c r="F1637" s="8"/>
      <c r="G1637" s="13"/>
    </row>
    <row r="1638" spans="1:7" x14ac:dyDescent="0.3">
      <c r="A1638" s="11"/>
      <c r="B1638" s="8"/>
      <c r="C1638" s="7" t="str">
        <f>IF(B1638="","",IFERROR(INDEX(Vidriería!$C$2:$C$301,MATCH(B1638,Vidriería!$A$2:$A$301,0))&amp;" "&amp;INDEX(Vidriería!$D$2:$D$301,MATCH(B1638,Vidriería!$A$2:$A$301,0)),"ID no existe"))</f>
        <v/>
      </c>
      <c r="D1638" s="8"/>
      <c r="E1638" s="8"/>
      <c r="F1638" s="8"/>
      <c r="G1638" s="13"/>
    </row>
    <row r="1639" spans="1:7" x14ac:dyDescent="0.3">
      <c r="A1639" s="11"/>
      <c r="B1639" s="8"/>
      <c r="C1639" s="7" t="str">
        <f>IF(B1639="","",IFERROR(INDEX(Vidriería!$C$2:$C$301,MATCH(B1639,Vidriería!$A$2:$A$301,0))&amp;" "&amp;INDEX(Vidriería!$D$2:$D$301,MATCH(B1639,Vidriería!$A$2:$A$301,0)),"ID no existe"))</f>
        <v/>
      </c>
      <c r="D1639" s="8"/>
      <c r="E1639" s="8"/>
      <c r="F1639" s="8"/>
      <c r="G1639" s="13"/>
    </row>
    <row r="1640" spans="1:7" x14ac:dyDescent="0.3">
      <c r="A1640" s="11"/>
      <c r="B1640" s="8"/>
      <c r="C1640" s="7" t="str">
        <f>IF(B1640="","",IFERROR(INDEX(Vidriería!$C$2:$C$301,MATCH(B1640,Vidriería!$A$2:$A$301,0))&amp;" "&amp;INDEX(Vidriería!$D$2:$D$301,MATCH(B1640,Vidriería!$A$2:$A$301,0)),"ID no existe"))</f>
        <v/>
      </c>
      <c r="D1640" s="8"/>
      <c r="E1640" s="8"/>
      <c r="F1640" s="8"/>
      <c r="G1640" s="13"/>
    </row>
    <row r="1641" spans="1:7" x14ac:dyDescent="0.3">
      <c r="A1641" s="11"/>
      <c r="B1641" s="8"/>
      <c r="C1641" s="7" t="str">
        <f>IF(B1641="","",IFERROR(INDEX(Vidriería!$C$2:$C$301,MATCH(B1641,Vidriería!$A$2:$A$301,0))&amp;" "&amp;INDEX(Vidriería!$D$2:$D$301,MATCH(B1641,Vidriería!$A$2:$A$301,0)),"ID no existe"))</f>
        <v/>
      </c>
      <c r="D1641" s="8"/>
      <c r="E1641" s="8"/>
      <c r="F1641" s="8"/>
      <c r="G1641" s="13"/>
    </row>
    <row r="1642" spans="1:7" x14ac:dyDescent="0.3">
      <c r="A1642" s="11"/>
      <c r="B1642" s="8"/>
      <c r="C1642" s="7" t="str">
        <f>IF(B1642="","",IFERROR(INDEX(Vidriería!$C$2:$C$301,MATCH(B1642,Vidriería!$A$2:$A$301,0))&amp;" "&amp;INDEX(Vidriería!$D$2:$D$301,MATCH(B1642,Vidriería!$A$2:$A$301,0)),"ID no existe"))</f>
        <v/>
      </c>
      <c r="D1642" s="8"/>
      <c r="E1642" s="8"/>
      <c r="F1642" s="8"/>
      <c r="G1642" s="13"/>
    </row>
    <row r="1643" spans="1:7" x14ac:dyDescent="0.3">
      <c r="A1643" s="11"/>
      <c r="B1643" s="8"/>
      <c r="C1643" s="7" t="str">
        <f>IF(B1643="","",IFERROR(INDEX(Vidriería!$C$2:$C$301,MATCH(B1643,Vidriería!$A$2:$A$301,0))&amp;" "&amp;INDEX(Vidriería!$D$2:$D$301,MATCH(B1643,Vidriería!$A$2:$A$301,0)),"ID no existe"))</f>
        <v/>
      </c>
      <c r="D1643" s="8"/>
      <c r="E1643" s="8"/>
      <c r="F1643" s="8"/>
      <c r="G1643" s="13"/>
    </row>
    <row r="1644" spans="1:7" x14ac:dyDescent="0.3">
      <c r="A1644" s="11"/>
      <c r="B1644" s="8"/>
      <c r="C1644" s="7" t="str">
        <f>IF(B1644="","",IFERROR(INDEX(Vidriería!$C$2:$C$301,MATCH(B1644,Vidriería!$A$2:$A$301,0))&amp;" "&amp;INDEX(Vidriería!$D$2:$D$301,MATCH(B1644,Vidriería!$A$2:$A$301,0)),"ID no existe"))</f>
        <v/>
      </c>
      <c r="D1644" s="8"/>
      <c r="E1644" s="8"/>
      <c r="F1644" s="8"/>
      <c r="G1644" s="13"/>
    </row>
    <row r="1645" spans="1:7" x14ac:dyDescent="0.3">
      <c r="A1645" s="11"/>
      <c r="B1645" s="8"/>
      <c r="C1645" s="7" t="str">
        <f>IF(B1645="","",IFERROR(INDEX(Vidriería!$C$2:$C$301,MATCH(B1645,Vidriería!$A$2:$A$301,0))&amp;" "&amp;INDEX(Vidriería!$D$2:$D$301,MATCH(B1645,Vidriería!$A$2:$A$301,0)),"ID no existe"))</f>
        <v/>
      </c>
      <c r="D1645" s="8"/>
      <c r="E1645" s="8"/>
      <c r="F1645" s="8"/>
      <c r="G1645" s="13"/>
    </row>
    <row r="1646" spans="1:7" x14ac:dyDescent="0.3">
      <c r="A1646" s="11"/>
      <c r="B1646" s="8"/>
      <c r="C1646" s="7" t="str">
        <f>IF(B1646="","",IFERROR(INDEX(Vidriería!$C$2:$C$301,MATCH(B1646,Vidriería!$A$2:$A$301,0))&amp;" "&amp;INDEX(Vidriería!$D$2:$D$301,MATCH(B1646,Vidriería!$A$2:$A$301,0)),"ID no existe"))</f>
        <v/>
      </c>
      <c r="D1646" s="8"/>
      <c r="E1646" s="8"/>
      <c r="F1646" s="8"/>
      <c r="G1646" s="13"/>
    </row>
    <row r="1647" spans="1:7" x14ac:dyDescent="0.3">
      <c r="A1647" s="11"/>
      <c r="B1647" s="8"/>
      <c r="C1647" s="7" t="str">
        <f>IF(B1647="","",IFERROR(INDEX(Vidriería!$C$2:$C$301,MATCH(B1647,Vidriería!$A$2:$A$301,0))&amp;" "&amp;INDEX(Vidriería!$D$2:$D$301,MATCH(B1647,Vidriería!$A$2:$A$301,0)),"ID no existe"))</f>
        <v/>
      </c>
      <c r="D1647" s="8"/>
      <c r="E1647" s="8"/>
      <c r="F1647" s="8"/>
      <c r="G1647" s="13"/>
    </row>
    <row r="1648" spans="1:7" x14ac:dyDescent="0.3">
      <c r="A1648" s="11"/>
      <c r="B1648" s="8"/>
      <c r="C1648" s="7" t="str">
        <f>IF(B1648="","",IFERROR(INDEX(Vidriería!$C$2:$C$301,MATCH(B1648,Vidriería!$A$2:$A$301,0))&amp;" "&amp;INDEX(Vidriería!$D$2:$D$301,MATCH(B1648,Vidriería!$A$2:$A$301,0)),"ID no existe"))</f>
        <v/>
      </c>
      <c r="D1648" s="8"/>
      <c r="E1648" s="8"/>
      <c r="F1648" s="8"/>
      <c r="G1648" s="13"/>
    </row>
    <row r="1649" spans="1:7" x14ac:dyDescent="0.3">
      <c r="A1649" s="11"/>
      <c r="B1649" s="8"/>
      <c r="C1649" s="7" t="str">
        <f>IF(B1649="","",IFERROR(INDEX(Vidriería!$C$2:$C$301,MATCH(B1649,Vidriería!$A$2:$A$301,0))&amp;" "&amp;INDEX(Vidriería!$D$2:$D$301,MATCH(B1649,Vidriería!$A$2:$A$301,0)),"ID no existe"))</f>
        <v/>
      </c>
      <c r="D1649" s="8"/>
      <c r="E1649" s="8"/>
      <c r="F1649" s="8"/>
      <c r="G1649" s="13"/>
    </row>
    <row r="1650" spans="1:7" x14ac:dyDescent="0.3">
      <c r="A1650" s="11"/>
      <c r="B1650" s="8"/>
      <c r="C1650" s="7" t="str">
        <f>IF(B1650="","",IFERROR(INDEX(Vidriería!$C$2:$C$301,MATCH(B1650,Vidriería!$A$2:$A$301,0))&amp;" "&amp;INDEX(Vidriería!$D$2:$D$301,MATCH(B1650,Vidriería!$A$2:$A$301,0)),"ID no existe"))</f>
        <v/>
      </c>
      <c r="D1650" s="8"/>
      <c r="E1650" s="8"/>
      <c r="F1650" s="8"/>
      <c r="G1650" s="13"/>
    </row>
    <row r="1651" spans="1:7" x14ac:dyDescent="0.3">
      <c r="A1651" s="11"/>
      <c r="B1651" s="8"/>
      <c r="C1651" s="7" t="str">
        <f>IF(B1651="","",IFERROR(INDEX(Vidriería!$C$2:$C$301,MATCH(B1651,Vidriería!$A$2:$A$301,0))&amp;" "&amp;INDEX(Vidriería!$D$2:$D$301,MATCH(B1651,Vidriería!$A$2:$A$301,0)),"ID no existe"))</f>
        <v/>
      </c>
      <c r="D1651" s="8"/>
      <c r="E1651" s="8"/>
      <c r="F1651" s="8"/>
      <c r="G1651" s="13"/>
    </row>
    <row r="1652" spans="1:7" x14ac:dyDescent="0.3">
      <c r="A1652" s="11"/>
      <c r="B1652" s="8"/>
      <c r="C1652" s="7" t="str">
        <f>IF(B1652="","",IFERROR(INDEX(Vidriería!$C$2:$C$301,MATCH(B1652,Vidriería!$A$2:$A$301,0))&amp;" "&amp;INDEX(Vidriería!$D$2:$D$301,MATCH(B1652,Vidriería!$A$2:$A$301,0)),"ID no existe"))</f>
        <v/>
      </c>
      <c r="D1652" s="8"/>
      <c r="E1652" s="8"/>
      <c r="F1652" s="8"/>
      <c r="G1652" s="13"/>
    </row>
    <row r="1653" spans="1:7" x14ac:dyDescent="0.3">
      <c r="A1653" s="11"/>
      <c r="B1653" s="8"/>
      <c r="C1653" s="7" t="str">
        <f>IF(B1653="","",IFERROR(INDEX(Vidriería!$C$2:$C$301,MATCH(B1653,Vidriería!$A$2:$A$301,0))&amp;" "&amp;INDEX(Vidriería!$D$2:$D$301,MATCH(B1653,Vidriería!$A$2:$A$301,0)),"ID no existe"))</f>
        <v/>
      </c>
      <c r="D1653" s="8"/>
      <c r="E1653" s="8"/>
      <c r="F1653" s="8"/>
      <c r="G1653" s="13"/>
    </row>
    <row r="1654" spans="1:7" x14ac:dyDescent="0.3">
      <c r="A1654" s="11"/>
      <c r="B1654" s="8"/>
      <c r="C1654" s="7" t="str">
        <f>IF(B1654="","",IFERROR(INDEX(Vidriería!$C$2:$C$301,MATCH(B1654,Vidriería!$A$2:$A$301,0))&amp;" "&amp;INDEX(Vidriería!$D$2:$D$301,MATCH(B1654,Vidriería!$A$2:$A$301,0)),"ID no existe"))</f>
        <v/>
      </c>
      <c r="D1654" s="8"/>
      <c r="E1654" s="8"/>
      <c r="F1654" s="8"/>
      <c r="G1654" s="13"/>
    </row>
    <row r="1655" spans="1:7" x14ac:dyDescent="0.3">
      <c r="A1655" s="11"/>
      <c r="B1655" s="8"/>
      <c r="C1655" s="7" t="str">
        <f>IF(B1655="","",IFERROR(INDEX(Vidriería!$C$2:$C$301,MATCH(B1655,Vidriería!$A$2:$A$301,0))&amp;" "&amp;INDEX(Vidriería!$D$2:$D$301,MATCH(B1655,Vidriería!$A$2:$A$301,0)),"ID no existe"))</f>
        <v/>
      </c>
      <c r="D1655" s="8"/>
      <c r="E1655" s="8"/>
      <c r="F1655" s="8"/>
      <c r="G1655" s="13"/>
    </row>
    <row r="1656" spans="1:7" x14ac:dyDescent="0.3">
      <c r="A1656" s="11"/>
      <c r="B1656" s="8"/>
      <c r="C1656" s="7" t="str">
        <f>IF(B1656="","",IFERROR(INDEX(Vidriería!$C$2:$C$301,MATCH(B1656,Vidriería!$A$2:$A$301,0))&amp;" "&amp;INDEX(Vidriería!$D$2:$D$301,MATCH(B1656,Vidriería!$A$2:$A$301,0)),"ID no existe"))</f>
        <v/>
      </c>
      <c r="D1656" s="8"/>
      <c r="E1656" s="8"/>
      <c r="F1656" s="8"/>
      <c r="G1656" s="13"/>
    </row>
    <row r="1657" spans="1:7" x14ac:dyDescent="0.3">
      <c r="A1657" s="11"/>
      <c r="B1657" s="8"/>
      <c r="C1657" s="7" t="str">
        <f>IF(B1657="","",IFERROR(INDEX(Vidriería!$C$2:$C$301,MATCH(B1657,Vidriería!$A$2:$A$301,0))&amp;" "&amp;INDEX(Vidriería!$D$2:$D$301,MATCH(B1657,Vidriería!$A$2:$A$301,0)),"ID no existe"))</f>
        <v/>
      </c>
      <c r="D1657" s="8"/>
      <c r="E1657" s="8"/>
      <c r="F1657" s="8"/>
      <c r="G1657" s="13"/>
    </row>
    <row r="1658" spans="1:7" x14ac:dyDescent="0.3">
      <c r="A1658" s="11"/>
      <c r="B1658" s="8"/>
      <c r="C1658" s="7" t="str">
        <f>IF(B1658="","",IFERROR(INDEX(Vidriería!$C$2:$C$301,MATCH(B1658,Vidriería!$A$2:$A$301,0))&amp;" "&amp;INDEX(Vidriería!$D$2:$D$301,MATCH(B1658,Vidriería!$A$2:$A$301,0)),"ID no existe"))</f>
        <v/>
      </c>
      <c r="D1658" s="8"/>
      <c r="E1658" s="8"/>
      <c r="F1658" s="8"/>
      <c r="G1658" s="13"/>
    </row>
    <row r="1659" spans="1:7" x14ac:dyDescent="0.3">
      <c r="A1659" s="11"/>
      <c r="B1659" s="8"/>
      <c r="C1659" s="7" t="str">
        <f>IF(B1659="","",IFERROR(INDEX(Vidriería!$C$2:$C$301,MATCH(B1659,Vidriería!$A$2:$A$301,0))&amp;" "&amp;INDEX(Vidriería!$D$2:$D$301,MATCH(B1659,Vidriería!$A$2:$A$301,0)),"ID no existe"))</f>
        <v/>
      </c>
      <c r="D1659" s="8"/>
      <c r="E1659" s="8"/>
      <c r="F1659" s="8"/>
      <c r="G1659" s="13"/>
    </row>
    <row r="1660" spans="1:7" x14ac:dyDescent="0.3">
      <c r="A1660" s="11"/>
      <c r="B1660" s="8"/>
      <c r="C1660" s="7" t="str">
        <f>IF(B1660="","",IFERROR(INDEX(Vidriería!$C$2:$C$301,MATCH(B1660,Vidriería!$A$2:$A$301,0))&amp;" "&amp;INDEX(Vidriería!$D$2:$D$301,MATCH(B1660,Vidriería!$A$2:$A$301,0)),"ID no existe"))</f>
        <v/>
      </c>
      <c r="D1660" s="8"/>
      <c r="E1660" s="8"/>
      <c r="F1660" s="8"/>
      <c r="G1660" s="13"/>
    </row>
    <row r="1661" spans="1:7" x14ac:dyDescent="0.3">
      <c r="A1661" s="11"/>
      <c r="B1661" s="8"/>
      <c r="C1661" s="7" t="str">
        <f>IF(B1661="","",IFERROR(INDEX(Vidriería!$C$2:$C$301,MATCH(B1661,Vidriería!$A$2:$A$301,0))&amp;" "&amp;INDEX(Vidriería!$D$2:$D$301,MATCH(B1661,Vidriería!$A$2:$A$301,0)),"ID no existe"))</f>
        <v/>
      </c>
      <c r="D1661" s="8"/>
      <c r="E1661" s="8"/>
      <c r="F1661" s="8"/>
      <c r="G1661" s="13"/>
    </row>
    <row r="1662" spans="1:7" x14ac:dyDescent="0.3">
      <c r="A1662" s="11"/>
      <c r="B1662" s="8"/>
      <c r="C1662" s="7" t="str">
        <f>IF(B1662="","",IFERROR(INDEX(Vidriería!$C$2:$C$301,MATCH(B1662,Vidriería!$A$2:$A$301,0))&amp;" "&amp;INDEX(Vidriería!$D$2:$D$301,MATCH(B1662,Vidriería!$A$2:$A$301,0)),"ID no existe"))</f>
        <v/>
      </c>
      <c r="D1662" s="8"/>
      <c r="E1662" s="8"/>
      <c r="F1662" s="8"/>
      <c r="G1662" s="13"/>
    </row>
    <row r="1663" spans="1:7" x14ac:dyDescent="0.3">
      <c r="A1663" s="11"/>
      <c r="B1663" s="8"/>
      <c r="C1663" s="7" t="str">
        <f>IF(B1663="","",IFERROR(INDEX(Vidriería!$C$2:$C$301,MATCH(B1663,Vidriería!$A$2:$A$301,0))&amp;" "&amp;INDEX(Vidriería!$D$2:$D$301,MATCH(B1663,Vidriería!$A$2:$A$301,0)),"ID no existe"))</f>
        <v/>
      </c>
      <c r="D1663" s="8"/>
      <c r="E1663" s="8"/>
      <c r="F1663" s="8"/>
      <c r="G1663" s="13"/>
    </row>
    <row r="1664" spans="1:7" x14ac:dyDescent="0.3">
      <c r="A1664" s="11"/>
      <c r="B1664" s="8"/>
      <c r="C1664" s="7" t="str">
        <f>IF(B1664="","",IFERROR(INDEX(Vidriería!$C$2:$C$301,MATCH(B1664,Vidriería!$A$2:$A$301,0))&amp;" "&amp;INDEX(Vidriería!$D$2:$D$301,MATCH(B1664,Vidriería!$A$2:$A$301,0)),"ID no existe"))</f>
        <v/>
      </c>
      <c r="D1664" s="8"/>
      <c r="E1664" s="8"/>
      <c r="F1664" s="8"/>
      <c r="G1664" s="13"/>
    </row>
    <row r="1665" spans="1:7" x14ac:dyDescent="0.3">
      <c r="A1665" s="11"/>
      <c r="B1665" s="8"/>
      <c r="C1665" s="7" t="str">
        <f>IF(B1665="","",IFERROR(INDEX(Vidriería!$C$2:$C$301,MATCH(B1665,Vidriería!$A$2:$A$301,0))&amp;" "&amp;INDEX(Vidriería!$D$2:$D$301,MATCH(B1665,Vidriería!$A$2:$A$301,0)),"ID no existe"))</f>
        <v/>
      </c>
      <c r="D1665" s="8"/>
      <c r="E1665" s="8"/>
      <c r="F1665" s="8"/>
      <c r="G1665" s="13"/>
    </row>
    <row r="1666" spans="1:7" x14ac:dyDescent="0.3">
      <c r="A1666" s="11"/>
      <c r="B1666" s="8"/>
      <c r="C1666" s="7" t="str">
        <f>IF(B1666="","",IFERROR(INDEX(Vidriería!$C$2:$C$301,MATCH(B1666,Vidriería!$A$2:$A$301,0))&amp;" "&amp;INDEX(Vidriería!$D$2:$D$301,MATCH(B1666,Vidriería!$A$2:$A$301,0)),"ID no existe"))</f>
        <v/>
      </c>
      <c r="D1666" s="8"/>
      <c r="E1666" s="8"/>
      <c r="F1666" s="8"/>
      <c r="G1666" s="13"/>
    </row>
    <row r="1667" spans="1:7" x14ac:dyDescent="0.3">
      <c r="A1667" s="11"/>
      <c r="B1667" s="8"/>
      <c r="C1667" s="7" t="str">
        <f>IF(B1667="","",IFERROR(INDEX(Vidriería!$C$2:$C$301,MATCH(B1667,Vidriería!$A$2:$A$301,0))&amp;" "&amp;INDEX(Vidriería!$D$2:$D$301,MATCH(B1667,Vidriería!$A$2:$A$301,0)),"ID no existe"))</f>
        <v/>
      </c>
      <c r="D1667" s="8"/>
      <c r="E1667" s="8"/>
      <c r="F1667" s="8"/>
      <c r="G1667" s="13"/>
    </row>
    <row r="1668" spans="1:7" x14ac:dyDescent="0.3">
      <c r="A1668" s="11"/>
      <c r="B1668" s="8"/>
      <c r="C1668" s="7" t="str">
        <f>IF(B1668="","",IFERROR(INDEX(Vidriería!$C$2:$C$301,MATCH(B1668,Vidriería!$A$2:$A$301,0))&amp;" "&amp;INDEX(Vidriería!$D$2:$D$301,MATCH(B1668,Vidriería!$A$2:$A$301,0)),"ID no existe"))</f>
        <v/>
      </c>
      <c r="D1668" s="8"/>
      <c r="E1668" s="8"/>
      <c r="F1668" s="8"/>
      <c r="G1668" s="13"/>
    </row>
    <row r="1669" spans="1:7" x14ac:dyDescent="0.3">
      <c r="A1669" s="11"/>
      <c r="B1669" s="8"/>
      <c r="C1669" s="7" t="str">
        <f>IF(B1669="","",IFERROR(INDEX(Vidriería!$C$2:$C$301,MATCH(B1669,Vidriería!$A$2:$A$301,0))&amp;" "&amp;INDEX(Vidriería!$D$2:$D$301,MATCH(B1669,Vidriería!$A$2:$A$301,0)),"ID no existe"))</f>
        <v/>
      </c>
      <c r="D1669" s="8"/>
      <c r="E1669" s="8"/>
      <c r="F1669" s="8"/>
      <c r="G1669" s="13"/>
    </row>
    <row r="1670" spans="1:7" x14ac:dyDescent="0.3">
      <c r="A1670" s="11"/>
      <c r="B1670" s="8"/>
      <c r="C1670" s="7" t="str">
        <f>IF(B1670="","",IFERROR(INDEX(Vidriería!$C$2:$C$301,MATCH(B1670,Vidriería!$A$2:$A$301,0))&amp;" "&amp;INDEX(Vidriería!$D$2:$D$301,MATCH(B1670,Vidriería!$A$2:$A$301,0)),"ID no existe"))</f>
        <v/>
      </c>
      <c r="D1670" s="8"/>
      <c r="E1670" s="8"/>
      <c r="F1670" s="8"/>
      <c r="G1670" s="13"/>
    </row>
    <row r="1671" spans="1:7" x14ac:dyDescent="0.3">
      <c r="A1671" s="11"/>
      <c r="B1671" s="8"/>
      <c r="C1671" s="7" t="str">
        <f>IF(B1671="","",IFERROR(INDEX(Vidriería!$C$2:$C$301,MATCH(B1671,Vidriería!$A$2:$A$301,0))&amp;" "&amp;INDEX(Vidriería!$D$2:$D$301,MATCH(B1671,Vidriería!$A$2:$A$301,0)),"ID no existe"))</f>
        <v/>
      </c>
      <c r="D1671" s="8"/>
      <c r="E1671" s="8"/>
      <c r="F1671" s="8"/>
      <c r="G1671" s="13"/>
    </row>
    <row r="1672" spans="1:7" x14ac:dyDescent="0.3">
      <c r="A1672" s="11"/>
      <c r="B1672" s="8"/>
      <c r="C1672" s="7" t="str">
        <f>IF(B1672="","",IFERROR(INDEX(Vidriería!$C$2:$C$301,MATCH(B1672,Vidriería!$A$2:$A$301,0))&amp;" "&amp;INDEX(Vidriería!$D$2:$D$301,MATCH(B1672,Vidriería!$A$2:$A$301,0)),"ID no existe"))</f>
        <v/>
      </c>
      <c r="D1672" s="8"/>
      <c r="E1672" s="8"/>
      <c r="F1672" s="8"/>
      <c r="G1672" s="13"/>
    </row>
    <row r="1673" spans="1:7" x14ac:dyDescent="0.3">
      <c r="A1673" s="11"/>
      <c r="B1673" s="8"/>
      <c r="C1673" s="7" t="str">
        <f>IF(B1673="","",IFERROR(INDEX(Vidriería!$C$2:$C$301,MATCH(B1673,Vidriería!$A$2:$A$301,0))&amp;" "&amp;INDEX(Vidriería!$D$2:$D$301,MATCH(B1673,Vidriería!$A$2:$A$301,0)),"ID no existe"))</f>
        <v/>
      </c>
      <c r="D1673" s="8"/>
      <c r="E1673" s="8"/>
      <c r="F1673" s="8"/>
      <c r="G1673" s="13"/>
    </row>
    <row r="1674" spans="1:7" x14ac:dyDescent="0.3">
      <c r="A1674" s="11"/>
      <c r="B1674" s="8"/>
      <c r="C1674" s="7" t="str">
        <f>IF(B1674="","",IFERROR(INDEX(Vidriería!$C$2:$C$301,MATCH(B1674,Vidriería!$A$2:$A$301,0))&amp;" "&amp;INDEX(Vidriería!$D$2:$D$301,MATCH(B1674,Vidriería!$A$2:$A$301,0)),"ID no existe"))</f>
        <v/>
      </c>
      <c r="D1674" s="8"/>
      <c r="E1674" s="8"/>
      <c r="F1674" s="8"/>
      <c r="G1674" s="13"/>
    </row>
    <row r="1675" spans="1:7" x14ac:dyDescent="0.3">
      <c r="A1675" s="11"/>
      <c r="B1675" s="8"/>
      <c r="C1675" s="7" t="str">
        <f>IF(B1675="","",IFERROR(INDEX(Vidriería!$C$2:$C$301,MATCH(B1675,Vidriería!$A$2:$A$301,0))&amp;" "&amp;INDEX(Vidriería!$D$2:$D$301,MATCH(B1675,Vidriería!$A$2:$A$301,0)),"ID no existe"))</f>
        <v/>
      </c>
      <c r="D1675" s="8"/>
      <c r="E1675" s="8"/>
      <c r="F1675" s="8"/>
      <c r="G1675" s="13"/>
    </row>
    <row r="1676" spans="1:7" x14ac:dyDescent="0.3">
      <c r="A1676" s="11"/>
      <c r="B1676" s="8"/>
      <c r="C1676" s="7" t="str">
        <f>IF(B1676="","",IFERROR(INDEX(Vidriería!$C$2:$C$301,MATCH(B1676,Vidriería!$A$2:$A$301,0))&amp;" "&amp;INDEX(Vidriería!$D$2:$D$301,MATCH(B1676,Vidriería!$A$2:$A$301,0)),"ID no existe"))</f>
        <v/>
      </c>
      <c r="D1676" s="8"/>
      <c r="E1676" s="8"/>
      <c r="F1676" s="8"/>
      <c r="G1676" s="13"/>
    </row>
    <row r="1677" spans="1:7" x14ac:dyDescent="0.3">
      <c r="A1677" s="11"/>
      <c r="B1677" s="8"/>
      <c r="C1677" s="7" t="str">
        <f>IF(B1677="","",IFERROR(INDEX(Vidriería!$C$2:$C$301,MATCH(B1677,Vidriería!$A$2:$A$301,0))&amp;" "&amp;INDEX(Vidriería!$D$2:$D$301,MATCH(B1677,Vidriería!$A$2:$A$301,0)),"ID no existe"))</f>
        <v/>
      </c>
      <c r="D1677" s="8"/>
      <c r="E1677" s="8"/>
      <c r="F1677" s="8"/>
      <c r="G1677" s="13"/>
    </row>
    <row r="1678" spans="1:7" x14ac:dyDescent="0.3">
      <c r="A1678" s="11"/>
      <c r="B1678" s="8"/>
      <c r="C1678" s="7" t="str">
        <f>IF(B1678="","",IFERROR(INDEX(Vidriería!$C$2:$C$301,MATCH(B1678,Vidriería!$A$2:$A$301,0))&amp;" "&amp;INDEX(Vidriería!$D$2:$D$301,MATCH(B1678,Vidriería!$A$2:$A$301,0)),"ID no existe"))</f>
        <v/>
      </c>
      <c r="D1678" s="8"/>
      <c r="E1678" s="8"/>
      <c r="F1678" s="8"/>
      <c r="G1678" s="13"/>
    </row>
    <row r="1679" spans="1:7" x14ac:dyDescent="0.3">
      <c r="A1679" s="11"/>
      <c r="B1679" s="8"/>
      <c r="C1679" s="7" t="str">
        <f>IF(B1679="","",IFERROR(INDEX(Vidriería!$C$2:$C$301,MATCH(B1679,Vidriería!$A$2:$A$301,0))&amp;" "&amp;INDEX(Vidriería!$D$2:$D$301,MATCH(B1679,Vidriería!$A$2:$A$301,0)),"ID no existe"))</f>
        <v/>
      </c>
      <c r="D1679" s="8"/>
      <c r="E1679" s="8"/>
      <c r="F1679" s="8"/>
      <c r="G1679" s="13"/>
    </row>
    <row r="1680" spans="1:7" x14ac:dyDescent="0.3">
      <c r="A1680" s="11"/>
      <c r="B1680" s="8"/>
      <c r="C1680" s="7" t="str">
        <f>IF(B1680="","",IFERROR(INDEX(Vidriería!$C$2:$C$301,MATCH(B1680,Vidriería!$A$2:$A$301,0))&amp;" "&amp;INDEX(Vidriería!$D$2:$D$301,MATCH(B1680,Vidriería!$A$2:$A$301,0)),"ID no existe"))</f>
        <v/>
      </c>
      <c r="D1680" s="8"/>
      <c r="E1680" s="8"/>
      <c r="F1680" s="8"/>
      <c r="G1680" s="13"/>
    </row>
    <row r="1681" spans="1:7" x14ac:dyDescent="0.3">
      <c r="A1681" s="11"/>
      <c r="B1681" s="8"/>
      <c r="C1681" s="7" t="str">
        <f>IF(B1681="","",IFERROR(INDEX(Vidriería!$C$2:$C$301,MATCH(B1681,Vidriería!$A$2:$A$301,0))&amp;" "&amp;INDEX(Vidriería!$D$2:$D$301,MATCH(B1681,Vidriería!$A$2:$A$301,0)),"ID no existe"))</f>
        <v/>
      </c>
      <c r="D1681" s="8"/>
      <c r="E1681" s="8"/>
      <c r="F1681" s="8"/>
      <c r="G1681" s="13"/>
    </row>
    <row r="1682" spans="1:7" x14ac:dyDescent="0.3">
      <c r="A1682" s="11"/>
      <c r="B1682" s="8"/>
      <c r="C1682" s="7" t="str">
        <f>IF(B1682="","",IFERROR(INDEX(Vidriería!$C$2:$C$301,MATCH(B1682,Vidriería!$A$2:$A$301,0))&amp;" "&amp;INDEX(Vidriería!$D$2:$D$301,MATCH(B1682,Vidriería!$A$2:$A$301,0)),"ID no existe"))</f>
        <v/>
      </c>
      <c r="D1682" s="8"/>
      <c r="E1682" s="8"/>
      <c r="F1682" s="8"/>
      <c r="G1682" s="13"/>
    </row>
    <row r="1683" spans="1:7" x14ac:dyDescent="0.3">
      <c r="A1683" s="11"/>
      <c r="B1683" s="8"/>
      <c r="C1683" s="7" t="str">
        <f>IF(B1683="","",IFERROR(INDEX(Vidriería!$C$2:$C$301,MATCH(B1683,Vidriería!$A$2:$A$301,0))&amp;" "&amp;INDEX(Vidriería!$D$2:$D$301,MATCH(B1683,Vidriería!$A$2:$A$301,0)),"ID no existe"))</f>
        <v/>
      </c>
      <c r="D1683" s="8"/>
      <c r="E1683" s="8"/>
      <c r="F1683" s="8"/>
      <c r="G1683" s="13"/>
    </row>
    <row r="1684" spans="1:7" x14ac:dyDescent="0.3">
      <c r="A1684" s="11"/>
      <c r="B1684" s="8"/>
      <c r="C1684" s="7" t="str">
        <f>IF(B1684="","",IFERROR(INDEX(Vidriería!$C$2:$C$301,MATCH(B1684,Vidriería!$A$2:$A$301,0))&amp;" "&amp;INDEX(Vidriería!$D$2:$D$301,MATCH(B1684,Vidriería!$A$2:$A$301,0)),"ID no existe"))</f>
        <v/>
      </c>
      <c r="D1684" s="8"/>
      <c r="E1684" s="8"/>
      <c r="F1684" s="8"/>
      <c r="G1684" s="13"/>
    </row>
    <row r="1685" spans="1:7" x14ac:dyDescent="0.3">
      <c r="A1685" s="11"/>
      <c r="B1685" s="8"/>
      <c r="C1685" s="7" t="str">
        <f>IF(B1685="","",IFERROR(INDEX(Vidriería!$C$2:$C$301,MATCH(B1685,Vidriería!$A$2:$A$301,0))&amp;" "&amp;INDEX(Vidriería!$D$2:$D$301,MATCH(B1685,Vidriería!$A$2:$A$301,0)),"ID no existe"))</f>
        <v/>
      </c>
      <c r="D1685" s="8"/>
      <c r="E1685" s="8"/>
      <c r="F1685" s="8"/>
      <c r="G1685" s="13"/>
    </row>
    <row r="1686" spans="1:7" x14ac:dyDescent="0.3">
      <c r="A1686" s="11"/>
      <c r="B1686" s="8"/>
      <c r="C1686" s="7" t="str">
        <f>IF(B1686="","",IFERROR(INDEX(Vidriería!$C$2:$C$301,MATCH(B1686,Vidriería!$A$2:$A$301,0))&amp;" "&amp;INDEX(Vidriería!$D$2:$D$301,MATCH(B1686,Vidriería!$A$2:$A$301,0)),"ID no existe"))</f>
        <v/>
      </c>
      <c r="D1686" s="8"/>
      <c r="E1686" s="8"/>
      <c r="F1686" s="8"/>
      <c r="G1686" s="13"/>
    </row>
    <row r="1687" spans="1:7" x14ac:dyDescent="0.3">
      <c r="A1687" s="11"/>
      <c r="B1687" s="8"/>
      <c r="C1687" s="7" t="str">
        <f>IF(B1687="","",IFERROR(INDEX(Vidriería!$C$2:$C$301,MATCH(B1687,Vidriería!$A$2:$A$301,0))&amp;" "&amp;INDEX(Vidriería!$D$2:$D$301,MATCH(B1687,Vidriería!$A$2:$A$301,0)),"ID no existe"))</f>
        <v/>
      </c>
      <c r="D1687" s="8"/>
      <c r="E1687" s="8"/>
      <c r="F1687" s="8"/>
      <c r="G1687" s="13"/>
    </row>
    <row r="1688" spans="1:7" x14ac:dyDescent="0.3">
      <c r="A1688" s="11"/>
      <c r="B1688" s="8"/>
      <c r="C1688" s="7" t="str">
        <f>IF(B1688="","",IFERROR(INDEX(Vidriería!$C$2:$C$301,MATCH(B1688,Vidriería!$A$2:$A$301,0))&amp;" "&amp;INDEX(Vidriería!$D$2:$D$301,MATCH(B1688,Vidriería!$A$2:$A$301,0)),"ID no existe"))</f>
        <v/>
      </c>
      <c r="D1688" s="8"/>
      <c r="E1688" s="8"/>
      <c r="F1688" s="8"/>
      <c r="G1688" s="13"/>
    </row>
    <row r="1689" spans="1:7" x14ac:dyDescent="0.3">
      <c r="A1689" s="11"/>
      <c r="B1689" s="8"/>
      <c r="C1689" s="7" t="str">
        <f>IF(B1689="","",IFERROR(INDEX(Vidriería!$C$2:$C$301,MATCH(B1689,Vidriería!$A$2:$A$301,0))&amp;" "&amp;INDEX(Vidriería!$D$2:$D$301,MATCH(B1689,Vidriería!$A$2:$A$301,0)),"ID no existe"))</f>
        <v/>
      </c>
      <c r="D1689" s="8"/>
      <c r="E1689" s="8"/>
      <c r="F1689" s="8"/>
      <c r="G1689" s="13"/>
    </row>
    <row r="1690" spans="1:7" x14ac:dyDescent="0.3">
      <c r="A1690" s="11"/>
      <c r="B1690" s="8"/>
      <c r="C1690" s="7" t="str">
        <f>IF(B1690="","",IFERROR(INDEX(Vidriería!$C$2:$C$301,MATCH(B1690,Vidriería!$A$2:$A$301,0))&amp;" "&amp;INDEX(Vidriería!$D$2:$D$301,MATCH(B1690,Vidriería!$A$2:$A$301,0)),"ID no existe"))</f>
        <v/>
      </c>
      <c r="D1690" s="8"/>
      <c r="E1690" s="8"/>
      <c r="F1690" s="8"/>
      <c r="G1690" s="13"/>
    </row>
    <row r="1691" spans="1:7" x14ac:dyDescent="0.3">
      <c r="A1691" s="11"/>
      <c r="B1691" s="8"/>
      <c r="C1691" s="7" t="str">
        <f>IF(B1691="","",IFERROR(INDEX(Vidriería!$C$2:$C$301,MATCH(B1691,Vidriería!$A$2:$A$301,0))&amp;" "&amp;INDEX(Vidriería!$D$2:$D$301,MATCH(B1691,Vidriería!$A$2:$A$301,0)),"ID no existe"))</f>
        <v/>
      </c>
      <c r="D1691" s="8"/>
      <c r="E1691" s="8"/>
      <c r="F1691" s="8"/>
      <c r="G1691" s="13"/>
    </row>
    <row r="1692" spans="1:7" x14ac:dyDescent="0.3">
      <c r="A1692" s="11"/>
      <c r="B1692" s="8"/>
      <c r="C1692" s="7" t="str">
        <f>IF(B1692="","",IFERROR(INDEX(Vidriería!$C$2:$C$301,MATCH(B1692,Vidriería!$A$2:$A$301,0))&amp;" "&amp;INDEX(Vidriería!$D$2:$D$301,MATCH(B1692,Vidriería!$A$2:$A$301,0)),"ID no existe"))</f>
        <v/>
      </c>
      <c r="D1692" s="8"/>
      <c r="E1692" s="8"/>
      <c r="F1692" s="8"/>
      <c r="G1692" s="13"/>
    </row>
    <row r="1693" spans="1:7" x14ac:dyDescent="0.3">
      <c r="A1693" s="11"/>
      <c r="B1693" s="8"/>
      <c r="C1693" s="7" t="str">
        <f>IF(B1693="","",IFERROR(INDEX(Vidriería!$C$2:$C$301,MATCH(B1693,Vidriería!$A$2:$A$301,0))&amp;" "&amp;INDEX(Vidriería!$D$2:$D$301,MATCH(B1693,Vidriería!$A$2:$A$301,0)),"ID no existe"))</f>
        <v/>
      </c>
      <c r="D1693" s="8"/>
      <c r="E1693" s="8"/>
      <c r="F1693" s="8"/>
      <c r="G1693" s="13"/>
    </row>
    <row r="1694" spans="1:7" x14ac:dyDescent="0.3">
      <c r="A1694" s="11"/>
      <c r="B1694" s="8"/>
      <c r="C1694" s="7" t="str">
        <f>IF(B1694="","",IFERROR(INDEX(Vidriería!$C$2:$C$301,MATCH(B1694,Vidriería!$A$2:$A$301,0))&amp;" "&amp;INDEX(Vidriería!$D$2:$D$301,MATCH(B1694,Vidriería!$A$2:$A$301,0)),"ID no existe"))</f>
        <v/>
      </c>
      <c r="D1694" s="8"/>
      <c r="E1694" s="8"/>
      <c r="F1694" s="8"/>
      <c r="G1694" s="13"/>
    </row>
    <row r="1695" spans="1:7" x14ac:dyDescent="0.3">
      <c r="A1695" s="11"/>
      <c r="B1695" s="8"/>
      <c r="C1695" s="7" t="str">
        <f>IF(B1695="","",IFERROR(INDEX(Vidriería!$C$2:$C$301,MATCH(B1695,Vidriería!$A$2:$A$301,0))&amp;" "&amp;INDEX(Vidriería!$D$2:$D$301,MATCH(B1695,Vidriería!$A$2:$A$301,0)),"ID no existe"))</f>
        <v/>
      </c>
      <c r="D1695" s="8"/>
      <c r="E1695" s="8"/>
      <c r="F1695" s="8"/>
      <c r="G1695" s="13"/>
    </row>
    <row r="1696" spans="1:7" x14ac:dyDescent="0.3">
      <c r="A1696" s="11"/>
      <c r="B1696" s="8"/>
      <c r="C1696" s="7" t="str">
        <f>IF(B1696="","",IFERROR(INDEX(Vidriería!$C$2:$C$301,MATCH(B1696,Vidriería!$A$2:$A$301,0))&amp;" "&amp;INDEX(Vidriería!$D$2:$D$301,MATCH(B1696,Vidriería!$A$2:$A$301,0)),"ID no existe"))</f>
        <v/>
      </c>
      <c r="D1696" s="8"/>
      <c r="E1696" s="8"/>
      <c r="F1696" s="8"/>
      <c r="G1696" s="13"/>
    </row>
    <row r="1697" spans="1:7" x14ac:dyDescent="0.3">
      <c r="A1697" s="11"/>
      <c r="B1697" s="8"/>
      <c r="C1697" s="7" t="str">
        <f>IF(B1697="","",IFERROR(INDEX(Vidriería!$C$2:$C$301,MATCH(B1697,Vidriería!$A$2:$A$301,0))&amp;" "&amp;INDEX(Vidriería!$D$2:$D$301,MATCH(B1697,Vidriería!$A$2:$A$301,0)),"ID no existe"))</f>
        <v/>
      </c>
      <c r="D1697" s="8"/>
      <c r="E1697" s="8"/>
      <c r="F1697" s="8"/>
      <c r="G1697" s="13"/>
    </row>
    <row r="1698" spans="1:7" x14ac:dyDescent="0.3">
      <c r="A1698" s="11"/>
      <c r="B1698" s="8"/>
      <c r="C1698" s="7" t="str">
        <f>IF(B1698="","",IFERROR(INDEX(Vidriería!$C$2:$C$301,MATCH(B1698,Vidriería!$A$2:$A$301,0))&amp;" "&amp;INDEX(Vidriería!$D$2:$D$301,MATCH(B1698,Vidriería!$A$2:$A$301,0)),"ID no existe"))</f>
        <v/>
      </c>
      <c r="D1698" s="8"/>
      <c r="E1698" s="8"/>
      <c r="F1698" s="8"/>
      <c r="G1698" s="13"/>
    </row>
    <row r="1699" spans="1:7" x14ac:dyDescent="0.3">
      <c r="A1699" s="11"/>
      <c r="B1699" s="8"/>
      <c r="C1699" s="7" t="str">
        <f>IF(B1699="","",IFERROR(INDEX(Vidriería!$C$2:$C$301,MATCH(B1699,Vidriería!$A$2:$A$301,0))&amp;" "&amp;INDEX(Vidriería!$D$2:$D$301,MATCH(B1699,Vidriería!$A$2:$A$301,0)),"ID no existe"))</f>
        <v/>
      </c>
      <c r="D1699" s="8"/>
      <c r="E1699" s="8"/>
      <c r="F1699" s="8"/>
      <c r="G1699" s="13"/>
    </row>
    <row r="1700" spans="1:7" x14ac:dyDescent="0.3">
      <c r="A1700" s="11"/>
      <c r="B1700" s="8"/>
      <c r="C1700" s="7" t="str">
        <f>IF(B1700="","",IFERROR(INDEX(Vidriería!$C$2:$C$301,MATCH(B1700,Vidriería!$A$2:$A$301,0))&amp;" "&amp;INDEX(Vidriería!$D$2:$D$301,MATCH(B1700,Vidriería!$A$2:$A$301,0)),"ID no existe"))</f>
        <v/>
      </c>
      <c r="D1700" s="8"/>
      <c r="E1700" s="8"/>
      <c r="F1700" s="8"/>
      <c r="G1700" s="13"/>
    </row>
    <row r="1701" spans="1:7" x14ac:dyDescent="0.3">
      <c r="A1701" s="11"/>
      <c r="B1701" s="8"/>
      <c r="C1701" s="7" t="str">
        <f>IF(B1701="","",IFERROR(INDEX(Vidriería!$C$2:$C$301,MATCH(B1701,Vidriería!$A$2:$A$301,0))&amp;" "&amp;INDEX(Vidriería!$D$2:$D$301,MATCH(B1701,Vidriería!$A$2:$A$301,0)),"ID no existe"))</f>
        <v/>
      </c>
      <c r="D1701" s="8"/>
      <c r="E1701" s="8"/>
      <c r="F1701" s="8"/>
      <c r="G1701" s="13"/>
    </row>
    <row r="1702" spans="1:7" x14ac:dyDescent="0.3">
      <c r="A1702" s="11"/>
      <c r="B1702" s="8"/>
      <c r="C1702" s="7" t="str">
        <f>IF(B1702="","",IFERROR(INDEX(Vidriería!$C$2:$C$301,MATCH(B1702,Vidriería!$A$2:$A$301,0))&amp;" "&amp;INDEX(Vidriería!$D$2:$D$301,MATCH(B1702,Vidriería!$A$2:$A$301,0)),"ID no existe"))</f>
        <v/>
      </c>
      <c r="D1702" s="8"/>
      <c r="E1702" s="8"/>
      <c r="F1702" s="8"/>
      <c r="G1702" s="13"/>
    </row>
    <row r="1703" spans="1:7" x14ac:dyDescent="0.3">
      <c r="A1703" s="11"/>
      <c r="B1703" s="8"/>
      <c r="C1703" s="7" t="str">
        <f>IF(B1703="","",IFERROR(INDEX(Vidriería!$C$2:$C$301,MATCH(B1703,Vidriería!$A$2:$A$301,0))&amp;" "&amp;INDEX(Vidriería!$D$2:$D$301,MATCH(B1703,Vidriería!$A$2:$A$301,0)),"ID no existe"))</f>
        <v/>
      </c>
      <c r="D1703" s="8"/>
      <c r="E1703" s="8"/>
      <c r="F1703" s="8"/>
      <c r="G1703" s="13"/>
    </row>
    <row r="1704" spans="1:7" x14ac:dyDescent="0.3">
      <c r="A1704" s="11"/>
      <c r="B1704" s="8"/>
      <c r="C1704" s="7" t="str">
        <f>IF(B1704="","",IFERROR(INDEX(Vidriería!$C$2:$C$301,MATCH(B1704,Vidriería!$A$2:$A$301,0))&amp;" "&amp;INDEX(Vidriería!$D$2:$D$301,MATCH(B1704,Vidriería!$A$2:$A$301,0)),"ID no existe"))</f>
        <v/>
      </c>
      <c r="D1704" s="8"/>
      <c r="E1704" s="8"/>
      <c r="F1704" s="8"/>
      <c r="G1704" s="13"/>
    </row>
    <row r="1705" spans="1:7" x14ac:dyDescent="0.3">
      <c r="A1705" s="11"/>
      <c r="B1705" s="8"/>
      <c r="C1705" s="7" t="str">
        <f>IF(B1705="","",IFERROR(INDEX(Vidriería!$C$2:$C$301,MATCH(B1705,Vidriería!$A$2:$A$301,0))&amp;" "&amp;INDEX(Vidriería!$D$2:$D$301,MATCH(B1705,Vidriería!$A$2:$A$301,0)),"ID no existe"))</f>
        <v/>
      </c>
      <c r="D1705" s="8"/>
      <c r="E1705" s="8"/>
      <c r="F1705" s="8"/>
      <c r="G1705" s="13"/>
    </row>
    <row r="1706" spans="1:7" x14ac:dyDescent="0.3">
      <c r="A1706" s="11"/>
      <c r="B1706" s="8"/>
      <c r="C1706" s="7" t="str">
        <f>IF(B1706="","",IFERROR(INDEX(Vidriería!$C$2:$C$301,MATCH(B1706,Vidriería!$A$2:$A$301,0))&amp;" "&amp;INDEX(Vidriería!$D$2:$D$301,MATCH(B1706,Vidriería!$A$2:$A$301,0)),"ID no existe"))</f>
        <v/>
      </c>
      <c r="D1706" s="8"/>
      <c r="E1706" s="8"/>
      <c r="F1706" s="8"/>
      <c r="G1706" s="13"/>
    </row>
    <row r="1707" spans="1:7" x14ac:dyDescent="0.3">
      <c r="A1707" s="11"/>
      <c r="B1707" s="8"/>
      <c r="C1707" s="7" t="str">
        <f>IF(B1707="","",IFERROR(INDEX(Vidriería!$C$2:$C$301,MATCH(B1707,Vidriería!$A$2:$A$301,0))&amp;" "&amp;INDEX(Vidriería!$D$2:$D$301,MATCH(B1707,Vidriería!$A$2:$A$301,0)),"ID no existe"))</f>
        <v/>
      </c>
      <c r="D1707" s="8"/>
      <c r="E1707" s="8"/>
      <c r="F1707" s="8"/>
      <c r="G1707" s="13"/>
    </row>
    <row r="1708" spans="1:7" x14ac:dyDescent="0.3">
      <c r="A1708" s="11"/>
      <c r="B1708" s="8"/>
      <c r="C1708" s="7" t="str">
        <f>IF(B1708="","",IFERROR(INDEX(Vidriería!$C$2:$C$301,MATCH(B1708,Vidriería!$A$2:$A$301,0))&amp;" "&amp;INDEX(Vidriería!$D$2:$D$301,MATCH(B1708,Vidriería!$A$2:$A$301,0)),"ID no existe"))</f>
        <v/>
      </c>
      <c r="D1708" s="8"/>
      <c r="E1708" s="8"/>
      <c r="F1708" s="8"/>
      <c r="G1708" s="13"/>
    </row>
    <row r="1709" spans="1:7" x14ac:dyDescent="0.3">
      <c r="A1709" s="11"/>
      <c r="B1709" s="8"/>
      <c r="C1709" s="7" t="str">
        <f>IF(B1709="","",IFERROR(INDEX(Vidriería!$C$2:$C$301,MATCH(B1709,Vidriería!$A$2:$A$301,0))&amp;" "&amp;INDEX(Vidriería!$D$2:$D$301,MATCH(B1709,Vidriería!$A$2:$A$301,0)),"ID no existe"))</f>
        <v/>
      </c>
      <c r="D1709" s="8"/>
      <c r="E1709" s="8"/>
      <c r="F1709" s="8"/>
      <c r="G1709" s="13"/>
    </row>
    <row r="1710" spans="1:7" x14ac:dyDescent="0.3">
      <c r="A1710" s="11"/>
      <c r="B1710" s="8"/>
      <c r="C1710" s="7" t="str">
        <f>IF(B1710="","",IFERROR(INDEX(Vidriería!$C$2:$C$301,MATCH(B1710,Vidriería!$A$2:$A$301,0))&amp;" "&amp;INDEX(Vidriería!$D$2:$D$301,MATCH(B1710,Vidriería!$A$2:$A$301,0)),"ID no existe"))</f>
        <v/>
      </c>
      <c r="D1710" s="8"/>
      <c r="E1710" s="8"/>
      <c r="F1710" s="8"/>
      <c r="G1710" s="13"/>
    </row>
    <row r="1711" spans="1:7" x14ac:dyDescent="0.3">
      <c r="A1711" s="11"/>
      <c r="B1711" s="8"/>
      <c r="C1711" s="7" t="str">
        <f>IF(B1711="","",IFERROR(INDEX(Vidriería!$C$2:$C$301,MATCH(B1711,Vidriería!$A$2:$A$301,0))&amp;" "&amp;INDEX(Vidriería!$D$2:$D$301,MATCH(B1711,Vidriería!$A$2:$A$301,0)),"ID no existe"))</f>
        <v/>
      </c>
      <c r="D1711" s="8"/>
      <c r="E1711" s="8"/>
      <c r="F1711" s="8"/>
      <c r="G1711" s="13"/>
    </row>
    <row r="1712" spans="1:7" x14ac:dyDescent="0.3">
      <c r="A1712" s="11"/>
      <c r="B1712" s="8"/>
      <c r="C1712" s="7" t="str">
        <f>IF(B1712="","",IFERROR(INDEX(Vidriería!$C$2:$C$301,MATCH(B1712,Vidriería!$A$2:$A$301,0))&amp;" "&amp;INDEX(Vidriería!$D$2:$D$301,MATCH(B1712,Vidriería!$A$2:$A$301,0)),"ID no existe"))</f>
        <v/>
      </c>
      <c r="D1712" s="8"/>
      <c r="E1712" s="8"/>
      <c r="F1712" s="8"/>
      <c r="G1712" s="13"/>
    </row>
    <row r="1713" spans="1:7" x14ac:dyDescent="0.3">
      <c r="A1713" s="11"/>
      <c r="B1713" s="8"/>
      <c r="C1713" s="7" t="str">
        <f>IF(B1713="","",IFERROR(INDEX(Vidriería!$C$2:$C$301,MATCH(B1713,Vidriería!$A$2:$A$301,0))&amp;" "&amp;INDEX(Vidriería!$D$2:$D$301,MATCH(B1713,Vidriería!$A$2:$A$301,0)),"ID no existe"))</f>
        <v/>
      </c>
      <c r="D1713" s="8"/>
      <c r="E1713" s="8"/>
      <c r="F1713" s="8"/>
      <c r="G1713" s="13"/>
    </row>
    <row r="1714" spans="1:7" x14ac:dyDescent="0.3">
      <c r="A1714" s="11"/>
      <c r="B1714" s="8"/>
      <c r="C1714" s="7" t="str">
        <f>IF(B1714="","",IFERROR(INDEX(Vidriería!$C$2:$C$301,MATCH(B1714,Vidriería!$A$2:$A$301,0))&amp;" "&amp;INDEX(Vidriería!$D$2:$D$301,MATCH(B1714,Vidriería!$A$2:$A$301,0)),"ID no existe"))</f>
        <v/>
      </c>
      <c r="D1714" s="8"/>
      <c r="E1714" s="8"/>
      <c r="F1714" s="8"/>
      <c r="G1714" s="13"/>
    </row>
    <row r="1715" spans="1:7" x14ac:dyDescent="0.3">
      <c r="A1715" s="11"/>
      <c r="B1715" s="8"/>
      <c r="C1715" s="7" t="str">
        <f>IF(B1715="","",IFERROR(INDEX(Vidriería!$C$2:$C$301,MATCH(B1715,Vidriería!$A$2:$A$301,0))&amp;" "&amp;INDEX(Vidriería!$D$2:$D$301,MATCH(B1715,Vidriería!$A$2:$A$301,0)),"ID no existe"))</f>
        <v/>
      </c>
      <c r="D1715" s="8"/>
      <c r="E1715" s="8"/>
      <c r="F1715" s="8"/>
      <c r="G1715" s="13"/>
    </row>
    <row r="1716" spans="1:7" x14ac:dyDescent="0.3">
      <c r="A1716" s="11"/>
      <c r="B1716" s="8"/>
      <c r="C1716" s="7" t="str">
        <f>IF(B1716="","",IFERROR(INDEX(Vidriería!$C$2:$C$301,MATCH(B1716,Vidriería!$A$2:$A$301,0))&amp;" "&amp;INDEX(Vidriería!$D$2:$D$301,MATCH(B1716,Vidriería!$A$2:$A$301,0)),"ID no existe"))</f>
        <v/>
      </c>
      <c r="D1716" s="8"/>
      <c r="E1716" s="8"/>
      <c r="F1716" s="8"/>
      <c r="G1716" s="13"/>
    </row>
    <row r="1717" spans="1:7" x14ac:dyDescent="0.3">
      <c r="A1717" s="11"/>
      <c r="B1717" s="8"/>
      <c r="C1717" s="7" t="str">
        <f>IF(B1717="","",IFERROR(INDEX(Vidriería!$C$2:$C$301,MATCH(B1717,Vidriería!$A$2:$A$301,0))&amp;" "&amp;INDEX(Vidriería!$D$2:$D$301,MATCH(B1717,Vidriería!$A$2:$A$301,0)),"ID no existe"))</f>
        <v/>
      </c>
      <c r="D1717" s="8"/>
      <c r="E1717" s="8"/>
      <c r="F1717" s="8"/>
      <c r="G1717" s="13"/>
    </row>
    <row r="1718" spans="1:7" x14ac:dyDescent="0.3">
      <c r="A1718" s="11"/>
      <c r="B1718" s="8"/>
      <c r="C1718" s="7" t="str">
        <f>IF(B1718="","",IFERROR(INDEX(Vidriería!$C$2:$C$301,MATCH(B1718,Vidriería!$A$2:$A$301,0))&amp;" "&amp;INDEX(Vidriería!$D$2:$D$301,MATCH(B1718,Vidriería!$A$2:$A$301,0)),"ID no existe"))</f>
        <v/>
      </c>
      <c r="D1718" s="8"/>
      <c r="E1718" s="8"/>
      <c r="F1718" s="8"/>
      <c r="G1718" s="13"/>
    </row>
    <row r="1719" spans="1:7" x14ac:dyDescent="0.3">
      <c r="A1719" s="11"/>
      <c r="B1719" s="8"/>
      <c r="C1719" s="7" t="str">
        <f>IF(B1719="","",IFERROR(INDEX(Vidriería!$C$2:$C$301,MATCH(B1719,Vidriería!$A$2:$A$301,0))&amp;" "&amp;INDEX(Vidriería!$D$2:$D$301,MATCH(B1719,Vidriería!$A$2:$A$301,0)),"ID no existe"))</f>
        <v/>
      </c>
      <c r="D1719" s="8"/>
      <c r="E1719" s="8"/>
      <c r="F1719" s="8"/>
      <c r="G1719" s="13"/>
    </row>
    <row r="1720" spans="1:7" x14ac:dyDescent="0.3">
      <c r="A1720" s="11"/>
      <c r="B1720" s="8"/>
      <c r="C1720" s="7" t="str">
        <f>IF(B1720="","",IFERROR(INDEX(Vidriería!$C$2:$C$301,MATCH(B1720,Vidriería!$A$2:$A$301,0))&amp;" "&amp;INDEX(Vidriería!$D$2:$D$301,MATCH(B1720,Vidriería!$A$2:$A$301,0)),"ID no existe"))</f>
        <v/>
      </c>
      <c r="D1720" s="8"/>
      <c r="E1720" s="8"/>
      <c r="F1720" s="8"/>
      <c r="G1720" s="13"/>
    </row>
    <row r="1721" spans="1:7" x14ac:dyDescent="0.3">
      <c r="A1721" s="11"/>
      <c r="B1721" s="8"/>
      <c r="C1721" s="7" t="str">
        <f>IF(B1721="","",IFERROR(INDEX(Vidriería!$C$2:$C$301,MATCH(B1721,Vidriería!$A$2:$A$301,0))&amp;" "&amp;INDEX(Vidriería!$D$2:$D$301,MATCH(B1721,Vidriería!$A$2:$A$301,0)),"ID no existe"))</f>
        <v/>
      </c>
      <c r="D1721" s="8"/>
      <c r="E1721" s="8"/>
      <c r="F1721" s="8"/>
      <c r="G1721" s="13"/>
    </row>
    <row r="1722" spans="1:7" x14ac:dyDescent="0.3">
      <c r="A1722" s="11"/>
      <c r="B1722" s="8"/>
      <c r="C1722" s="7" t="str">
        <f>IF(B1722="","",IFERROR(INDEX(Vidriería!$C$2:$C$301,MATCH(B1722,Vidriería!$A$2:$A$301,0))&amp;" "&amp;INDEX(Vidriería!$D$2:$D$301,MATCH(B1722,Vidriería!$A$2:$A$301,0)),"ID no existe"))</f>
        <v/>
      </c>
      <c r="D1722" s="8"/>
      <c r="E1722" s="8"/>
      <c r="F1722" s="8"/>
      <c r="G1722" s="13"/>
    </row>
    <row r="1723" spans="1:7" x14ac:dyDescent="0.3">
      <c r="A1723" s="11"/>
      <c r="B1723" s="8"/>
      <c r="C1723" s="7" t="str">
        <f>IF(B1723="","",IFERROR(INDEX(Vidriería!$C$2:$C$301,MATCH(B1723,Vidriería!$A$2:$A$301,0))&amp;" "&amp;INDEX(Vidriería!$D$2:$D$301,MATCH(B1723,Vidriería!$A$2:$A$301,0)),"ID no existe"))</f>
        <v/>
      </c>
      <c r="D1723" s="8"/>
      <c r="E1723" s="8"/>
      <c r="F1723" s="8"/>
      <c r="G1723" s="13"/>
    </row>
    <row r="1724" spans="1:7" x14ac:dyDescent="0.3">
      <c r="A1724" s="11"/>
      <c r="B1724" s="8"/>
      <c r="C1724" s="7" t="str">
        <f>IF(B1724="","",IFERROR(INDEX(Vidriería!$C$2:$C$301,MATCH(B1724,Vidriería!$A$2:$A$301,0))&amp;" "&amp;INDEX(Vidriería!$D$2:$D$301,MATCH(B1724,Vidriería!$A$2:$A$301,0)),"ID no existe"))</f>
        <v/>
      </c>
      <c r="D1724" s="8"/>
      <c r="E1724" s="8"/>
      <c r="F1724" s="8"/>
      <c r="G1724" s="13"/>
    </row>
    <row r="1725" spans="1:7" x14ac:dyDescent="0.3">
      <c r="A1725" s="11"/>
      <c r="B1725" s="8"/>
      <c r="C1725" s="7" t="str">
        <f>IF(B1725="","",IFERROR(INDEX(Vidriería!$C$2:$C$301,MATCH(B1725,Vidriería!$A$2:$A$301,0))&amp;" "&amp;INDEX(Vidriería!$D$2:$D$301,MATCH(B1725,Vidriería!$A$2:$A$301,0)),"ID no existe"))</f>
        <v/>
      </c>
      <c r="D1725" s="8"/>
      <c r="E1725" s="8"/>
      <c r="F1725" s="8"/>
      <c r="G1725" s="13"/>
    </row>
    <row r="1726" spans="1:7" x14ac:dyDescent="0.3">
      <c r="A1726" s="11"/>
      <c r="B1726" s="8"/>
      <c r="C1726" s="7" t="str">
        <f>IF(B1726="","",IFERROR(INDEX(Vidriería!$C$2:$C$301,MATCH(B1726,Vidriería!$A$2:$A$301,0))&amp;" "&amp;INDEX(Vidriería!$D$2:$D$301,MATCH(B1726,Vidriería!$A$2:$A$301,0)),"ID no existe"))</f>
        <v/>
      </c>
      <c r="D1726" s="8"/>
      <c r="E1726" s="8"/>
      <c r="F1726" s="8"/>
      <c r="G1726" s="13"/>
    </row>
    <row r="1727" spans="1:7" x14ac:dyDescent="0.3">
      <c r="A1727" s="11"/>
      <c r="B1727" s="8"/>
      <c r="C1727" s="7" t="str">
        <f>IF(B1727="","",IFERROR(INDEX(Vidriería!$C$2:$C$301,MATCH(B1727,Vidriería!$A$2:$A$301,0))&amp;" "&amp;INDEX(Vidriería!$D$2:$D$301,MATCH(B1727,Vidriería!$A$2:$A$301,0)),"ID no existe"))</f>
        <v/>
      </c>
      <c r="D1727" s="8"/>
      <c r="E1727" s="8"/>
      <c r="F1727" s="8"/>
      <c r="G1727" s="13"/>
    </row>
    <row r="1728" spans="1:7" x14ac:dyDescent="0.3">
      <c r="A1728" s="11"/>
      <c r="B1728" s="8"/>
      <c r="C1728" s="7" t="str">
        <f>IF(B1728="","",IFERROR(INDEX(Vidriería!$C$2:$C$301,MATCH(B1728,Vidriería!$A$2:$A$301,0))&amp;" "&amp;INDEX(Vidriería!$D$2:$D$301,MATCH(B1728,Vidriería!$A$2:$A$301,0)),"ID no existe"))</f>
        <v/>
      </c>
      <c r="D1728" s="8"/>
      <c r="E1728" s="8"/>
      <c r="F1728" s="8"/>
      <c r="G1728" s="13"/>
    </row>
    <row r="1729" spans="1:7" x14ac:dyDescent="0.3">
      <c r="A1729" s="11"/>
      <c r="B1729" s="8"/>
      <c r="C1729" s="7" t="str">
        <f>IF(B1729="","",IFERROR(INDEX(Vidriería!$C$2:$C$301,MATCH(B1729,Vidriería!$A$2:$A$301,0))&amp;" "&amp;INDEX(Vidriería!$D$2:$D$301,MATCH(B1729,Vidriería!$A$2:$A$301,0)),"ID no existe"))</f>
        <v/>
      </c>
      <c r="D1729" s="8"/>
      <c r="E1729" s="8"/>
      <c r="F1729" s="8"/>
      <c r="G1729" s="13"/>
    </row>
    <row r="1730" spans="1:7" x14ac:dyDescent="0.3">
      <c r="A1730" s="11"/>
      <c r="B1730" s="8"/>
      <c r="C1730" s="7" t="str">
        <f>IF(B1730="","",IFERROR(INDEX(Vidriería!$C$2:$C$301,MATCH(B1730,Vidriería!$A$2:$A$301,0))&amp;" "&amp;INDEX(Vidriería!$D$2:$D$301,MATCH(B1730,Vidriería!$A$2:$A$301,0)),"ID no existe"))</f>
        <v/>
      </c>
      <c r="D1730" s="8"/>
      <c r="E1730" s="8"/>
      <c r="F1730" s="8"/>
      <c r="G1730" s="13"/>
    </row>
    <row r="1731" spans="1:7" x14ac:dyDescent="0.3">
      <c r="A1731" s="11"/>
      <c r="B1731" s="8"/>
      <c r="C1731" s="7" t="str">
        <f>IF(B1731="","",IFERROR(INDEX(Vidriería!$C$2:$C$301,MATCH(B1731,Vidriería!$A$2:$A$301,0))&amp;" "&amp;INDEX(Vidriería!$D$2:$D$301,MATCH(B1731,Vidriería!$A$2:$A$301,0)),"ID no existe"))</f>
        <v/>
      </c>
      <c r="D1731" s="8"/>
      <c r="E1731" s="8"/>
      <c r="F1731" s="8"/>
      <c r="G1731" s="13"/>
    </row>
    <row r="1732" spans="1:7" x14ac:dyDescent="0.3">
      <c r="A1732" s="11"/>
      <c r="B1732" s="8"/>
      <c r="C1732" s="7" t="str">
        <f>IF(B1732="","",IFERROR(INDEX(Vidriería!$C$2:$C$301,MATCH(B1732,Vidriería!$A$2:$A$301,0))&amp;" "&amp;INDEX(Vidriería!$D$2:$D$301,MATCH(B1732,Vidriería!$A$2:$A$301,0)),"ID no existe"))</f>
        <v/>
      </c>
      <c r="D1732" s="8"/>
      <c r="E1732" s="8"/>
      <c r="F1732" s="8"/>
      <c r="G1732" s="13"/>
    </row>
    <row r="1733" spans="1:7" x14ac:dyDescent="0.3">
      <c r="A1733" s="11"/>
      <c r="B1733" s="8"/>
      <c r="C1733" s="7" t="str">
        <f>IF(B1733="","",IFERROR(INDEX(Vidriería!$C$2:$C$301,MATCH(B1733,Vidriería!$A$2:$A$301,0))&amp;" "&amp;INDEX(Vidriería!$D$2:$D$301,MATCH(B1733,Vidriería!$A$2:$A$301,0)),"ID no existe"))</f>
        <v/>
      </c>
      <c r="D1733" s="8"/>
      <c r="E1733" s="8"/>
      <c r="F1733" s="8"/>
      <c r="G1733" s="13"/>
    </row>
    <row r="1734" spans="1:7" x14ac:dyDescent="0.3">
      <c r="A1734" s="11"/>
      <c r="B1734" s="8"/>
      <c r="C1734" s="7" t="str">
        <f>IF(B1734="","",IFERROR(INDEX(Vidriería!$C$2:$C$301,MATCH(B1734,Vidriería!$A$2:$A$301,0))&amp;" "&amp;INDEX(Vidriería!$D$2:$D$301,MATCH(B1734,Vidriería!$A$2:$A$301,0)),"ID no existe"))</f>
        <v/>
      </c>
      <c r="D1734" s="8"/>
      <c r="E1734" s="8"/>
      <c r="F1734" s="8"/>
      <c r="G1734" s="13"/>
    </row>
    <row r="1735" spans="1:7" x14ac:dyDescent="0.3">
      <c r="A1735" s="11"/>
      <c r="B1735" s="8"/>
      <c r="C1735" s="7" t="str">
        <f>IF(B1735="","",IFERROR(INDEX(Vidriería!$C$2:$C$301,MATCH(B1735,Vidriería!$A$2:$A$301,0))&amp;" "&amp;INDEX(Vidriería!$D$2:$D$301,MATCH(B1735,Vidriería!$A$2:$A$301,0)),"ID no existe"))</f>
        <v/>
      </c>
      <c r="D1735" s="8"/>
      <c r="E1735" s="8"/>
      <c r="F1735" s="8"/>
      <c r="G1735" s="13"/>
    </row>
    <row r="1736" spans="1:7" x14ac:dyDescent="0.3">
      <c r="A1736" s="11"/>
      <c r="B1736" s="8"/>
      <c r="C1736" s="7" t="str">
        <f>IF(B1736="","",IFERROR(INDEX(Vidriería!$C$2:$C$301,MATCH(B1736,Vidriería!$A$2:$A$301,0))&amp;" "&amp;INDEX(Vidriería!$D$2:$D$301,MATCH(B1736,Vidriería!$A$2:$A$301,0)),"ID no existe"))</f>
        <v/>
      </c>
      <c r="D1736" s="8"/>
      <c r="E1736" s="8"/>
      <c r="F1736" s="8"/>
      <c r="G1736" s="13"/>
    </row>
    <row r="1737" spans="1:7" x14ac:dyDescent="0.3">
      <c r="A1737" s="11"/>
      <c r="B1737" s="8"/>
      <c r="C1737" s="7" t="str">
        <f>IF(B1737="","",IFERROR(INDEX(Vidriería!$C$2:$C$301,MATCH(B1737,Vidriería!$A$2:$A$301,0))&amp;" "&amp;INDEX(Vidriería!$D$2:$D$301,MATCH(B1737,Vidriería!$A$2:$A$301,0)),"ID no existe"))</f>
        <v/>
      </c>
      <c r="D1737" s="8"/>
      <c r="E1737" s="8"/>
      <c r="F1737" s="8"/>
      <c r="G1737" s="13"/>
    </row>
    <row r="1738" spans="1:7" x14ac:dyDescent="0.3">
      <c r="A1738" s="11"/>
      <c r="B1738" s="8"/>
      <c r="C1738" s="7" t="str">
        <f>IF(B1738="","",IFERROR(INDEX(Vidriería!$C$2:$C$301,MATCH(B1738,Vidriería!$A$2:$A$301,0))&amp;" "&amp;INDEX(Vidriería!$D$2:$D$301,MATCH(B1738,Vidriería!$A$2:$A$301,0)),"ID no existe"))</f>
        <v/>
      </c>
      <c r="D1738" s="8"/>
      <c r="E1738" s="8"/>
      <c r="F1738" s="8"/>
      <c r="G1738" s="13"/>
    </row>
    <row r="1739" spans="1:7" x14ac:dyDescent="0.3">
      <c r="A1739" s="11"/>
      <c r="B1739" s="8"/>
      <c r="C1739" s="7" t="str">
        <f>IF(B1739="","",IFERROR(INDEX(Vidriería!$C$2:$C$301,MATCH(B1739,Vidriería!$A$2:$A$301,0))&amp;" "&amp;INDEX(Vidriería!$D$2:$D$301,MATCH(B1739,Vidriería!$A$2:$A$301,0)),"ID no existe"))</f>
        <v/>
      </c>
      <c r="D1739" s="8"/>
      <c r="E1739" s="8"/>
      <c r="F1739" s="8"/>
      <c r="G1739" s="13"/>
    </row>
    <row r="1740" spans="1:7" x14ac:dyDescent="0.3">
      <c r="A1740" s="11"/>
      <c r="B1740" s="8"/>
      <c r="C1740" s="7" t="str">
        <f>IF(B1740="","",IFERROR(INDEX(Vidriería!$C$2:$C$301,MATCH(B1740,Vidriería!$A$2:$A$301,0))&amp;" "&amp;INDEX(Vidriería!$D$2:$D$301,MATCH(B1740,Vidriería!$A$2:$A$301,0)),"ID no existe"))</f>
        <v/>
      </c>
      <c r="D1740" s="8"/>
      <c r="E1740" s="8"/>
      <c r="F1740" s="8"/>
      <c r="G1740" s="13"/>
    </row>
    <row r="1741" spans="1:7" x14ac:dyDescent="0.3">
      <c r="A1741" s="11"/>
      <c r="B1741" s="8"/>
      <c r="C1741" s="7" t="str">
        <f>IF(B1741="","",IFERROR(INDEX(Vidriería!$C$2:$C$301,MATCH(B1741,Vidriería!$A$2:$A$301,0))&amp;" "&amp;INDEX(Vidriería!$D$2:$D$301,MATCH(B1741,Vidriería!$A$2:$A$301,0)),"ID no existe"))</f>
        <v/>
      </c>
      <c r="D1741" s="8"/>
      <c r="E1741" s="8"/>
      <c r="F1741" s="8"/>
      <c r="G1741" s="13"/>
    </row>
    <row r="1742" spans="1:7" x14ac:dyDescent="0.3">
      <c r="A1742" s="11"/>
      <c r="B1742" s="8"/>
      <c r="C1742" s="7" t="str">
        <f>IF(B1742="","",IFERROR(INDEX(Vidriería!$C$2:$C$301,MATCH(B1742,Vidriería!$A$2:$A$301,0))&amp;" "&amp;INDEX(Vidriería!$D$2:$D$301,MATCH(B1742,Vidriería!$A$2:$A$301,0)),"ID no existe"))</f>
        <v/>
      </c>
      <c r="D1742" s="8"/>
      <c r="E1742" s="8"/>
      <c r="F1742" s="8"/>
      <c r="G1742" s="13"/>
    </row>
    <row r="1743" spans="1:7" x14ac:dyDescent="0.3">
      <c r="A1743" s="11"/>
      <c r="B1743" s="8"/>
      <c r="C1743" s="7" t="str">
        <f>IF(B1743="","",IFERROR(INDEX(Vidriería!$C$2:$C$301,MATCH(B1743,Vidriería!$A$2:$A$301,0))&amp;" "&amp;INDEX(Vidriería!$D$2:$D$301,MATCH(B1743,Vidriería!$A$2:$A$301,0)),"ID no existe"))</f>
        <v/>
      </c>
      <c r="D1743" s="8"/>
      <c r="E1743" s="8"/>
      <c r="F1743" s="8"/>
      <c r="G1743" s="13"/>
    </row>
    <row r="1744" spans="1:7" x14ac:dyDescent="0.3">
      <c r="A1744" s="11"/>
      <c r="B1744" s="8"/>
      <c r="C1744" s="7" t="str">
        <f>IF(B1744="","",IFERROR(INDEX(Vidriería!$C$2:$C$301,MATCH(B1744,Vidriería!$A$2:$A$301,0))&amp;" "&amp;INDEX(Vidriería!$D$2:$D$301,MATCH(B1744,Vidriería!$A$2:$A$301,0)),"ID no existe"))</f>
        <v/>
      </c>
      <c r="D1744" s="8"/>
      <c r="E1744" s="8"/>
      <c r="F1744" s="8"/>
      <c r="G1744" s="13"/>
    </row>
    <row r="1745" spans="1:7" x14ac:dyDescent="0.3">
      <c r="A1745" s="11"/>
      <c r="B1745" s="8"/>
      <c r="C1745" s="7" t="str">
        <f>IF(B1745="","",IFERROR(INDEX(Vidriería!$C$2:$C$301,MATCH(B1745,Vidriería!$A$2:$A$301,0))&amp;" "&amp;INDEX(Vidriería!$D$2:$D$301,MATCH(B1745,Vidriería!$A$2:$A$301,0)),"ID no existe"))</f>
        <v/>
      </c>
      <c r="D1745" s="8"/>
      <c r="E1745" s="8"/>
      <c r="F1745" s="8"/>
      <c r="G1745" s="13"/>
    </row>
    <row r="1746" spans="1:7" x14ac:dyDescent="0.3">
      <c r="A1746" s="11"/>
      <c r="B1746" s="8"/>
      <c r="C1746" s="7" t="str">
        <f>IF(B1746="","",IFERROR(INDEX(Vidriería!$C$2:$C$301,MATCH(B1746,Vidriería!$A$2:$A$301,0))&amp;" "&amp;INDEX(Vidriería!$D$2:$D$301,MATCH(B1746,Vidriería!$A$2:$A$301,0)),"ID no existe"))</f>
        <v/>
      </c>
      <c r="D1746" s="8"/>
      <c r="E1746" s="8"/>
      <c r="F1746" s="8"/>
      <c r="G1746" s="13"/>
    </row>
    <row r="1747" spans="1:7" x14ac:dyDescent="0.3">
      <c r="A1747" s="11"/>
      <c r="B1747" s="8"/>
      <c r="C1747" s="7" t="str">
        <f>IF(B1747="","",IFERROR(INDEX(Vidriería!$C$2:$C$301,MATCH(B1747,Vidriería!$A$2:$A$301,0))&amp;" "&amp;INDEX(Vidriería!$D$2:$D$301,MATCH(B1747,Vidriería!$A$2:$A$301,0)),"ID no existe"))</f>
        <v/>
      </c>
      <c r="D1747" s="8"/>
      <c r="E1747" s="8"/>
      <c r="F1747" s="8"/>
      <c r="G1747" s="13"/>
    </row>
    <row r="1748" spans="1:7" x14ac:dyDescent="0.3">
      <c r="A1748" s="11"/>
      <c r="B1748" s="8"/>
      <c r="C1748" s="7" t="str">
        <f>IF(B1748="","",IFERROR(INDEX(Vidriería!$C$2:$C$301,MATCH(B1748,Vidriería!$A$2:$A$301,0))&amp;" "&amp;INDEX(Vidriería!$D$2:$D$301,MATCH(B1748,Vidriería!$A$2:$A$301,0)),"ID no existe"))</f>
        <v/>
      </c>
      <c r="D1748" s="8"/>
      <c r="E1748" s="8"/>
      <c r="F1748" s="8"/>
      <c r="G1748" s="13"/>
    </row>
    <row r="1749" spans="1:7" x14ac:dyDescent="0.3">
      <c r="A1749" s="11"/>
      <c r="B1749" s="8"/>
      <c r="C1749" s="7" t="str">
        <f>IF(B1749="","",IFERROR(INDEX(Vidriería!$C$2:$C$301,MATCH(B1749,Vidriería!$A$2:$A$301,0))&amp;" "&amp;INDEX(Vidriería!$D$2:$D$301,MATCH(B1749,Vidriería!$A$2:$A$301,0)),"ID no existe"))</f>
        <v/>
      </c>
      <c r="D1749" s="8"/>
      <c r="E1749" s="8"/>
      <c r="F1749" s="8"/>
      <c r="G1749" s="13"/>
    </row>
    <row r="1750" spans="1:7" x14ac:dyDescent="0.3">
      <c r="A1750" s="11"/>
      <c r="B1750" s="8"/>
      <c r="C1750" s="7" t="str">
        <f>IF(B1750="","",IFERROR(INDEX(Vidriería!$C$2:$C$301,MATCH(B1750,Vidriería!$A$2:$A$301,0))&amp;" "&amp;INDEX(Vidriería!$D$2:$D$301,MATCH(B1750,Vidriería!$A$2:$A$301,0)),"ID no existe"))</f>
        <v/>
      </c>
      <c r="D1750" s="8"/>
      <c r="E1750" s="8"/>
      <c r="F1750" s="8"/>
      <c r="G1750" s="13"/>
    </row>
    <row r="1751" spans="1:7" x14ac:dyDescent="0.3">
      <c r="A1751" s="11"/>
      <c r="B1751" s="8"/>
      <c r="C1751" s="7" t="str">
        <f>IF(B1751="","",IFERROR(INDEX(Vidriería!$C$2:$C$301,MATCH(B1751,Vidriería!$A$2:$A$301,0))&amp;" "&amp;INDEX(Vidriería!$D$2:$D$301,MATCH(B1751,Vidriería!$A$2:$A$301,0)),"ID no existe"))</f>
        <v/>
      </c>
      <c r="D1751" s="8"/>
      <c r="E1751" s="8"/>
      <c r="F1751" s="8"/>
      <c r="G1751" s="13"/>
    </row>
    <row r="1752" spans="1:7" x14ac:dyDescent="0.3">
      <c r="A1752" s="11"/>
      <c r="B1752" s="8"/>
      <c r="C1752" s="7" t="str">
        <f>IF(B1752="","",IFERROR(INDEX(Vidriería!$C$2:$C$301,MATCH(B1752,Vidriería!$A$2:$A$301,0))&amp;" "&amp;INDEX(Vidriería!$D$2:$D$301,MATCH(B1752,Vidriería!$A$2:$A$301,0)),"ID no existe"))</f>
        <v/>
      </c>
      <c r="D1752" s="8"/>
      <c r="E1752" s="8"/>
      <c r="F1752" s="8"/>
      <c r="G1752" s="13"/>
    </row>
    <row r="1753" spans="1:7" x14ac:dyDescent="0.3">
      <c r="A1753" s="11"/>
      <c r="B1753" s="8"/>
      <c r="C1753" s="7" t="str">
        <f>IF(B1753="","",IFERROR(INDEX(Vidriería!$C$2:$C$301,MATCH(B1753,Vidriería!$A$2:$A$301,0))&amp;" "&amp;INDEX(Vidriería!$D$2:$D$301,MATCH(B1753,Vidriería!$A$2:$A$301,0)),"ID no existe"))</f>
        <v/>
      </c>
      <c r="D1753" s="8"/>
      <c r="E1753" s="8"/>
      <c r="F1753" s="8"/>
      <c r="G1753" s="13"/>
    </row>
    <row r="1754" spans="1:7" x14ac:dyDescent="0.3">
      <c r="A1754" s="11"/>
      <c r="B1754" s="8"/>
      <c r="C1754" s="7" t="str">
        <f>IF(B1754="","",IFERROR(INDEX(Vidriería!$C$2:$C$301,MATCH(B1754,Vidriería!$A$2:$A$301,0))&amp;" "&amp;INDEX(Vidriería!$D$2:$D$301,MATCH(B1754,Vidriería!$A$2:$A$301,0)),"ID no existe"))</f>
        <v/>
      </c>
      <c r="D1754" s="8"/>
      <c r="E1754" s="8"/>
      <c r="F1754" s="8"/>
      <c r="G1754" s="13"/>
    </row>
    <row r="1755" spans="1:7" x14ac:dyDescent="0.3">
      <c r="A1755" s="11"/>
      <c r="B1755" s="8"/>
      <c r="C1755" s="7" t="str">
        <f>IF(B1755="","",IFERROR(INDEX(Vidriería!$C$2:$C$301,MATCH(B1755,Vidriería!$A$2:$A$301,0))&amp;" "&amp;INDEX(Vidriería!$D$2:$D$301,MATCH(B1755,Vidriería!$A$2:$A$301,0)),"ID no existe"))</f>
        <v/>
      </c>
      <c r="D1755" s="8"/>
      <c r="E1755" s="8"/>
      <c r="F1755" s="8"/>
      <c r="G1755" s="13"/>
    </row>
    <row r="1756" spans="1:7" x14ac:dyDescent="0.3">
      <c r="A1756" s="11"/>
      <c r="B1756" s="8"/>
      <c r="C1756" s="7" t="str">
        <f>IF(B1756="","",IFERROR(INDEX(Vidriería!$C$2:$C$301,MATCH(B1756,Vidriería!$A$2:$A$301,0))&amp;" "&amp;INDEX(Vidriería!$D$2:$D$301,MATCH(B1756,Vidriería!$A$2:$A$301,0)),"ID no existe"))</f>
        <v/>
      </c>
      <c r="D1756" s="8"/>
      <c r="E1756" s="8"/>
      <c r="F1756" s="8"/>
      <c r="G1756" s="13"/>
    </row>
    <row r="1757" spans="1:7" x14ac:dyDescent="0.3">
      <c r="A1757" s="11"/>
      <c r="B1757" s="8"/>
      <c r="C1757" s="7" t="str">
        <f>IF(B1757="","",IFERROR(INDEX(Vidriería!$C$2:$C$301,MATCH(B1757,Vidriería!$A$2:$A$301,0))&amp;" "&amp;INDEX(Vidriería!$D$2:$D$301,MATCH(B1757,Vidriería!$A$2:$A$301,0)),"ID no existe"))</f>
        <v/>
      </c>
      <c r="D1757" s="8"/>
      <c r="E1757" s="8"/>
      <c r="F1757" s="8"/>
      <c r="G1757" s="13"/>
    </row>
    <row r="1758" spans="1:7" x14ac:dyDescent="0.3">
      <c r="A1758" s="11"/>
      <c r="B1758" s="8"/>
      <c r="C1758" s="7" t="str">
        <f>IF(B1758="","",IFERROR(INDEX(Vidriería!$C$2:$C$301,MATCH(B1758,Vidriería!$A$2:$A$301,0))&amp;" "&amp;INDEX(Vidriería!$D$2:$D$301,MATCH(B1758,Vidriería!$A$2:$A$301,0)),"ID no existe"))</f>
        <v/>
      </c>
      <c r="D1758" s="8"/>
      <c r="E1758" s="8"/>
      <c r="F1758" s="8"/>
      <c r="G1758" s="13"/>
    </row>
    <row r="1759" spans="1:7" x14ac:dyDescent="0.3">
      <c r="A1759" s="11"/>
      <c r="B1759" s="8"/>
      <c r="C1759" s="7" t="str">
        <f>IF(B1759="","",IFERROR(INDEX(Vidriería!$C$2:$C$301,MATCH(B1759,Vidriería!$A$2:$A$301,0))&amp;" "&amp;INDEX(Vidriería!$D$2:$D$301,MATCH(B1759,Vidriería!$A$2:$A$301,0)),"ID no existe"))</f>
        <v/>
      </c>
      <c r="D1759" s="8"/>
      <c r="E1759" s="8"/>
      <c r="F1759" s="8"/>
      <c r="G1759" s="13"/>
    </row>
    <row r="1760" spans="1:7" x14ac:dyDescent="0.3">
      <c r="A1760" s="11"/>
      <c r="B1760" s="8"/>
      <c r="C1760" s="7" t="str">
        <f>IF(B1760="","",IFERROR(INDEX(Vidriería!$C$2:$C$301,MATCH(B1760,Vidriería!$A$2:$A$301,0))&amp;" "&amp;INDEX(Vidriería!$D$2:$D$301,MATCH(B1760,Vidriería!$A$2:$A$301,0)),"ID no existe"))</f>
        <v/>
      </c>
      <c r="D1760" s="8"/>
      <c r="E1760" s="8"/>
      <c r="F1760" s="8"/>
      <c r="G1760" s="13"/>
    </row>
    <row r="1761" spans="1:7" x14ac:dyDescent="0.3">
      <c r="A1761" s="11"/>
      <c r="B1761" s="8"/>
      <c r="C1761" s="7" t="str">
        <f>IF(B1761="","",IFERROR(INDEX(Vidriería!$C$2:$C$301,MATCH(B1761,Vidriería!$A$2:$A$301,0))&amp;" "&amp;INDEX(Vidriería!$D$2:$D$301,MATCH(B1761,Vidriería!$A$2:$A$301,0)),"ID no existe"))</f>
        <v/>
      </c>
      <c r="D1761" s="8"/>
      <c r="E1761" s="8"/>
      <c r="F1761" s="8"/>
      <c r="G1761" s="13"/>
    </row>
    <row r="1762" spans="1:7" x14ac:dyDescent="0.3">
      <c r="A1762" s="11"/>
      <c r="B1762" s="8"/>
      <c r="C1762" s="7" t="str">
        <f>IF(B1762="","",IFERROR(INDEX(Vidriería!$C$2:$C$301,MATCH(B1762,Vidriería!$A$2:$A$301,0))&amp;" "&amp;INDEX(Vidriería!$D$2:$D$301,MATCH(B1762,Vidriería!$A$2:$A$301,0)),"ID no existe"))</f>
        <v/>
      </c>
      <c r="D1762" s="8"/>
      <c r="E1762" s="8"/>
      <c r="F1762" s="8"/>
      <c r="G1762" s="13"/>
    </row>
    <row r="1763" spans="1:7" x14ac:dyDescent="0.3">
      <c r="A1763" s="11"/>
      <c r="B1763" s="8"/>
      <c r="C1763" s="7" t="str">
        <f>IF(B1763="","",IFERROR(INDEX(Vidriería!$C$2:$C$301,MATCH(B1763,Vidriería!$A$2:$A$301,0))&amp;" "&amp;INDEX(Vidriería!$D$2:$D$301,MATCH(B1763,Vidriería!$A$2:$A$301,0)),"ID no existe"))</f>
        <v/>
      </c>
      <c r="D1763" s="8"/>
      <c r="E1763" s="8"/>
      <c r="F1763" s="8"/>
      <c r="G1763" s="13"/>
    </row>
    <row r="1764" spans="1:7" x14ac:dyDescent="0.3">
      <c r="A1764" s="11"/>
      <c r="B1764" s="8"/>
      <c r="C1764" s="7" t="str">
        <f>IF(B1764="","",IFERROR(INDEX(Vidriería!$C$2:$C$301,MATCH(B1764,Vidriería!$A$2:$A$301,0))&amp;" "&amp;INDEX(Vidriería!$D$2:$D$301,MATCH(B1764,Vidriería!$A$2:$A$301,0)),"ID no existe"))</f>
        <v/>
      </c>
      <c r="D1764" s="8"/>
      <c r="E1764" s="8"/>
      <c r="F1764" s="8"/>
      <c r="G1764" s="13"/>
    </row>
    <row r="1765" spans="1:7" x14ac:dyDescent="0.3">
      <c r="A1765" s="11"/>
      <c r="B1765" s="8"/>
      <c r="C1765" s="7" t="str">
        <f>IF(B1765="","",IFERROR(INDEX(Vidriería!$C$2:$C$301,MATCH(B1765,Vidriería!$A$2:$A$301,0))&amp;" "&amp;INDEX(Vidriería!$D$2:$D$301,MATCH(B1765,Vidriería!$A$2:$A$301,0)),"ID no existe"))</f>
        <v/>
      </c>
      <c r="D1765" s="8"/>
      <c r="E1765" s="8"/>
      <c r="F1765" s="8"/>
      <c r="G1765" s="13"/>
    </row>
    <row r="1766" spans="1:7" x14ac:dyDescent="0.3">
      <c r="A1766" s="11"/>
      <c r="B1766" s="8"/>
      <c r="C1766" s="7" t="str">
        <f>IF(B1766="","",IFERROR(INDEX(Vidriería!$C$2:$C$301,MATCH(B1766,Vidriería!$A$2:$A$301,0))&amp;" "&amp;INDEX(Vidriería!$D$2:$D$301,MATCH(B1766,Vidriería!$A$2:$A$301,0)),"ID no existe"))</f>
        <v/>
      </c>
      <c r="D1766" s="8"/>
      <c r="E1766" s="8"/>
      <c r="F1766" s="8"/>
      <c r="G1766" s="13"/>
    </row>
    <row r="1767" spans="1:7" x14ac:dyDescent="0.3">
      <c r="A1767" s="11"/>
      <c r="B1767" s="8"/>
      <c r="C1767" s="7" t="str">
        <f>IF(B1767="","",IFERROR(INDEX(Vidriería!$C$2:$C$301,MATCH(B1767,Vidriería!$A$2:$A$301,0))&amp;" "&amp;INDEX(Vidriería!$D$2:$D$301,MATCH(B1767,Vidriería!$A$2:$A$301,0)),"ID no existe"))</f>
        <v/>
      </c>
      <c r="D1767" s="8"/>
      <c r="E1767" s="8"/>
      <c r="F1767" s="8"/>
      <c r="G1767" s="13"/>
    </row>
    <row r="1768" spans="1:7" x14ac:dyDescent="0.3">
      <c r="A1768" s="11"/>
      <c r="B1768" s="8"/>
      <c r="C1768" s="7" t="str">
        <f>IF(B1768="","",IFERROR(INDEX(Vidriería!$C$2:$C$301,MATCH(B1768,Vidriería!$A$2:$A$301,0))&amp;" "&amp;INDEX(Vidriería!$D$2:$D$301,MATCH(B1768,Vidriería!$A$2:$A$301,0)),"ID no existe"))</f>
        <v/>
      </c>
      <c r="D1768" s="8"/>
      <c r="E1768" s="8"/>
      <c r="F1768" s="8"/>
      <c r="G1768" s="13"/>
    </row>
    <row r="1769" spans="1:7" x14ac:dyDescent="0.3">
      <c r="A1769" s="11"/>
      <c r="B1769" s="8"/>
      <c r="C1769" s="7" t="str">
        <f>IF(B1769="","",IFERROR(INDEX(Vidriería!$C$2:$C$301,MATCH(B1769,Vidriería!$A$2:$A$301,0))&amp;" "&amp;INDEX(Vidriería!$D$2:$D$301,MATCH(B1769,Vidriería!$A$2:$A$301,0)),"ID no existe"))</f>
        <v/>
      </c>
      <c r="D1769" s="8"/>
      <c r="E1769" s="8"/>
      <c r="F1769" s="8"/>
      <c r="G1769" s="13"/>
    </row>
    <row r="1770" spans="1:7" x14ac:dyDescent="0.3">
      <c r="A1770" s="11"/>
      <c r="B1770" s="8"/>
      <c r="C1770" s="7" t="str">
        <f>IF(B1770="","",IFERROR(INDEX(Vidriería!$C$2:$C$301,MATCH(B1770,Vidriería!$A$2:$A$301,0))&amp;" "&amp;INDEX(Vidriería!$D$2:$D$301,MATCH(B1770,Vidriería!$A$2:$A$301,0)),"ID no existe"))</f>
        <v/>
      </c>
      <c r="D1770" s="8"/>
      <c r="E1770" s="8"/>
      <c r="F1770" s="8"/>
      <c r="G1770" s="13"/>
    </row>
    <row r="1771" spans="1:7" x14ac:dyDescent="0.3">
      <c r="A1771" s="11"/>
      <c r="B1771" s="8"/>
      <c r="C1771" s="7" t="str">
        <f>IF(B1771="","",IFERROR(INDEX(Vidriería!$C$2:$C$301,MATCH(B1771,Vidriería!$A$2:$A$301,0))&amp;" "&amp;INDEX(Vidriería!$D$2:$D$301,MATCH(B1771,Vidriería!$A$2:$A$301,0)),"ID no existe"))</f>
        <v/>
      </c>
      <c r="D1771" s="8"/>
      <c r="E1771" s="8"/>
      <c r="F1771" s="8"/>
      <c r="G1771" s="13"/>
    </row>
    <row r="1772" spans="1:7" x14ac:dyDescent="0.3">
      <c r="A1772" s="11"/>
      <c r="B1772" s="8"/>
      <c r="C1772" s="7" t="str">
        <f>IF(B1772="","",IFERROR(INDEX(Vidriería!$C$2:$C$301,MATCH(B1772,Vidriería!$A$2:$A$301,0))&amp;" "&amp;INDEX(Vidriería!$D$2:$D$301,MATCH(B1772,Vidriería!$A$2:$A$301,0)),"ID no existe"))</f>
        <v/>
      </c>
      <c r="D1772" s="8"/>
      <c r="E1772" s="8"/>
      <c r="F1772" s="8"/>
      <c r="G1772" s="13"/>
    </row>
    <row r="1773" spans="1:7" x14ac:dyDescent="0.3">
      <c r="A1773" s="11"/>
      <c r="B1773" s="8"/>
      <c r="C1773" s="7" t="str">
        <f>IF(B1773="","",IFERROR(INDEX(Vidriería!$C$2:$C$301,MATCH(B1773,Vidriería!$A$2:$A$301,0))&amp;" "&amp;INDEX(Vidriería!$D$2:$D$301,MATCH(B1773,Vidriería!$A$2:$A$301,0)),"ID no existe"))</f>
        <v/>
      </c>
      <c r="D1773" s="8"/>
      <c r="E1773" s="8"/>
      <c r="F1773" s="8"/>
      <c r="G1773" s="13"/>
    </row>
    <row r="1774" spans="1:7" x14ac:dyDescent="0.3">
      <c r="A1774" s="11"/>
      <c r="B1774" s="8"/>
      <c r="C1774" s="7" t="str">
        <f>IF(B1774="","",IFERROR(INDEX(Vidriería!$C$2:$C$301,MATCH(B1774,Vidriería!$A$2:$A$301,0))&amp;" "&amp;INDEX(Vidriería!$D$2:$D$301,MATCH(B1774,Vidriería!$A$2:$A$301,0)),"ID no existe"))</f>
        <v/>
      </c>
      <c r="D1774" s="8"/>
      <c r="E1774" s="8"/>
      <c r="F1774" s="8"/>
      <c r="G1774" s="13"/>
    </row>
    <row r="1775" spans="1:7" x14ac:dyDescent="0.3">
      <c r="A1775" s="11"/>
      <c r="B1775" s="8"/>
      <c r="C1775" s="7" t="str">
        <f>IF(B1775="","",IFERROR(INDEX(Vidriería!$C$2:$C$301,MATCH(B1775,Vidriería!$A$2:$A$301,0))&amp;" "&amp;INDEX(Vidriería!$D$2:$D$301,MATCH(B1775,Vidriería!$A$2:$A$301,0)),"ID no existe"))</f>
        <v/>
      </c>
      <c r="D1775" s="8"/>
      <c r="E1775" s="8"/>
      <c r="F1775" s="8"/>
      <c r="G1775" s="13"/>
    </row>
    <row r="1776" spans="1:7" x14ac:dyDescent="0.3">
      <c r="A1776" s="11"/>
      <c r="B1776" s="8"/>
      <c r="C1776" s="7" t="str">
        <f>IF(B1776="","",IFERROR(INDEX(Vidriería!$C$2:$C$301,MATCH(B1776,Vidriería!$A$2:$A$301,0))&amp;" "&amp;INDEX(Vidriería!$D$2:$D$301,MATCH(B1776,Vidriería!$A$2:$A$301,0)),"ID no existe"))</f>
        <v/>
      </c>
      <c r="D1776" s="8"/>
      <c r="E1776" s="8"/>
      <c r="F1776" s="8"/>
      <c r="G1776" s="13"/>
    </row>
    <row r="1777" spans="1:7" x14ac:dyDescent="0.3">
      <c r="A1777" s="11"/>
      <c r="B1777" s="8"/>
      <c r="C1777" s="7" t="str">
        <f>IF(B1777="","",IFERROR(INDEX(Vidriería!$C$2:$C$301,MATCH(B1777,Vidriería!$A$2:$A$301,0))&amp;" "&amp;INDEX(Vidriería!$D$2:$D$301,MATCH(B1777,Vidriería!$A$2:$A$301,0)),"ID no existe"))</f>
        <v/>
      </c>
      <c r="D1777" s="8"/>
      <c r="E1777" s="8"/>
      <c r="F1777" s="8"/>
      <c r="G1777" s="13"/>
    </row>
    <row r="1778" spans="1:7" x14ac:dyDescent="0.3">
      <c r="A1778" s="11"/>
      <c r="B1778" s="8"/>
      <c r="C1778" s="7" t="str">
        <f>IF(B1778="","",IFERROR(INDEX(Vidriería!$C$2:$C$301,MATCH(B1778,Vidriería!$A$2:$A$301,0))&amp;" "&amp;INDEX(Vidriería!$D$2:$D$301,MATCH(B1778,Vidriería!$A$2:$A$301,0)),"ID no existe"))</f>
        <v/>
      </c>
      <c r="D1778" s="8"/>
      <c r="E1778" s="8"/>
      <c r="F1778" s="8"/>
      <c r="G1778" s="13"/>
    </row>
    <row r="1779" spans="1:7" x14ac:dyDescent="0.3">
      <c r="A1779" s="11"/>
      <c r="B1779" s="8"/>
      <c r="C1779" s="7" t="str">
        <f>IF(B1779="","",IFERROR(INDEX(Vidriería!$C$2:$C$301,MATCH(B1779,Vidriería!$A$2:$A$301,0))&amp;" "&amp;INDEX(Vidriería!$D$2:$D$301,MATCH(B1779,Vidriería!$A$2:$A$301,0)),"ID no existe"))</f>
        <v/>
      </c>
      <c r="D1779" s="8"/>
      <c r="E1779" s="8"/>
      <c r="F1779" s="8"/>
      <c r="G1779" s="13"/>
    </row>
    <row r="1780" spans="1:7" x14ac:dyDescent="0.3">
      <c r="A1780" s="11"/>
      <c r="B1780" s="8"/>
      <c r="C1780" s="7" t="str">
        <f>IF(B1780="","",IFERROR(INDEX(Vidriería!$C$2:$C$301,MATCH(B1780,Vidriería!$A$2:$A$301,0))&amp;" "&amp;INDEX(Vidriería!$D$2:$D$301,MATCH(B1780,Vidriería!$A$2:$A$301,0)),"ID no existe"))</f>
        <v/>
      </c>
      <c r="D1780" s="8"/>
      <c r="E1780" s="8"/>
      <c r="F1780" s="8"/>
      <c r="G1780" s="13"/>
    </row>
    <row r="1781" spans="1:7" x14ac:dyDescent="0.3">
      <c r="A1781" s="11"/>
      <c r="B1781" s="8"/>
      <c r="C1781" s="7" t="str">
        <f>IF(B1781="","",IFERROR(INDEX(Vidriería!$C$2:$C$301,MATCH(B1781,Vidriería!$A$2:$A$301,0))&amp;" "&amp;INDEX(Vidriería!$D$2:$D$301,MATCH(B1781,Vidriería!$A$2:$A$301,0)),"ID no existe"))</f>
        <v/>
      </c>
      <c r="D1781" s="8"/>
      <c r="E1781" s="8"/>
      <c r="F1781" s="8"/>
      <c r="G1781" s="13"/>
    </row>
    <row r="1782" spans="1:7" x14ac:dyDescent="0.3">
      <c r="A1782" s="11"/>
      <c r="B1782" s="8"/>
      <c r="C1782" s="7" t="str">
        <f>IF(B1782="","",IFERROR(INDEX(Vidriería!$C$2:$C$301,MATCH(B1782,Vidriería!$A$2:$A$301,0))&amp;" "&amp;INDEX(Vidriería!$D$2:$D$301,MATCH(B1782,Vidriería!$A$2:$A$301,0)),"ID no existe"))</f>
        <v/>
      </c>
      <c r="D1782" s="8"/>
      <c r="E1782" s="8"/>
      <c r="F1782" s="8"/>
      <c r="G1782" s="13"/>
    </row>
    <row r="1783" spans="1:7" x14ac:dyDescent="0.3">
      <c r="A1783" s="11"/>
      <c r="B1783" s="8"/>
      <c r="C1783" s="7" t="str">
        <f>IF(B1783="","",IFERROR(INDEX(Vidriería!$C$2:$C$301,MATCH(B1783,Vidriería!$A$2:$A$301,0))&amp;" "&amp;INDEX(Vidriería!$D$2:$D$301,MATCH(B1783,Vidriería!$A$2:$A$301,0)),"ID no existe"))</f>
        <v/>
      </c>
      <c r="D1783" s="8"/>
      <c r="E1783" s="8"/>
      <c r="F1783" s="8"/>
      <c r="G1783" s="13"/>
    </row>
    <row r="1784" spans="1:7" x14ac:dyDescent="0.3">
      <c r="A1784" s="11"/>
      <c r="B1784" s="8"/>
      <c r="C1784" s="7" t="str">
        <f>IF(B1784="","",IFERROR(INDEX(Vidriería!$C$2:$C$301,MATCH(B1784,Vidriería!$A$2:$A$301,0))&amp;" "&amp;INDEX(Vidriería!$D$2:$D$301,MATCH(B1784,Vidriería!$A$2:$A$301,0)),"ID no existe"))</f>
        <v/>
      </c>
      <c r="D1784" s="8"/>
      <c r="E1784" s="8"/>
      <c r="F1784" s="8"/>
      <c r="G1784" s="13"/>
    </row>
    <row r="1785" spans="1:7" x14ac:dyDescent="0.3">
      <c r="A1785" s="11"/>
      <c r="B1785" s="8"/>
      <c r="C1785" s="7" t="str">
        <f>IF(B1785="","",IFERROR(INDEX(Vidriería!$C$2:$C$301,MATCH(B1785,Vidriería!$A$2:$A$301,0))&amp;" "&amp;INDEX(Vidriería!$D$2:$D$301,MATCH(B1785,Vidriería!$A$2:$A$301,0)),"ID no existe"))</f>
        <v/>
      </c>
      <c r="D1785" s="8"/>
      <c r="E1785" s="8"/>
      <c r="F1785" s="8"/>
      <c r="G1785" s="13"/>
    </row>
    <row r="1786" spans="1:7" x14ac:dyDescent="0.3">
      <c r="A1786" s="11"/>
      <c r="B1786" s="8"/>
      <c r="C1786" s="7" t="str">
        <f>IF(B1786="","",IFERROR(INDEX(Vidriería!$C$2:$C$301,MATCH(B1786,Vidriería!$A$2:$A$301,0))&amp;" "&amp;INDEX(Vidriería!$D$2:$D$301,MATCH(B1786,Vidriería!$A$2:$A$301,0)),"ID no existe"))</f>
        <v/>
      </c>
      <c r="D1786" s="8"/>
      <c r="E1786" s="8"/>
      <c r="F1786" s="8"/>
      <c r="G1786" s="13"/>
    </row>
    <row r="1787" spans="1:7" x14ac:dyDescent="0.3">
      <c r="A1787" s="11"/>
      <c r="B1787" s="8"/>
      <c r="C1787" s="7" t="str">
        <f>IF(B1787="","",IFERROR(INDEX(Vidriería!$C$2:$C$301,MATCH(B1787,Vidriería!$A$2:$A$301,0))&amp;" "&amp;INDEX(Vidriería!$D$2:$D$301,MATCH(B1787,Vidriería!$A$2:$A$301,0)),"ID no existe"))</f>
        <v/>
      </c>
      <c r="D1787" s="8"/>
      <c r="E1787" s="8"/>
      <c r="F1787" s="8"/>
      <c r="G1787" s="13"/>
    </row>
    <row r="1788" spans="1:7" x14ac:dyDescent="0.3">
      <c r="A1788" s="11"/>
      <c r="B1788" s="8"/>
      <c r="C1788" s="7" t="str">
        <f>IF(B1788="","",IFERROR(INDEX(Vidriería!$C$2:$C$301,MATCH(B1788,Vidriería!$A$2:$A$301,0))&amp;" "&amp;INDEX(Vidriería!$D$2:$D$301,MATCH(B1788,Vidriería!$A$2:$A$301,0)),"ID no existe"))</f>
        <v/>
      </c>
      <c r="D1788" s="8"/>
      <c r="E1788" s="8"/>
      <c r="F1788" s="8"/>
      <c r="G1788" s="13"/>
    </row>
    <row r="1789" spans="1:7" x14ac:dyDescent="0.3">
      <c r="A1789" s="11"/>
      <c r="B1789" s="8"/>
      <c r="C1789" s="7" t="str">
        <f>IF(B1789="","",IFERROR(INDEX(Vidriería!$C$2:$C$301,MATCH(B1789,Vidriería!$A$2:$A$301,0))&amp;" "&amp;INDEX(Vidriería!$D$2:$D$301,MATCH(B1789,Vidriería!$A$2:$A$301,0)),"ID no existe"))</f>
        <v/>
      </c>
      <c r="D1789" s="8"/>
      <c r="E1789" s="8"/>
      <c r="F1789" s="8"/>
      <c r="G1789" s="13"/>
    </row>
    <row r="1790" spans="1:7" x14ac:dyDescent="0.3">
      <c r="A1790" s="11"/>
      <c r="B1790" s="8"/>
      <c r="C1790" s="7" t="str">
        <f>IF(B1790="","",IFERROR(INDEX(Vidriería!$C$2:$C$301,MATCH(B1790,Vidriería!$A$2:$A$301,0))&amp;" "&amp;INDEX(Vidriería!$D$2:$D$301,MATCH(B1790,Vidriería!$A$2:$A$301,0)),"ID no existe"))</f>
        <v/>
      </c>
      <c r="D1790" s="8"/>
      <c r="E1790" s="8"/>
      <c r="F1790" s="8"/>
      <c r="G1790" s="13"/>
    </row>
    <row r="1791" spans="1:7" x14ac:dyDescent="0.3">
      <c r="A1791" s="11"/>
      <c r="B1791" s="8"/>
      <c r="C1791" s="7" t="str">
        <f>IF(B1791="","",IFERROR(INDEX(Vidriería!$C$2:$C$301,MATCH(B1791,Vidriería!$A$2:$A$301,0))&amp;" "&amp;INDEX(Vidriería!$D$2:$D$301,MATCH(B1791,Vidriería!$A$2:$A$301,0)),"ID no existe"))</f>
        <v/>
      </c>
      <c r="D1791" s="8"/>
      <c r="E1791" s="8"/>
      <c r="F1791" s="8"/>
      <c r="G1791" s="13"/>
    </row>
    <row r="1792" spans="1:7" x14ac:dyDescent="0.3">
      <c r="A1792" s="11"/>
      <c r="B1792" s="8"/>
      <c r="C1792" s="7" t="str">
        <f>IF(B1792="","",IFERROR(INDEX(Vidriería!$C$2:$C$301,MATCH(B1792,Vidriería!$A$2:$A$301,0))&amp;" "&amp;INDEX(Vidriería!$D$2:$D$301,MATCH(B1792,Vidriería!$A$2:$A$301,0)),"ID no existe"))</f>
        <v/>
      </c>
      <c r="D1792" s="8"/>
      <c r="E1792" s="8"/>
      <c r="F1792" s="8"/>
      <c r="G1792" s="13"/>
    </row>
    <row r="1793" spans="1:7" x14ac:dyDescent="0.3">
      <c r="A1793" s="11"/>
      <c r="B1793" s="8"/>
      <c r="C1793" s="7" t="str">
        <f>IF(B1793="","",IFERROR(INDEX(Vidriería!$C$2:$C$301,MATCH(B1793,Vidriería!$A$2:$A$301,0))&amp;" "&amp;INDEX(Vidriería!$D$2:$D$301,MATCH(B1793,Vidriería!$A$2:$A$301,0)),"ID no existe"))</f>
        <v/>
      </c>
      <c r="D1793" s="8"/>
      <c r="E1793" s="8"/>
      <c r="F1793" s="8"/>
      <c r="G1793" s="13"/>
    </row>
    <row r="1794" spans="1:7" x14ac:dyDescent="0.3">
      <c r="A1794" s="11"/>
      <c r="B1794" s="8"/>
      <c r="C1794" s="7" t="str">
        <f>IF(B1794="","",IFERROR(INDEX(Vidriería!$C$2:$C$301,MATCH(B1794,Vidriería!$A$2:$A$301,0))&amp;" "&amp;INDEX(Vidriería!$D$2:$D$301,MATCH(B1794,Vidriería!$A$2:$A$301,0)),"ID no existe"))</f>
        <v/>
      </c>
      <c r="D1794" s="8"/>
      <c r="E1794" s="8"/>
      <c r="F1794" s="8"/>
      <c r="G1794" s="13"/>
    </row>
    <row r="1795" spans="1:7" x14ac:dyDescent="0.3">
      <c r="A1795" s="11"/>
      <c r="B1795" s="8"/>
      <c r="C1795" s="7" t="str">
        <f>IF(B1795="","",IFERROR(INDEX(Vidriería!$C$2:$C$301,MATCH(B1795,Vidriería!$A$2:$A$301,0))&amp;" "&amp;INDEX(Vidriería!$D$2:$D$301,MATCH(B1795,Vidriería!$A$2:$A$301,0)),"ID no existe"))</f>
        <v/>
      </c>
      <c r="D1795" s="8"/>
      <c r="E1795" s="8"/>
      <c r="F1795" s="8"/>
      <c r="G1795" s="13"/>
    </row>
    <row r="1796" spans="1:7" x14ac:dyDescent="0.3">
      <c r="A1796" s="11"/>
      <c r="B1796" s="8"/>
      <c r="C1796" s="7" t="str">
        <f>IF(B1796="","",IFERROR(INDEX(Vidriería!$C$2:$C$301,MATCH(B1796,Vidriería!$A$2:$A$301,0))&amp;" "&amp;INDEX(Vidriería!$D$2:$D$301,MATCH(B1796,Vidriería!$A$2:$A$301,0)),"ID no existe"))</f>
        <v/>
      </c>
      <c r="D1796" s="8"/>
      <c r="E1796" s="8"/>
      <c r="F1796" s="8"/>
      <c r="G1796" s="13"/>
    </row>
    <row r="1797" spans="1:7" x14ac:dyDescent="0.3">
      <c r="A1797" s="11"/>
      <c r="B1797" s="8"/>
      <c r="C1797" s="7" t="str">
        <f>IF(B1797="","",IFERROR(INDEX(Vidriería!$C$2:$C$301,MATCH(B1797,Vidriería!$A$2:$A$301,0))&amp;" "&amp;INDEX(Vidriería!$D$2:$D$301,MATCH(B1797,Vidriería!$A$2:$A$301,0)),"ID no existe"))</f>
        <v/>
      </c>
      <c r="D1797" s="8"/>
      <c r="E1797" s="8"/>
      <c r="F1797" s="8"/>
      <c r="G1797" s="13"/>
    </row>
    <row r="1798" spans="1:7" x14ac:dyDescent="0.3">
      <c r="A1798" s="11"/>
      <c r="B1798" s="8"/>
      <c r="C1798" s="7" t="str">
        <f>IF(B1798="","",IFERROR(INDEX(Vidriería!$C$2:$C$301,MATCH(B1798,Vidriería!$A$2:$A$301,0))&amp;" "&amp;INDEX(Vidriería!$D$2:$D$301,MATCH(B1798,Vidriería!$A$2:$A$301,0)),"ID no existe"))</f>
        <v/>
      </c>
      <c r="D1798" s="8"/>
      <c r="E1798" s="8"/>
      <c r="F1798" s="8"/>
      <c r="G1798" s="13"/>
    </row>
    <row r="1799" spans="1:7" x14ac:dyDescent="0.3">
      <c r="A1799" s="11"/>
      <c r="B1799" s="8"/>
      <c r="C1799" s="7" t="str">
        <f>IF(B1799="","",IFERROR(INDEX(Vidriería!$C$2:$C$301,MATCH(B1799,Vidriería!$A$2:$A$301,0))&amp;" "&amp;INDEX(Vidriería!$D$2:$D$301,MATCH(B1799,Vidriería!$A$2:$A$301,0)),"ID no existe"))</f>
        <v/>
      </c>
      <c r="D1799" s="8"/>
      <c r="E1799" s="8"/>
      <c r="F1799" s="8"/>
      <c r="G1799" s="13"/>
    </row>
    <row r="1800" spans="1:7" x14ac:dyDescent="0.3">
      <c r="A1800" s="11"/>
      <c r="B1800" s="8"/>
      <c r="C1800" s="7" t="str">
        <f>IF(B1800="","",IFERROR(INDEX(Vidriería!$C$2:$C$301,MATCH(B1800,Vidriería!$A$2:$A$301,0))&amp;" "&amp;INDEX(Vidriería!$D$2:$D$301,MATCH(B1800,Vidriería!$A$2:$A$301,0)),"ID no existe"))</f>
        <v/>
      </c>
      <c r="D1800" s="8"/>
      <c r="E1800" s="8"/>
      <c r="F1800" s="8"/>
      <c r="G1800" s="13"/>
    </row>
    <row r="1801" spans="1:7" x14ac:dyDescent="0.3">
      <c r="A1801" s="11"/>
      <c r="B1801" s="8"/>
      <c r="C1801" s="7" t="str">
        <f>IF(B1801="","",IFERROR(INDEX(Vidriería!$C$2:$C$301,MATCH(B1801,Vidriería!$A$2:$A$301,0))&amp;" "&amp;INDEX(Vidriería!$D$2:$D$301,MATCH(B1801,Vidriería!$A$2:$A$301,0)),"ID no existe"))</f>
        <v/>
      </c>
      <c r="D1801" s="8"/>
      <c r="E1801" s="8"/>
      <c r="F1801" s="8"/>
      <c r="G1801" s="13"/>
    </row>
    <row r="1802" spans="1:7" x14ac:dyDescent="0.3">
      <c r="A1802" s="11"/>
      <c r="B1802" s="8"/>
      <c r="C1802" s="7" t="str">
        <f>IF(B1802="","",IFERROR(INDEX(Vidriería!$C$2:$C$301,MATCH(B1802,Vidriería!$A$2:$A$301,0))&amp;" "&amp;INDEX(Vidriería!$D$2:$D$301,MATCH(B1802,Vidriería!$A$2:$A$301,0)),"ID no existe"))</f>
        <v/>
      </c>
      <c r="D1802" s="8"/>
      <c r="E1802" s="8"/>
      <c r="F1802" s="8"/>
      <c r="G1802" s="13"/>
    </row>
    <row r="1803" spans="1:7" x14ac:dyDescent="0.3">
      <c r="A1803" s="11"/>
      <c r="B1803" s="8"/>
      <c r="C1803" s="7" t="str">
        <f>IF(B1803="","",IFERROR(INDEX(Vidriería!$C$2:$C$301,MATCH(B1803,Vidriería!$A$2:$A$301,0))&amp;" "&amp;INDEX(Vidriería!$D$2:$D$301,MATCH(B1803,Vidriería!$A$2:$A$301,0)),"ID no existe"))</f>
        <v/>
      </c>
      <c r="D1803" s="8"/>
      <c r="E1803" s="8"/>
      <c r="F1803" s="8"/>
      <c r="G1803" s="13"/>
    </row>
    <row r="1804" spans="1:7" x14ac:dyDescent="0.3">
      <c r="A1804" s="11"/>
      <c r="B1804" s="8"/>
      <c r="C1804" s="7" t="str">
        <f>IF(B1804="","",IFERROR(INDEX(Vidriería!$C$2:$C$301,MATCH(B1804,Vidriería!$A$2:$A$301,0))&amp;" "&amp;INDEX(Vidriería!$D$2:$D$301,MATCH(B1804,Vidriería!$A$2:$A$301,0)),"ID no existe"))</f>
        <v/>
      </c>
      <c r="D1804" s="8"/>
      <c r="E1804" s="8"/>
      <c r="F1804" s="8"/>
      <c r="G1804" s="13"/>
    </row>
    <row r="1805" spans="1:7" x14ac:dyDescent="0.3">
      <c r="A1805" s="11"/>
      <c r="B1805" s="8"/>
      <c r="C1805" s="7" t="str">
        <f>IF(B1805="","",IFERROR(INDEX(Vidriería!$C$2:$C$301,MATCH(B1805,Vidriería!$A$2:$A$301,0))&amp;" "&amp;INDEX(Vidriería!$D$2:$D$301,MATCH(B1805,Vidriería!$A$2:$A$301,0)),"ID no existe"))</f>
        <v/>
      </c>
      <c r="D1805" s="8"/>
      <c r="E1805" s="8"/>
      <c r="F1805" s="8"/>
      <c r="G1805" s="13"/>
    </row>
    <row r="1806" spans="1:7" x14ac:dyDescent="0.3">
      <c r="A1806" s="11"/>
      <c r="B1806" s="8"/>
      <c r="C1806" s="7" t="str">
        <f>IF(B1806="","",IFERROR(INDEX(Vidriería!$C$2:$C$301,MATCH(B1806,Vidriería!$A$2:$A$301,0))&amp;" "&amp;INDEX(Vidriería!$D$2:$D$301,MATCH(B1806,Vidriería!$A$2:$A$301,0)),"ID no existe"))</f>
        <v/>
      </c>
      <c r="D1806" s="8"/>
      <c r="E1806" s="8"/>
      <c r="F1806" s="8"/>
      <c r="G1806" s="13"/>
    </row>
    <row r="1807" spans="1:7" x14ac:dyDescent="0.3">
      <c r="A1807" s="11"/>
      <c r="B1807" s="8"/>
      <c r="C1807" s="7" t="str">
        <f>IF(B1807="","",IFERROR(INDEX(Vidriería!$C$2:$C$301,MATCH(B1807,Vidriería!$A$2:$A$301,0))&amp;" "&amp;INDEX(Vidriería!$D$2:$D$301,MATCH(B1807,Vidriería!$A$2:$A$301,0)),"ID no existe"))</f>
        <v/>
      </c>
      <c r="D1807" s="8"/>
      <c r="E1807" s="8"/>
      <c r="F1807" s="8"/>
      <c r="G1807" s="13"/>
    </row>
    <row r="1808" spans="1:7" x14ac:dyDescent="0.3">
      <c r="A1808" s="11"/>
      <c r="B1808" s="8"/>
      <c r="C1808" s="7" t="str">
        <f>IF(B1808="","",IFERROR(INDEX(Vidriería!$C$2:$C$301,MATCH(B1808,Vidriería!$A$2:$A$301,0))&amp;" "&amp;INDEX(Vidriería!$D$2:$D$301,MATCH(B1808,Vidriería!$A$2:$A$301,0)),"ID no existe"))</f>
        <v/>
      </c>
      <c r="D1808" s="8"/>
      <c r="E1808" s="8"/>
      <c r="F1808" s="8"/>
      <c r="G1808" s="13"/>
    </row>
    <row r="1809" spans="1:7" x14ac:dyDescent="0.3">
      <c r="A1809" s="11"/>
      <c r="B1809" s="8"/>
      <c r="C1809" s="7" t="str">
        <f>IF(B1809="","",IFERROR(INDEX(Vidriería!$C$2:$C$301,MATCH(B1809,Vidriería!$A$2:$A$301,0))&amp;" "&amp;INDEX(Vidriería!$D$2:$D$301,MATCH(B1809,Vidriería!$A$2:$A$301,0)),"ID no existe"))</f>
        <v/>
      </c>
      <c r="D1809" s="8"/>
      <c r="E1809" s="8"/>
      <c r="F1809" s="8"/>
      <c r="G1809" s="13"/>
    </row>
    <row r="1810" spans="1:7" x14ac:dyDescent="0.3">
      <c r="A1810" s="11"/>
      <c r="B1810" s="8"/>
      <c r="C1810" s="7" t="str">
        <f>IF(B1810="","",IFERROR(INDEX(Vidriería!$C$2:$C$301,MATCH(B1810,Vidriería!$A$2:$A$301,0))&amp;" "&amp;INDEX(Vidriería!$D$2:$D$301,MATCH(B1810,Vidriería!$A$2:$A$301,0)),"ID no existe"))</f>
        <v/>
      </c>
      <c r="D1810" s="8"/>
      <c r="E1810" s="8"/>
      <c r="F1810" s="8"/>
      <c r="G1810" s="13"/>
    </row>
    <row r="1811" spans="1:7" x14ac:dyDescent="0.3">
      <c r="A1811" s="11"/>
      <c r="B1811" s="8"/>
      <c r="C1811" s="7" t="str">
        <f>IF(B1811="","",IFERROR(INDEX(Vidriería!$C$2:$C$301,MATCH(B1811,Vidriería!$A$2:$A$301,0))&amp;" "&amp;INDEX(Vidriería!$D$2:$D$301,MATCH(B1811,Vidriería!$A$2:$A$301,0)),"ID no existe"))</f>
        <v/>
      </c>
      <c r="D1811" s="8"/>
      <c r="E1811" s="8"/>
      <c r="F1811" s="8"/>
      <c r="G1811" s="13"/>
    </row>
    <row r="1812" spans="1:7" x14ac:dyDescent="0.3">
      <c r="A1812" s="11"/>
      <c r="B1812" s="8"/>
      <c r="C1812" s="7" t="str">
        <f>IF(B1812="","",IFERROR(INDEX(Vidriería!$C$2:$C$301,MATCH(B1812,Vidriería!$A$2:$A$301,0))&amp;" "&amp;INDEX(Vidriería!$D$2:$D$301,MATCH(B1812,Vidriería!$A$2:$A$301,0)),"ID no existe"))</f>
        <v/>
      </c>
      <c r="D1812" s="8"/>
      <c r="E1812" s="8"/>
      <c r="F1812" s="8"/>
      <c r="G1812" s="13"/>
    </row>
    <row r="1813" spans="1:7" x14ac:dyDescent="0.3">
      <c r="A1813" s="11"/>
      <c r="B1813" s="8"/>
      <c r="C1813" s="7" t="str">
        <f>IF(B1813="","",IFERROR(INDEX(Vidriería!$C$2:$C$301,MATCH(B1813,Vidriería!$A$2:$A$301,0))&amp;" "&amp;INDEX(Vidriería!$D$2:$D$301,MATCH(B1813,Vidriería!$A$2:$A$301,0)),"ID no existe"))</f>
        <v/>
      </c>
      <c r="D1813" s="8"/>
      <c r="E1813" s="8"/>
      <c r="F1813" s="8"/>
      <c r="G1813" s="13"/>
    </row>
    <row r="1814" spans="1:7" x14ac:dyDescent="0.3">
      <c r="A1814" s="11"/>
      <c r="B1814" s="8"/>
      <c r="C1814" s="7" t="str">
        <f>IF(B1814="","",IFERROR(INDEX(Vidriería!$C$2:$C$301,MATCH(B1814,Vidriería!$A$2:$A$301,0))&amp;" "&amp;INDEX(Vidriería!$D$2:$D$301,MATCH(B1814,Vidriería!$A$2:$A$301,0)),"ID no existe"))</f>
        <v/>
      </c>
      <c r="D1814" s="8"/>
      <c r="E1814" s="8"/>
      <c r="F1814" s="8"/>
      <c r="G1814" s="13"/>
    </row>
    <row r="1815" spans="1:7" x14ac:dyDescent="0.3">
      <c r="A1815" s="11"/>
      <c r="B1815" s="8"/>
      <c r="C1815" s="7" t="str">
        <f>IF(B1815="","",IFERROR(INDEX(Vidriería!$C$2:$C$301,MATCH(B1815,Vidriería!$A$2:$A$301,0))&amp;" "&amp;INDEX(Vidriería!$D$2:$D$301,MATCH(B1815,Vidriería!$A$2:$A$301,0)),"ID no existe"))</f>
        <v/>
      </c>
      <c r="D1815" s="8"/>
      <c r="E1815" s="8"/>
      <c r="F1815" s="8"/>
      <c r="G1815" s="13"/>
    </row>
    <row r="1816" spans="1:7" x14ac:dyDescent="0.3">
      <c r="A1816" s="11"/>
      <c r="B1816" s="8"/>
      <c r="C1816" s="7" t="str">
        <f>IF(B1816="","",IFERROR(INDEX(Vidriería!$C$2:$C$301,MATCH(B1816,Vidriería!$A$2:$A$301,0))&amp;" "&amp;INDEX(Vidriería!$D$2:$D$301,MATCH(B1816,Vidriería!$A$2:$A$301,0)),"ID no existe"))</f>
        <v/>
      </c>
      <c r="D1816" s="8"/>
      <c r="E1816" s="8"/>
      <c r="F1816" s="8"/>
      <c r="G1816" s="13"/>
    </row>
    <row r="1817" spans="1:7" x14ac:dyDescent="0.3">
      <c r="A1817" s="11"/>
      <c r="B1817" s="8"/>
      <c r="C1817" s="7" t="str">
        <f>IF(B1817="","",IFERROR(INDEX(Vidriería!$C$2:$C$301,MATCH(B1817,Vidriería!$A$2:$A$301,0))&amp;" "&amp;INDEX(Vidriería!$D$2:$D$301,MATCH(B1817,Vidriería!$A$2:$A$301,0)),"ID no existe"))</f>
        <v/>
      </c>
      <c r="D1817" s="8"/>
      <c r="E1817" s="8"/>
      <c r="F1817" s="8"/>
      <c r="G1817" s="13"/>
    </row>
    <row r="1818" spans="1:7" x14ac:dyDescent="0.3">
      <c r="A1818" s="11"/>
      <c r="B1818" s="8"/>
      <c r="C1818" s="7" t="str">
        <f>IF(B1818="","",IFERROR(INDEX(Vidriería!$C$2:$C$301,MATCH(B1818,Vidriería!$A$2:$A$301,0))&amp;" "&amp;INDEX(Vidriería!$D$2:$D$301,MATCH(B1818,Vidriería!$A$2:$A$301,0)),"ID no existe"))</f>
        <v/>
      </c>
      <c r="D1818" s="8"/>
      <c r="E1818" s="8"/>
      <c r="F1818" s="8"/>
      <c r="G1818" s="13"/>
    </row>
    <row r="1819" spans="1:7" x14ac:dyDescent="0.3">
      <c r="A1819" s="11"/>
      <c r="B1819" s="8"/>
      <c r="C1819" s="7" t="str">
        <f>IF(B1819="","",IFERROR(INDEX(Vidriería!$C$2:$C$301,MATCH(B1819,Vidriería!$A$2:$A$301,0))&amp;" "&amp;INDEX(Vidriería!$D$2:$D$301,MATCH(B1819,Vidriería!$A$2:$A$301,0)),"ID no existe"))</f>
        <v/>
      </c>
      <c r="D1819" s="8"/>
      <c r="E1819" s="8"/>
      <c r="F1819" s="8"/>
      <c r="G1819" s="13"/>
    </row>
    <row r="1820" spans="1:7" x14ac:dyDescent="0.3">
      <c r="A1820" s="11"/>
      <c r="B1820" s="8"/>
      <c r="C1820" s="7" t="str">
        <f>IF(B1820="","",IFERROR(INDEX(Vidriería!$C$2:$C$301,MATCH(B1820,Vidriería!$A$2:$A$301,0))&amp;" "&amp;INDEX(Vidriería!$D$2:$D$301,MATCH(B1820,Vidriería!$A$2:$A$301,0)),"ID no existe"))</f>
        <v/>
      </c>
      <c r="D1820" s="8"/>
      <c r="E1820" s="8"/>
      <c r="F1820" s="8"/>
      <c r="G1820" s="13"/>
    </row>
    <row r="1821" spans="1:7" x14ac:dyDescent="0.3">
      <c r="A1821" s="11"/>
      <c r="B1821" s="8"/>
      <c r="C1821" s="7" t="str">
        <f>IF(B1821="","",IFERROR(INDEX(Vidriería!$C$2:$C$301,MATCH(B1821,Vidriería!$A$2:$A$301,0))&amp;" "&amp;INDEX(Vidriería!$D$2:$D$301,MATCH(B1821,Vidriería!$A$2:$A$301,0)),"ID no existe"))</f>
        <v/>
      </c>
      <c r="D1821" s="8"/>
      <c r="E1821" s="8"/>
      <c r="F1821" s="8"/>
      <c r="G1821" s="13"/>
    </row>
    <row r="1822" spans="1:7" x14ac:dyDescent="0.3">
      <c r="A1822" s="11"/>
      <c r="B1822" s="8"/>
      <c r="C1822" s="7" t="str">
        <f>IF(B1822="","",IFERROR(INDEX(Vidriería!$C$2:$C$301,MATCH(B1822,Vidriería!$A$2:$A$301,0))&amp;" "&amp;INDEX(Vidriería!$D$2:$D$301,MATCH(B1822,Vidriería!$A$2:$A$301,0)),"ID no existe"))</f>
        <v/>
      </c>
      <c r="D1822" s="8"/>
      <c r="E1822" s="8"/>
      <c r="F1822" s="8"/>
      <c r="G1822" s="13"/>
    </row>
    <row r="1823" spans="1:7" x14ac:dyDescent="0.3">
      <c r="A1823" s="11"/>
      <c r="B1823" s="8"/>
      <c r="C1823" s="7" t="str">
        <f>IF(B1823="","",IFERROR(INDEX(Vidriería!$C$2:$C$301,MATCH(B1823,Vidriería!$A$2:$A$301,0))&amp;" "&amp;INDEX(Vidriería!$D$2:$D$301,MATCH(B1823,Vidriería!$A$2:$A$301,0)),"ID no existe"))</f>
        <v/>
      </c>
      <c r="D1823" s="8"/>
      <c r="E1823" s="8"/>
      <c r="F1823" s="8"/>
      <c r="G1823" s="13"/>
    </row>
    <row r="1824" spans="1:7" x14ac:dyDescent="0.3">
      <c r="A1824" s="11"/>
      <c r="B1824" s="8"/>
      <c r="C1824" s="7" t="str">
        <f>IF(B1824="","",IFERROR(INDEX(Vidriería!$C$2:$C$301,MATCH(B1824,Vidriería!$A$2:$A$301,0))&amp;" "&amp;INDEX(Vidriería!$D$2:$D$301,MATCH(B1824,Vidriería!$A$2:$A$301,0)),"ID no existe"))</f>
        <v/>
      </c>
      <c r="D1824" s="8"/>
      <c r="E1824" s="8"/>
      <c r="F1824" s="8"/>
      <c r="G1824" s="13"/>
    </row>
    <row r="1825" spans="1:7" x14ac:dyDescent="0.3">
      <c r="A1825" s="11"/>
      <c r="B1825" s="8"/>
      <c r="C1825" s="7" t="str">
        <f>IF(B1825="","",IFERROR(INDEX(Vidriería!$C$2:$C$301,MATCH(B1825,Vidriería!$A$2:$A$301,0))&amp;" "&amp;INDEX(Vidriería!$D$2:$D$301,MATCH(B1825,Vidriería!$A$2:$A$301,0)),"ID no existe"))</f>
        <v/>
      </c>
      <c r="D1825" s="8"/>
      <c r="E1825" s="8"/>
      <c r="F1825" s="8"/>
      <c r="G1825" s="13"/>
    </row>
    <row r="1826" spans="1:7" x14ac:dyDescent="0.3">
      <c r="A1826" s="11"/>
      <c r="B1826" s="8"/>
      <c r="C1826" s="7" t="str">
        <f>IF(B1826="","",IFERROR(INDEX(Vidriería!$C$2:$C$301,MATCH(B1826,Vidriería!$A$2:$A$301,0))&amp;" "&amp;INDEX(Vidriería!$D$2:$D$301,MATCH(B1826,Vidriería!$A$2:$A$301,0)),"ID no existe"))</f>
        <v/>
      </c>
      <c r="D1826" s="8"/>
      <c r="E1826" s="8"/>
      <c r="F1826" s="8"/>
      <c r="G1826" s="13"/>
    </row>
    <row r="1827" spans="1:7" x14ac:dyDescent="0.3">
      <c r="A1827" s="11"/>
      <c r="B1827" s="8"/>
      <c r="C1827" s="7" t="str">
        <f>IF(B1827="","",IFERROR(INDEX(Vidriería!$C$2:$C$301,MATCH(B1827,Vidriería!$A$2:$A$301,0))&amp;" "&amp;INDEX(Vidriería!$D$2:$D$301,MATCH(B1827,Vidriería!$A$2:$A$301,0)),"ID no existe"))</f>
        <v/>
      </c>
      <c r="D1827" s="8"/>
      <c r="E1827" s="8"/>
      <c r="F1827" s="8"/>
      <c r="G1827" s="13"/>
    </row>
    <row r="1828" spans="1:7" x14ac:dyDescent="0.3">
      <c r="A1828" s="11"/>
      <c r="B1828" s="8"/>
      <c r="C1828" s="7" t="str">
        <f>IF(B1828="","",IFERROR(INDEX(Vidriería!$C$2:$C$301,MATCH(B1828,Vidriería!$A$2:$A$301,0))&amp;" "&amp;INDEX(Vidriería!$D$2:$D$301,MATCH(B1828,Vidriería!$A$2:$A$301,0)),"ID no existe"))</f>
        <v/>
      </c>
      <c r="D1828" s="8"/>
      <c r="E1828" s="8"/>
      <c r="F1828" s="8"/>
      <c r="G1828" s="13"/>
    </row>
    <row r="1829" spans="1:7" x14ac:dyDescent="0.3">
      <c r="A1829" s="11"/>
      <c r="B1829" s="8"/>
      <c r="C1829" s="7" t="str">
        <f>IF(B1829="","",IFERROR(INDEX(Vidriería!$C$2:$C$301,MATCH(B1829,Vidriería!$A$2:$A$301,0))&amp;" "&amp;INDEX(Vidriería!$D$2:$D$301,MATCH(B1829,Vidriería!$A$2:$A$301,0)),"ID no existe"))</f>
        <v/>
      </c>
      <c r="D1829" s="8"/>
      <c r="E1829" s="8"/>
      <c r="F1829" s="8"/>
      <c r="G1829" s="13"/>
    </row>
    <row r="1830" spans="1:7" x14ac:dyDescent="0.3">
      <c r="A1830" s="11"/>
      <c r="B1830" s="8"/>
      <c r="C1830" s="7" t="str">
        <f>IF(B1830="","",IFERROR(INDEX(Vidriería!$C$2:$C$301,MATCH(B1830,Vidriería!$A$2:$A$301,0))&amp;" "&amp;INDEX(Vidriería!$D$2:$D$301,MATCH(B1830,Vidriería!$A$2:$A$301,0)),"ID no existe"))</f>
        <v/>
      </c>
      <c r="D1830" s="8"/>
      <c r="E1830" s="8"/>
      <c r="F1830" s="8"/>
      <c r="G1830" s="13"/>
    </row>
    <row r="1831" spans="1:7" x14ac:dyDescent="0.3">
      <c r="A1831" s="11"/>
      <c r="B1831" s="8"/>
      <c r="C1831" s="7" t="str">
        <f>IF(B1831="","",IFERROR(INDEX(Vidriería!$C$2:$C$301,MATCH(B1831,Vidriería!$A$2:$A$301,0))&amp;" "&amp;INDEX(Vidriería!$D$2:$D$301,MATCH(B1831,Vidriería!$A$2:$A$301,0)),"ID no existe"))</f>
        <v/>
      </c>
      <c r="D1831" s="8"/>
      <c r="E1831" s="8"/>
      <c r="F1831" s="8"/>
      <c r="G1831" s="13"/>
    </row>
    <row r="1832" spans="1:7" x14ac:dyDescent="0.3">
      <c r="A1832" s="11"/>
      <c r="B1832" s="8"/>
      <c r="C1832" s="7" t="str">
        <f>IF(B1832="","",IFERROR(INDEX(Vidriería!$C$2:$C$301,MATCH(B1832,Vidriería!$A$2:$A$301,0))&amp;" "&amp;INDEX(Vidriería!$D$2:$D$301,MATCH(B1832,Vidriería!$A$2:$A$301,0)),"ID no existe"))</f>
        <v/>
      </c>
      <c r="D1832" s="8"/>
      <c r="E1832" s="8"/>
      <c r="F1832" s="8"/>
      <c r="G1832" s="13"/>
    </row>
    <row r="1833" spans="1:7" x14ac:dyDescent="0.3">
      <c r="A1833" s="11"/>
      <c r="B1833" s="8"/>
      <c r="C1833" s="7" t="str">
        <f>IF(B1833="","",IFERROR(INDEX(Vidriería!$C$2:$C$301,MATCH(B1833,Vidriería!$A$2:$A$301,0))&amp;" "&amp;INDEX(Vidriería!$D$2:$D$301,MATCH(B1833,Vidriería!$A$2:$A$301,0)),"ID no existe"))</f>
        <v/>
      </c>
      <c r="D1833" s="8"/>
      <c r="E1833" s="8"/>
      <c r="F1833" s="8"/>
      <c r="G1833" s="13"/>
    </row>
    <row r="1834" spans="1:7" x14ac:dyDescent="0.3">
      <c r="A1834" s="11"/>
      <c r="B1834" s="8"/>
      <c r="C1834" s="7" t="str">
        <f>IF(B1834="","",IFERROR(INDEX(Vidriería!$C$2:$C$301,MATCH(B1834,Vidriería!$A$2:$A$301,0))&amp;" "&amp;INDEX(Vidriería!$D$2:$D$301,MATCH(B1834,Vidriería!$A$2:$A$301,0)),"ID no existe"))</f>
        <v/>
      </c>
      <c r="D1834" s="8"/>
      <c r="E1834" s="8"/>
      <c r="F1834" s="8"/>
      <c r="G1834" s="13"/>
    </row>
    <row r="1835" spans="1:7" x14ac:dyDescent="0.3">
      <c r="A1835" s="11"/>
      <c r="B1835" s="8"/>
      <c r="C1835" s="7" t="str">
        <f>IF(B1835="","",IFERROR(INDEX(Vidriería!$C$2:$C$301,MATCH(B1835,Vidriería!$A$2:$A$301,0))&amp;" "&amp;INDEX(Vidriería!$D$2:$D$301,MATCH(B1835,Vidriería!$A$2:$A$301,0)),"ID no existe"))</f>
        <v/>
      </c>
      <c r="D1835" s="8"/>
      <c r="E1835" s="8"/>
      <c r="F1835" s="8"/>
      <c r="G1835" s="13"/>
    </row>
    <row r="1836" spans="1:7" x14ac:dyDescent="0.3">
      <c r="A1836" s="11"/>
      <c r="B1836" s="8"/>
      <c r="C1836" s="7" t="str">
        <f>IF(B1836="","",IFERROR(INDEX(Vidriería!$C$2:$C$301,MATCH(B1836,Vidriería!$A$2:$A$301,0))&amp;" "&amp;INDEX(Vidriería!$D$2:$D$301,MATCH(B1836,Vidriería!$A$2:$A$301,0)),"ID no existe"))</f>
        <v/>
      </c>
      <c r="D1836" s="8"/>
      <c r="E1836" s="8"/>
      <c r="F1836" s="8"/>
      <c r="G1836" s="13"/>
    </row>
    <row r="1837" spans="1:7" x14ac:dyDescent="0.3">
      <c r="A1837" s="11"/>
      <c r="B1837" s="8"/>
      <c r="C1837" s="7" t="str">
        <f>IF(B1837="","",IFERROR(INDEX(Vidriería!$C$2:$C$301,MATCH(B1837,Vidriería!$A$2:$A$301,0))&amp;" "&amp;INDEX(Vidriería!$D$2:$D$301,MATCH(B1837,Vidriería!$A$2:$A$301,0)),"ID no existe"))</f>
        <v/>
      </c>
      <c r="D1837" s="8"/>
      <c r="E1837" s="8"/>
      <c r="F1837" s="8"/>
      <c r="G1837" s="13"/>
    </row>
    <row r="1838" spans="1:7" x14ac:dyDescent="0.3">
      <c r="A1838" s="11"/>
      <c r="B1838" s="8"/>
      <c r="C1838" s="7" t="str">
        <f>IF(B1838="","",IFERROR(INDEX(Vidriería!$C$2:$C$301,MATCH(B1838,Vidriería!$A$2:$A$301,0))&amp;" "&amp;INDEX(Vidriería!$D$2:$D$301,MATCH(B1838,Vidriería!$A$2:$A$301,0)),"ID no existe"))</f>
        <v/>
      </c>
      <c r="D1838" s="8"/>
      <c r="E1838" s="8"/>
      <c r="F1838" s="8"/>
      <c r="G1838" s="13"/>
    </row>
    <row r="1839" spans="1:7" x14ac:dyDescent="0.3">
      <c r="A1839" s="11"/>
      <c r="B1839" s="8"/>
      <c r="C1839" s="7" t="str">
        <f>IF(B1839="","",IFERROR(INDEX(Vidriería!$C$2:$C$301,MATCH(B1839,Vidriería!$A$2:$A$301,0))&amp;" "&amp;INDEX(Vidriería!$D$2:$D$301,MATCH(B1839,Vidriería!$A$2:$A$301,0)),"ID no existe"))</f>
        <v/>
      </c>
      <c r="D1839" s="8"/>
      <c r="E1839" s="8"/>
      <c r="F1839" s="8"/>
      <c r="G1839" s="13"/>
    </row>
    <row r="1840" spans="1:7" x14ac:dyDescent="0.3">
      <c r="A1840" s="11"/>
      <c r="B1840" s="8"/>
      <c r="C1840" s="7" t="str">
        <f>IF(B1840="","",IFERROR(INDEX(Vidriería!$C$2:$C$301,MATCH(B1840,Vidriería!$A$2:$A$301,0))&amp;" "&amp;INDEX(Vidriería!$D$2:$D$301,MATCH(B1840,Vidriería!$A$2:$A$301,0)),"ID no existe"))</f>
        <v/>
      </c>
      <c r="D1840" s="8"/>
      <c r="E1840" s="8"/>
      <c r="F1840" s="8"/>
      <c r="G1840" s="13"/>
    </row>
    <row r="1841" spans="1:7" x14ac:dyDescent="0.3">
      <c r="A1841" s="11"/>
      <c r="B1841" s="8"/>
      <c r="C1841" s="7" t="str">
        <f>IF(B1841="","",IFERROR(INDEX(Vidriería!$C$2:$C$301,MATCH(B1841,Vidriería!$A$2:$A$301,0))&amp;" "&amp;INDEX(Vidriería!$D$2:$D$301,MATCH(B1841,Vidriería!$A$2:$A$301,0)),"ID no existe"))</f>
        <v/>
      </c>
      <c r="D1841" s="8"/>
      <c r="E1841" s="8"/>
      <c r="F1841" s="8"/>
      <c r="G1841" s="13"/>
    </row>
    <row r="1842" spans="1:7" x14ac:dyDescent="0.3">
      <c r="A1842" s="11"/>
      <c r="B1842" s="8"/>
      <c r="C1842" s="7" t="str">
        <f>IF(B1842="","",IFERROR(INDEX(Vidriería!$C$2:$C$301,MATCH(B1842,Vidriería!$A$2:$A$301,0))&amp;" "&amp;INDEX(Vidriería!$D$2:$D$301,MATCH(B1842,Vidriería!$A$2:$A$301,0)),"ID no existe"))</f>
        <v/>
      </c>
      <c r="D1842" s="8"/>
      <c r="E1842" s="8"/>
      <c r="F1842" s="8"/>
      <c r="G1842" s="13"/>
    </row>
    <row r="1843" spans="1:7" x14ac:dyDescent="0.3">
      <c r="A1843" s="11"/>
      <c r="B1843" s="8"/>
      <c r="C1843" s="7" t="str">
        <f>IF(B1843="","",IFERROR(INDEX(Vidriería!$C$2:$C$301,MATCH(B1843,Vidriería!$A$2:$A$301,0))&amp;" "&amp;INDEX(Vidriería!$D$2:$D$301,MATCH(B1843,Vidriería!$A$2:$A$301,0)),"ID no existe"))</f>
        <v/>
      </c>
      <c r="D1843" s="8"/>
      <c r="E1843" s="8"/>
      <c r="F1843" s="8"/>
      <c r="G1843" s="13"/>
    </row>
    <row r="1844" spans="1:7" x14ac:dyDescent="0.3">
      <c r="A1844" s="11"/>
      <c r="B1844" s="8"/>
      <c r="C1844" s="7" t="str">
        <f>IF(B1844="","",IFERROR(INDEX(Vidriería!$C$2:$C$301,MATCH(B1844,Vidriería!$A$2:$A$301,0))&amp;" "&amp;INDEX(Vidriería!$D$2:$D$301,MATCH(B1844,Vidriería!$A$2:$A$301,0)),"ID no existe"))</f>
        <v/>
      </c>
      <c r="D1844" s="8"/>
      <c r="E1844" s="8"/>
      <c r="F1844" s="8"/>
      <c r="G1844" s="13"/>
    </row>
    <row r="1845" spans="1:7" x14ac:dyDescent="0.3">
      <c r="A1845" s="11"/>
      <c r="B1845" s="8"/>
      <c r="C1845" s="7" t="str">
        <f>IF(B1845="","",IFERROR(INDEX(Vidriería!$C$2:$C$301,MATCH(B1845,Vidriería!$A$2:$A$301,0))&amp;" "&amp;INDEX(Vidriería!$D$2:$D$301,MATCH(B1845,Vidriería!$A$2:$A$301,0)),"ID no existe"))</f>
        <v/>
      </c>
      <c r="D1845" s="8"/>
      <c r="E1845" s="8"/>
      <c r="F1845" s="8"/>
      <c r="G1845" s="13"/>
    </row>
    <row r="1846" spans="1:7" x14ac:dyDescent="0.3">
      <c r="A1846" s="11"/>
      <c r="B1846" s="8"/>
      <c r="C1846" s="7" t="str">
        <f>IF(B1846="","",IFERROR(INDEX(Vidriería!$C$2:$C$301,MATCH(B1846,Vidriería!$A$2:$A$301,0))&amp;" "&amp;INDEX(Vidriería!$D$2:$D$301,MATCH(B1846,Vidriería!$A$2:$A$301,0)),"ID no existe"))</f>
        <v/>
      </c>
      <c r="D1846" s="8"/>
      <c r="E1846" s="8"/>
      <c r="F1846" s="8"/>
      <c r="G1846" s="13"/>
    </row>
    <row r="1847" spans="1:7" x14ac:dyDescent="0.3">
      <c r="A1847" s="11"/>
      <c r="B1847" s="8"/>
      <c r="C1847" s="7" t="str">
        <f>IF(B1847="","",IFERROR(INDEX(Vidriería!$C$2:$C$301,MATCH(B1847,Vidriería!$A$2:$A$301,0))&amp;" "&amp;INDEX(Vidriería!$D$2:$D$301,MATCH(B1847,Vidriería!$A$2:$A$301,0)),"ID no existe"))</f>
        <v/>
      </c>
      <c r="D1847" s="8"/>
      <c r="E1847" s="8"/>
      <c r="F1847" s="8"/>
      <c r="G1847" s="13"/>
    </row>
    <row r="1848" spans="1:7" x14ac:dyDescent="0.3">
      <c r="A1848" s="11"/>
      <c r="B1848" s="8"/>
      <c r="C1848" s="7" t="str">
        <f>IF(B1848="","",IFERROR(INDEX(Vidriería!$C$2:$C$301,MATCH(B1848,Vidriería!$A$2:$A$301,0))&amp;" "&amp;INDEX(Vidriería!$D$2:$D$301,MATCH(B1848,Vidriería!$A$2:$A$301,0)),"ID no existe"))</f>
        <v/>
      </c>
      <c r="D1848" s="8"/>
      <c r="E1848" s="8"/>
      <c r="F1848" s="8"/>
      <c r="G1848" s="13"/>
    </row>
    <row r="1849" spans="1:7" x14ac:dyDescent="0.3">
      <c r="A1849" s="11"/>
      <c r="B1849" s="8"/>
      <c r="C1849" s="7" t="str">
        <f>IF(B1849="","",IFERROR(INDEX(Vidriería!$C$2:$C$301,MATCH(B1849,Vidriería!$A$2:$A$301,0))&amp;" "&amp;INDEX(Vidriería!$D$2:$D$301,MATCH(B1849,Vidriería!$A$2:$A$301,0)),"ID no existe"))</f>
        <v/>
      </c>
      <c r="D1849" s="8"/>
      <c r="E1849" s="8"/>
      <c r="F1849" s="8"/>
      <c r="G1849" s="13"/>
    </row>
    <row r="1850" spans="1:7" x14ac:dyDescent="0.3">
      <c r="A1850" s="11"/>
      <c r="B1850" s="8"/>
      <c r="C1850" s="7" t="str">
        <f>IF(B1850="","",IFERROR(INDEX(Vidriería!$C$2:$C$301,MATCH(B1850,Vidriería!$A$2:$A$301,0))&amp;" "&amp;INDEX(Vidriería!$D$2:$D$301,MATCH(B1850,Vidriería!$A$2:$A$301,0)),"ID no existe"))</f>
        <v/>
      </c>
      <c r="D1850" s="8"/>
      <c r="E1850" s="8"/>
      <c r="F1850" s="8"/>
      <c r="G1850" s="13"/>
    </row>
    <row r="1851" spans="1:7" x14ac:dyDescent="0.3">
      <c r="A1851" s="11"/>
      <c r="B1851" s="8"/>
      <c r="C1851" s="7" t="str">
        <f>IF(B1851="","",IFERROR(INDEX(Vidriería!$C$2:$C$301,MATCH(B1851,Vidriería!$A$2:$A$301,0))&amp;" "&amp;INDEX(Vidriería!$D$2:$D$301,MATCH(B1851,Vidriería!$A$2:$A$301,0)),"ID no existe"))</f>
        <v/>
      </c>
      <c r="D1851" s="8"/>
      <c r="E1851" s="8"/>
      <c r="F1851" s="8"/>
      <c r="G1851" s="13"/>
    </row>
    <row r="1852" spans="1:7" x14ac:dyDescent="0.3">
      <c r="A1852" s="11"/>
      <c r="B1852" s="8"/>
      <c r="C1852" s="7" t="str">
        <f>IF(B1852="","",IFERROR(INDEX(Vidriería!$C$2:$C$301,MATCH(B1852,Vidriería!$A$2:$A$301,0))&amp;" "&amp;INDEX(Vidriería!$D$2:$D$301,MATCH(B1852,Vidriería!$A$2:$A$301,0)),"ID no existe"))</f>
        <v/>
      </c>
      <c r="D1852" s="8"/>
      <c r="E1852" s="8"/>
      <c r="F1852" s="8"/>
      <c r="G1852" s="13"/>
    </row>
    <row r="1853" spans="1:7" x14ac:dyDescent="0.3">
      <c r="A1853" s="11"/>
      <c r="B1853" s="8"/>
      <c r="C1853" s="7" t="str">
        <f>IF(B1853="","",IFERROR(INDEX(Vidriería!$C$2:$C$301,MATCH(B1853,Vidriería!$A$2:$A$301,0))&amp;" "&amp;INDEX(Vidriería!$D$2:$D$301,MATCH(B1853,Vidriería!$A$2:$A$301,0)),"ID no existe"))</f>
        <v/>
      </c>
      <c r="D1853" s="8"/>
      <c r="E1853" s="8"/>
      <c r="F1853" s="8"/>
      <c r="G1853" s="13"/>
    </row>
    <row r="1854" spans="1:7" x14ac:dyDescent="0.3">
      <c r="A1854" s="11"/>
      <c r="B1854" s="8"/>
      <c r="C1854" s="7" t="str">
        <f>IF(B1854="","",IFERROR(INDEX(Vidriería!$C$2:$C$301,MATCH(B1854,Vidriería!$A$2:$A$301,0))&amp;" "&amp;INDEX(Vidriería!$D$2:$D$301,MATCH(B1854,Vidriería!$A$2:$A$301,0)),"ID no existe"))</f>
        <v/>
      </c>
      <c r="D1854" s="8"/>
      <c r="E1854" s="8"/>
      <c r="F1854" s="8"/>
      <c r="G1854" s="13"/>
    </row>
    <row r="1855" spans="1:7" x14ac:dyDescent="0.3">
      <c r="A1855" s="11"/>
      <c r="B1855" s="8"/>
      <c r="C1855" s="7" t="str">
        <f>IF(B1855="","",IFERROR(INDEX(Vidriería!$C$2:$C$301,MATCH(B1855,Vidriería!$A$2:$A$301,0))&amp;" "&amp;INDEX(Vidriería!$D$2:$D$301,MATCH(B1855,Vidriería!$A$2:$A$301,0)),"ID no existe"))</f>
        <v/>
      </c>
      <c r="D1855" s="8"/>
      <c r="E1855" s="8"/>
      <c r="F1855" s="8"/>
      <c r="G1855" s="13"/>
    </row>
    <row r="1856" spans="1:7" x14ac:dyDescent="0.3">
      <c r="A1856" s="11"/>
      <c r="B1856" s="8"/>
      <c r="C1856" s="7" t="str">
        <f>IF(B1856="","",IFERROR(INDEX(Vidriería!$C$2:$C$301,MATCH(B1856,Vidriería!$A$2:$A$301,0))&amp;" "&amp;INDEX(Vidriería!$D$2:$D$301,MATCH(B1856,Vidriería!$A$2:$A$301,0)),"ID no existe"))</f>
        <v/>
      </c>
      <c r="D1856" s="8"/>
      <c r="E1856" s="8"/>
      <c r="F1856" s="8"/>
      <c r="G1856" s="13"/>
    </row>
    <row r="1857" spans="1:7" x14ac:dyDescent="0.3">
      <c r="A1857" s="11"/>
      <c r="B1857" s="8"/>
      <c r="C1857" s="7" t="str">
        <f>IF(B1857="","",IFERROR(INDEX(Vidriería!$C$2:$C$301,MATCH(B1857,Vidriería!$A$2:$A$301,0))&amp;" "&amp;INDEX(Vidriería!$D$2:$D$301,MATCH(B1857,Vidriería!$A$2:$A$301,0)),"ID no existe"))</f>
        <v/>
      </c>
      <c r="D1857" s="8"/>
      <c r="E1857" s="8"/>
      <c r="F1857" s="8"/>
      <c r="G1857" s="13"/>
    </row>
    <row r="1858" spans="1:7" x14ac:dyDescent="0.3">
      <c r="A1858" s="11"/>
      <c r="B1858" s="8"/>
      <c r="C1858" s="7" t="str">
        <f>IF(B1858="","",IFERROR(INDEX(Vidriería!$C$2:$C$301,MATCH(B1858,Vidriería!$A$2:$A$301,0))&amp;" "&amp;INDEX(Vidriería!$D$2:$D$301,MATCH(B1858,Vidriería!$A$2:$A$301,0)),"ID no existe"))</f>
        <v/>
      </c>
      <c r="D1858" s="8"/>
      <c r="E1858" s="8"/>
      <c r="F1858" s="8"/>
      <c r="G1858" s="13"/>
    </row>
    <row r="1859" spans="1:7" x14ac:dyDescent="0.3">
      <c r="A1859" s="11"/>
      <c r="B1859" s="8"/>
      <c r="C1859" s="7" t="str">
        <f>IF(B1859="","",IFERROR(INDEX(Vidriería!$C$2:$C$301,MATCH(B1859,Vidriería!$A$2:$A$301,0))&amp;" "&amp;INDEX(Vidriería!$D$2:$D$301,MATCH(B1859,Vidriería!$A$2:$A$301,0)),"ID no existe"))</f>
        <v/>
      </c>
      <c r="D1859" s="8"/>
      <c r="E1859" s="8"/>
      <c r="F1859" s="8"/>
      <c r="G1859" s="13"/>
    </row>
    <row r="1860" spans="1:7" x14ac:dyDescent="0.3">
      <c r="A1860" s="11"/>
      <c r="B1860" s="8"/>
      <c r="C1860" s="7" t="str">
        <f>IF(B1860="","",IFERROR(INDEX(Vidriería!$C$2:$C$301,MATCH(B1860,Vidriería!$A$2:$A$301,0))&amp;" "&amp;INDEX(Vidriería!$D$2:$D$301,MATCH(B1860,Vidriería!$A$2:$A$301,0)),"ID no existe"))</f>
        <v/>
      </c>
      <c r="D1860" s="8"/>
      <c r="E1860" s="8"/>
      <c r="F1860" s="8"/>
      <c r="G1860" s="13"/>
    </row>
    <row r="1861" spans="1:7" x14ac:dyDescent="0.3">
      <c r="A1861" s="11"/>
      <c r="B1861" s="8"/>
      <c r="C1861" s="7" t="str">
        <f>IF(B1861="","",IFERROR(INDEX(Vidriería!$C$2:$C$301,MATCH(B1861,Vidriería!$A$2:$A$301,0))&amp;" "&amp;INDEX(Vidriería!$D$2:$D$301,MATCH(B1861,Vidriería!$A$2:$A$301,0)),"ID no existe"))</f>
        <v/>
      </c>
      <c r="D1861" s="8"/>
      <c r="E1861" s="8"/>
      <c r="F1861" s="8"/>
      <c r="G1861" s="13"/>
    </row>
    <row r="1862" spans="1:7" x14ac:dyDescent="0.3">
      <c r="A1862" s="11"/>
      <c r="B1862" s="8"/>
      <c r="C1862" s="7" t="str">
        <f>IF(B1862="","",IFERROR(INDEX(Vidriería!$C$2:$C$301,MATCH(B1862,Vidriería!$A$2:$A$301,0))&amp;" "&amp;INDEX(Vidriería!$D$2:$D$301,MATCH(B1862,Vidriería!$A$2:$A$301,0)),"ID no existe"))</f>
        <v/>
      </c>
      <c r="D1862" s="8"/>
      <c r="E1862" s="8"/>
      <c r="F1862" s="8"/>
      <c r="G1862" s="13"/>
    </row>
    <row r="1863" spans="1:7" x14ac:dyDescent="0.3">
      <c r="A1863" s="11"/>
      <c r="B1863" s="8"/>
      <c r="C1863" s="7" t="str">
        <f>IF(B1863="","",IFERROR(INDEX(Vidriería!$C$2:$C$301,MATCH(B1863,Vidriería!$A$2:$A$301,0))&amp;" "&amp;INDEX(Vidriería!$D$2:$D$301,MATCH(B1863,Vidriería!$A$2:$A$301,0)),"ID no existe"))</f>
        <v/>
      </c>
      <c r="D1863" s="8"/>
      <c r="E1863" s="8"/>
      <c r="F1863" s="8"/>
      <c r="G1863" s="13"/>
    </row>
    <row r="1864" spans="1:7" x14ac:dyDescent="0.3">
      <c r="A1864" s="11"/>
      <c r="B1864" s="8"/>
      <c r="C1864" s="7" t="str">
        <f>IF(B1864="","",IFERROR(INDEX(Vidriería!$C$2:$C$301,MATCH(B1864,Vidriería!$A$2:$A$301,0))&amp;" "&amp;INDEX(Vidriería!$D$2:$D$301,MATCH(B1864,Vidriería!$A$2:$A$301,0)),"ID no existe"))</f>
        <v/>
      </c>
      <c r="D1864" s="8"/>
      <c r="E1864" s="8"/>
      <c r="F1864" s="8"/>
      <c r="G1864" s="13"/>
    </row>
    <row r="1865" spans="1:7" x14ac:dyDescent="0.3">
      <c r="A1865" s="11"/>
      <c r="B1865" s="8"/>
      <c r="C1865" s="7" t="str">
        <f>IF(B1865="","",IFERROR(INDEX(Vidriería!$C$2:$C$301,MATCH(B1865,Vidriería!$A$2:$A$301,0))&amp;" "&amp;INDEX(Vidriería!$D$2:$D$301,MATCH(B1865,Vidriería!$A$2:$A$301,0)),"ID no existe"))</f>
        <v/>
      </c>
      <c r="D1865" s="8"/>
      <c r="E1865" s="8"/>
      <c r="F1865" s="8"/>
      <c r="G1865" s="13"/>
    </row>
    <row r="1866" spans="1:7" x14ac:dyDescent="0.3">
      <c r="A1866" s="11"/>
      <c r="B1866" s="8"/>
      <c r="C1866" s="7" t="str">
        <f>IF(B1866="","",IFERROR(INDEX(Vidriería!$C$2:$C$301,MATCH(B1866,Vidriería!$A$2:$A$301,0))&amp;" "&amp;INDEX(Vidriería!$D$2:$D$301,MATCH(B1866,Vidriería!$A$2:$A$301,0)),"ID no existe"))</f>
        <v/>
      </c>
      <c r="D1866" s="8"/>
      <c r="E1866" s="8"/>
      <c r="F1866" s="8"/>
      <c r="G1866" s="13"/>
    </row>
    <row r="1867" spans="1:7" x14ac:dyDescent="0.3">
      <c r="A1867" s="11"/>
      <c r="B1867" s="8"/>
      <c r="C1867" s="7" t="str">
        <f>IF(B1867="","",IFERROR(INDEX(Vidriería!$C$2:$C$301,MATCH(B1867,Vidriería!$A$2:$A$301,0))&amp;" "&amp;INDEX(Vidriería!$D$2:$D$301,MATCH(B1867,Vidriería!$A$2:$A$301,0)),"ID no existe"))</f>
        <v/>
      </c>
      <c r="D1867" s="8"/>
      <c r="E1867" s="8"/>
      <c r="F1867" s="8"/>
      <c r="G1867" s="13"/>
    </row>
    <row r="1868" spans="1:7" x14ac:dyDescent="0.3">
      <c r="A1868" s="11"/>
      <c r="B1868" s="8"/>
      <c r="C1868" s="7" t="str">
        <f>IF(B1868="","",IFERROR(INDEX(Vidriería!$C$2:$C$301,MATCH(B1868,Vidriería!$A$2:$A$301,0))&amp;" "&amp;INDEX(Vidriería!$D$2:$D$301,MATCH(B1868,Vidriería!$A$2:$A$301,0)),"ID no existe"))</f>
        <v/>
      </c>
      <c r="D1868" s="8"/>
      <c r="E1868" s="8"/>
      <c r="F1868" s="8"/>
      <c r="G1868" s="13"/>
    </row>
    <row r="1869" spans="1:7" x14ac:dyDescent="0.3">
      <c r="A1869" s="11"/>
      <c r="B1869" s="8"/>
      <c r="C1869" s="7" t="str">
        <f>IF(B1869="","",IFERROR(INDEX(Vidriería!$C$2:$C$301,MATCH(B1869,Vidriería!$A$2:$A$301,0))&amp;" "&amp;INDEX(Vidriería!$D$2:$D$301,MATCH(B1869,Vidriería!$A$2:$A$301,0)),"ID no existe"))</f>
        <v/>
      </c>
      <c r="D1869" s="8"/>
      <c r="E1869" s="8"/>
      <c r="F1869" s="8"/>
      <c r="G1869" s="13"/>
    </row>
    <row r="1870" spans="1:7" x14ac:dyDescent="0.3">
      <c r="A1870" s="11"/>
      <c r="B1870" s="8"/>
      <c r="C1870" s="7" t="str">
        <f>IF(B1870="","",IFERROR(INDEX(Vidriería!$C$2:$C$301,MATCH(B1870,Vidriería!$A$2:$A$301,0))&amp;" "&amp;INDEX(Vidriería!$D$2:$D$301,MATCH(B1870,Vidriería!$A$2:$A$301,0)),"ID no existe"))</f>
        <v/>
      </c>
      <c r="D1870" s="8"/>
      <c r="E1870" s="8"/>
      <c r="F1870" s="8"/>
      <c r="G1870" s="13"/>
    </row>
    <row r="1871" spans="1:7" x14ac:dyDescent="0.3">
      <c r="A1871" s="11"/>
      <c r="B1871" s="8"/>
      <c r="C1871" s="7" t="str">
        <f>IF(B1871="","",IFERROR(INDEX(Vidriería!$C$2:$C$301,MATCH(B1871,Vidriería!$A$2:$A$301,0))&amp;" "&amp;INDEX(Vidriería!$D$2:$D$301,MATCH(B1871,Vidriería!$A$2:$A$301,0)),"ID no existe"))</f>
        <v/>
      </c>
      <c r="D1871" s="8"/>
      <c r="E1871" s="8"/>
      <c r="F1871" s="8"/>
      <c r="G1871" s="13"/>
    </row>
    <row r="1872" spans="1:7" x14ac:dyDescent="0.3">
      <c r="A1872" s="11"/>
      <c r="B1872" s="8"/>
      <c r="C1872" s="7" t="str">
        <f>IF(B1872="","",IFERROR(INDEX(Vidriería!$C$2:$C$301,MATCH(B1872,Vidriería!$A$2:$A$301,0))&amp;" "&amp;INDEX(Vidriería!$D$2:$D$301,MATCH(B1872,Vidriería!$A$2:$A$301,0)),"ID no existe"))</f>
        <v/>
      </c>
      <c r="D1872" s="8"/>
      <c r="E1872" s="8"/>
      <c r="F1872" s="8"/>
      <c r="G1872" s="13"/>
    </row>
    <row r="1873" spans="1:7" x14ac:dyDescent="0.3">
      <c r="A1873" s="11"/>
      <c r="B1873" s="8"/>
      <c r="C1873" s="7" t="str">
        <f>IF(B1873="","",IFERROR(INDEX(Vidriería!$C$2:$C$301,MATCH(B1873,Vidriería!$A$2:$A$301,0))&amp;" "&amp;INDEX(Vidriería!$D$2:$D$301,MATCH(B1873,Vidriería!$A$2:$A$301,0)),"ID no existe"))</f>
        <v/>
      </c>
      <c r="D1873" s="8"/>
      <c r="E1873" s="8"/>
      <c r="F1873" s="8"/>
      <c r="G1873" s="13"/>
    </row>
    <row r="1874" spans="1:7" x14ac:dyDescent="0.3">
      <c r="A1874" s="11"/>
      <c r="B1874" s="8"/>
      <c r="C1874" s="7" t="str">
        <f>IF(B1874="","",IFERROR(INDEX(Vidriería!$C$2:$C$301,MATCH(B1874,Vidriería!$A$2:$A$301,0))&amp;" "&amp;INDEX(Vidriería!$D$2:$D$301,MATCH(B1874,Vidriería!$A$2:$A$301,0)),"ID no existe"))</f>
        <v/>
      </c>
      <c r="D1874" s="8"/>
      <c r="E1874" s="8"/>
      <c r="F1874" s="8"/>
      <c r="G1874" s="13"/>
    </row>
    <row r="1875" spans="1:7" x14ac:dyDescent="0.3">
      <c r="A1875" s="11"/>
      <c r="B1875" s="8"/>
      <c r="C1875" s="7" t="str">
        <f>IF(B1875="","",IFERROR(INDEX(Vidriería!$C$2:$C$301,MATCH(B1875,Vidriería!$A$2:$A$301,0))&amp;" "&amp;INDEX(Vidriería!$D$2:$D$301,MATCH(B1875,Vidriería!$A$2:$A$301,0)),"ID no existe"))</f>
        <v/>
      </c>
      <c r="D1875" s="8"/>
      <c r="E1875" s="8"/>
      <c r="F1875" s="8"/>
      <c r="G1875" s="13"/>
    </row>
    <row r="1876" spans="1:7" x14ac:dyDescent="0.3">
      <c r="A1876" s="11"/>
      <c r="B1876" s="8"/>
      <c r="C1876" s="7" t="str">
        <f>IF(B1876="","",IFERROR(INDEX(Vidriería!$C$2:$C$301,MATCH(B1876,Vidriería!$A$2:$A$301,0))&amp;" "&amp;INDEX(Vidriería!$D$2:$D$301,MATCH(B1876,Vidriería!$A$2:$A$301,0)),"ID no existe"))</f>
        <v/>
      </c>
      <c r="D1876" s="8"/>
      <c r="E1876" s="8"/>
      <c r="F1876" s="8"/>
      <c r="G1876" s="13"/>
    </row>
    <row r="1877" spans="1:7" x14ac:dyDescent="0.3">
      <c r="A1877" s="11"/>
      <c r="B1877" s="8"/>
      <c r="C1877" s="7" t="str">
        <f>IF(B1877="","",IFERROR(INDEX(Vidriería!$C$2:$C$301,MATCH(B1877,Vidriería!$A$2:$A$301,0))&amp;" "&amp;INDEX(Vidriería!$D$2:$D$301,MATCH(B1877,Vidriería!$A$2:$A$301,0)),"ID no existe"))</f>
        <v/>
      </c>
      <c r="D1877" s="8"/>
      <c r="E1877" s="8"/>
      <c r="F1877" s="8"/>
      <c r="G1877" s="13"/>
    </row>
    <row r="1878" spans="1:7" x14ac:dyDescent="0.3">
      <c r="A1878" s="11"/>
      <c r="B1878" s="8"/>
      <c r="C1878" s="7" t="str">
        <f>IF(B1878="","",IFERROR(INDEX(Vidriería!$C$2:$C$301,MATCH(B1878,Vidriería!$A$2:$A$301,0))&amp;" "&amp;INDEX(Vidriería!$D$2:$D$301,MATCH(B1878,Vidriería!$A$2:$A$301,0)),"ID no existe"))</f>
        <v/>
      </c>
      <c r="D1878" s="8"/>
      <c r="E1878" s="8"/>
      <c r="F1878" s="8"/>
      <c r="G1878" s="13"/>
    </row>
    <row r="1879" spans="1:7" x14ac:dyDescent="0.3">
      <c r="A1879" s="11"/>
      <c r="B1879" s="8"/>
      <c r="C1879" s="7" t="str">
        <f>IF(B1879="","",IFERROR(INDEX(Vidriería!$C$2:$C$301,MATCH(B1879,Vidriería!$A$2:$A$301,0))&amp;" "&amp;INDEX(Vidriería!$D$2:$D$301,MATCH(B1879,Vidriería!$A$2:$A$301,0)),"ID no existe"))</f>
        <v/>
      </c>
      <c r="D1879" s="8"/>
      <c r="E1879" s="8"/>
      <c r="F1879" s="8"/>
      <c r="G1879" s="13"/>
    </row>
    <row r="1880" spans="1:7" x14ac:dyDescent="0.3">
      <c r="A1880" s="11"/>
      <c r="B1880" s="8"/>
      <c r="C1880" s="7" t="str">
        <f>IF(B1880="","",IFERROR(INDEX(Vidriería!$C$2:$C$301,MATCH(B1880,Vidriería!$A$2:$A$301,0))&amp;" "&amp;INDEX(Vidriería!$D$2:$D$301,MATCH(B1880,Vidriería!$A$2:$A$301,0)),"ID no existe"))</f>
        <v/>
      </c>
      <c r="D1880" s="8"/>
      <c r="E1880" s="8"/>
      <c r="F1880" s="8"/>
      <c r="G1880" s="13"/>
    </row>
    <row r="1881" spans="1:7" x14ac:dyDescent="0.3">
      <c r="A1881" s="11"/>
      <c r="B1881" s="8"/>
      <c r="C1881" s="7" t="str">
        <f>IF(B1881="","",IFERROR(INDEX(Vidriería!$C$2:$C$301,MATCH(B1881,Vidriería!$A$2:$A$301,0))&amp;" "&amp;INDEX(Vidriería!$D$2:$D$301,MATCH(B1881,Vidriería!$A$2:$A$301,0)),"ID no existe"))</f>
        <v/>
      </c>
      <c r="D1881" s="8"/>
      <c r="E1881" s="8"/>
      <c r="F1881" s="8"/>
      <c r="G1881" s="13"/>
    </row>
    <row r="1882" spans="1:7" x14ac:dyDescent="0.3">
      <c r="A1882" s="11"/>
      <c r="B1882" s="8"/>
      <c r="C1882" s="7" t="str">
        <f>IF(B1882="","",IFERROR(INDEX(Vidriería!$C$2:$C$301,MATCH(B1882,Vidriería!$A$2:$A$301,0))&amp;" "&amp;INDEX(Vidriería!$D$2:$D$301,MATCH(B1882,Vidriería!$A$2:$A$301,0)),"ID no existe"))</f>
        <v/>
      </c>
      <c r="D1882" s="8"/>
      <c r="E1882" s="8"/>
      <c r="F1882" s="8"/>
      <c r="G1882" s="13"/>
    </row>
    <row r="1883" spans="1:7" x14ac:dyDescent="0.3">
      <c r="A1883" s="11"/>
      <c r="B1883" s="8"/>
      <c r="C1883" s="7" t="str">
        <f>IF(B1883="","",IFERROR(INDEX(Vidriería!$C$2:$C$301,MATCH(B1883,Vidriería!$A$2:$A$301,0))&amp;" "&amp;INDEX(Vidriería!$D$2:$D$301,MATCH(B1883,Vidriería!$A$2:$A$301,0)),"ID no existe"))</f>
        <v/>
      </c>
      <c r="D1883" s="8"/>
      <c r="E1883" s="8"/>
      <c r="F1883" s="8"/>
      <c r="G1883" s="13"/>
    </row>
    <row r="1884" spans="1:7" x14ac:dyDescent="0.3">
      <c r="A1884" s="11"/>
      <c r="B1884" s="8"/>
      <c r="C1884" s="7" t="str">
        <f>IF(B1884="","",IFERROR(INDEX(Vidriería!$C$2:$C$301,MATCH(B1884,Vidriería!$A$2:$A$301,0))&amp;" "&amp;INDEX(Vidriería!$D$2:$D$301,MATCH(B1884,Vidriería!$A$2:$A$301,0)),"ID no existe"))</f>
        <v/>
      </c>
      <c r="D1884" s="8"/>
      <c r="E1884" s="8"/>
      <c r="F1884" s="8"/>
      <c r="G1884" s="13"/>
    </row>
    <row r="1885" spans="1:7" x14ac:dyDescent="0.3">
      <c r="A1885" s="11"/>
      <c r="B1885" s="8"/>
      <c r="C1885" s="7" t="str">
        <f>IF(B1885="","",IFERROR(INDEX(Vidriería!$C$2:$C$301,MATCH(B1885,Vidriería!$A$2:$A$301,0))&amp;" "&amp;INDEX(Vidriería!$D$2:$D$301,MATCH(B1885,Vidriería!$A$2:$A$301,0)),"ID no existe"))</f>
        <v/>
      </c>
      <c r="D1885" s="8"/>
      <c r="E1885" s="8"/>
      <c r="F1885" s="8"/>
      <c r="G1885" s="13"/>
    </row>
    <row r="1886" spans="1:7" x14ac:dyDescent="0.3">
      <c r="A1886" s="11"/>
      <c r="B1886" s="8"/>
      <c r="C1886" s="7" t="str">
        <f>IF(B1886="","",IFERROR(INDEX(Vidriería!$C$2:$C$301,MATCH(B1886,Vidriería!$A$2:$A$301,0))&amp;" "&amp;INDEX(Vidriería!$D$2:$D$301,MATCH(B1886,Vidriería!$A$2:$A$301,0)),"ID no existe"))</f>
        <v/>
      </c>
      <c r="D1886" s="8"/>
      <c r="E1886" s="8"/>
      <c r="F1886" s="8"/>
      <c r="G1886" s="13"/>
    </row>
    <row r="1887" spans="1:7" x14ac:dyDescent="0.3">
      <c r="A1887" s="11"/>
      <c r="B1887" s="8"/>
      <c r="C1887" s="7" t="str">
        <f>IF(B1887="","",IFERROR(INDEX(Vidriería!$C$2:$C$301,MATCH(B1887,Vidriería!$A$2:$A$301,0))&amp;" "&amp;INDEX(Vidriería!$D$2:$D$301,MATCH(B1887,Vidriería!$A$2:$A$301,0)),"ID no existe"))</f>
        <v/>
      </c>
      <c r="D1887" s="8"/>
      <c r="E1887" s="8"/>
      <c r="F1887" s="8"/>
      <c r="G1887" s="13"/>
    </row>
    <row r="1888" spans="1:7" x14ac:dyDescent="0.3">
      <c r="A1888" s="11"/>
      <c r="B1888" s="8"/>
      <c r="C1888" s="7" t="str">
        <f>IF(B1888="","",IFERROR(INDEX(Vidriería!$C$2:$C$301,MATCH(B1888,Vidriería!$A$2:$A$301,0))&amp;" "&amp;INDEX(Vidriería!$D$2:$D$301,MATCH(B1888,Vidriería!$A$2:$A$301,0)),"ID no existe"))</f>
        <v/>
      </c>
      <c r="D1888" s="8"/>
      <c r="E1888" s="8"/>
      <c r="F1888" s="8"/>
      <c r="G1888" s="13"/>
    </row>
    <row r="1889" spans="1:7" x14ac:dyDescent="0.3">
      <c r="A1889" s="11"/>
      <c r="B1889" s="8"/>
      <c r="C1889" s="7" t="str">
        <f>IF(B1889="","",IFERROR(INDEX(Vidriería!$C$2:$C$301,MATCH(B1889,Vidriería!$A$2:$A$301,0))&amp;" "&amp;INDEX(Vidriería!$D$2:$D$301,MATCH(B1889,Vidriería!$A$2:$A$301,0)),"ID no existe"))</f>
        <v/>
      </c>
      <c r="D1889" s="8"/>
      <c r="E1889" s="8"/>
      <c r="F1889" s="8"/>
      <c r="G1889" s="13"/>
    </row>
    <row r="1890" spans="1:7" x14ac:dyDescent="0.3">
      <c r="A1890" s="11"/>
      <c r="B1890" s="8"/>
      <c r="C1890" s="7" t="str">
        <f>IF(B1890="","",IFERROR(INDEX(Vidriería!$C$2:$C$301,MATCH(B1890,Vidriería!$A$2:$A$301,0))&amp;" "&amp;INDEX(Vidriería!$D$2:$D$301,MATCH(B1890,Vidriería!$A$2:$A$301,0)),"ID no existe"))</f>
        <v/>
      </c>
      <c r="D1890" s="8"/>
      <c r="E1890" s="8"/>
      <c r="F1890" s="8"/>
      <c r="G1890" s="13"/>
    </row>
    <row r="1891" spans="1:7" x14ac:dyDescent="0.3">
      <c r="A1891" s="11"/>
      <c r="B1891" s="8"/>
      <c r="C1891" s="7" t="str">
        <f>IF(B1891="","",IFERROR(INDEX(Vidriería!$C$2:$C$301,MATCH(B1891,Vidriería!$A$2:$A$301,0))&amp;" "&amp;INDEX(Vidriería!$D$2:$D$301,MATCH(B1891,Vidriería!$A$2:$A$301,0)),"ID no existe"))</f>
        <v/>
      </c>
      <c r="D1891" s="8"/>
      <c r="E1891" s="8"/>
      <c r="F1891" s="8"/>
      <c r="G1891" s="13"/>
    </row>
    <row r="1892" spans="1:7" x14ac:dyDescent="0.3">
      <c r="A1892" s="11"/>
      <c r="B1892" s="8"/>
      <c r="C1892" s="7" t="str">
        <f>IF(B1892="","",IFERROR(INDEX(Vidriería!$C$2:$C$301,MATCH(B1892,Vidriería!$A$2:$A$301,0))&amp;" "&amp;INDEX(Vidriería!$D$2:$D$301,MATCH(B1892,Vidriería!$A$2:$A$301,0)),"ID no existe"))</f>
        <v/>
      </c>
      <c r="D1892" s="8"/>
      <c r="E1892" s="8"/>
      <c r="F1892" s="8"/>
      <c r="G1892" s="13"/>
    </row>
    <row r="1893" spans="1:7" x14ac:dyDescent="0.3">
      <c r="A1893" s="11"/>
      <c r="B1893" s="8"/>
      <c r="C1893" s="7" t="str">
        <f>IF(B1893="","",IFERROR(INDEX(Vidriería!$C$2:$C$301,MATCH(B1893,Vidriería!$A$2:$A$301,0))&amp;" "&amp;INDEX(Vidriería!$D$2:$D$301,MATCH(B1893,Vidriería!$A$2:$A$301,0)),"ID no existe"))</f>
        <v/>
      </c>
      <c r="D1893" s="8"/>
      <c r="E1893" s="8"/>
      <c r="F1893" s="8"/>
      <c r="G1893" s="13"/>
    </row>
    <row r="1894" spans="1:7" x14ac:dyDescent="0.3">
      <c r="A1894" s="11"/>
      <c r="B1894" s="8"/>
      <c r="C1894" s="7" t="str">
        <f>IF(B1894="","",IFERROR(INDEX(Vidriería!$C$2:$C$301,MATCH(B1894,Vidriería!$A$2:$A$301,0))&amp;" "&amp;INDEX(Vidriería!$D$2:$D$301,MATCH(B1894,Vidriería!$A$2:$A$301,0)),"ID no existe"))</f>
        <v/>
      </c>
      <c r="D1894" s="8"/>
      <c r="E1894" s="8"/>
      <c r="F1894" s="8"/>
      <c r="G1894" s="13"/>
    </row>
    <row r="1895" spans="1:7" x14ac:dyDescent="0.3">
      <c r="A1895" s="11"/>
      <c r="B1895" s="8"/>
      <c r="C1895" s="7" t="str">
        <f>IF(B1895="","",IFERROR(INDEX(Vidriería!$C$2:$C$301,MATCH(B1895,Vidriería!$A$2:$A$301,0))&amp;" "&amp;INDEX(Vidriería!$D$2:$D$301,MATCH(B1895,Vidriería!$A$2:$A$301,0)),"ID no existe"))</f>
        <v/>
      </c>
      <c r="D1895" s="8"/>
      <c r="E1895" s="8"/>
      <c r="F1895" s="8"/>
      <c r="G1895" s="13"/>
    </row>
    <row r="1896" spans="1:7" x14ac:dyDescent="0.3">
      <c r="A1896" s="11"/>
      <c r="B1896" s="8"/>
      <c r="C1896" s="7" t="str">
        <f>IF(B1896="","",IFERROR(INDEX(Vidriería!$C$2:$C$301,MATCH(B1896,Vidriería!$A$2:$A$301,0))&amp;" "&amp;INDEX(Vidriería!$D$2:$D$301,MATCH(B1896,Vidriería!$A$2:$A$301,0)),"ID no existe"))</f>
        <v/>
      </c>
      <c r="D1896" s="8"/>
      <c r="E1896" s="8"/>
      <c r="F1896" s="8"/>
      <c r="G1896" s="13"/>
    </row>
    <row r="1897" spans="1:7" x14ac:dyDescent="0.3">
      <c r="A1897" s="11"/>
      <c r="B1897" s="8"/>
      <c r="C1897" s="7" t="str">
        <f>IF(B1897="","",IFERROR(INDEX(Vidriería!$C$2:$C$301,MATCH(B1897,Vidriería!$A$2:$A$301,0))&amp;" "&amp;INDEX(Vidriería!$D$2:$D$301,MATCH(B1897,Vidriería!$A$2:$A$301,0)),"ID no existe"))</f>
        <v/>
      </c>
      <c r="D1897" s="8"/>
      <c r="E1897" s="8"/>
      <c r="F1897" s="8"/>
      <c r="G1897" s="13"/>
    </row>
    <row r="1898" spans="1:7" x14ac:dyDescent="0.3">
      <c r="A1898" s="11"/>
      <c r="B1898" s="8"/>
      <c r="C1898" s="7" t="str">
        <f>IF(B1898="","",IFERROR(INDEX(Vidriería!$C$2:$C$301,MATCH(B1898,Vidriería!$A$2:$A$301,0))&amp;" "&amp;INDEX(Vidriería!$D$2:$D$301,MATCH(B1898,Vidriería!$A$2:$A$301,0)),"ID no existe"))</f>
        <v/>
      </c>
      <c r="D1898" s="8"/>
      <c r="E1898" s="8"/>
      <c r="F1898" s="8"/>
      <c r="G1898" s="13"/>
    </row>
    <row r="1899" spans="1:7" x14ac:dyDescent="0.3">
      <c r="A1899" s="11"/>
      <c r="B1899" s="8"/>
      <c r="C1899" s="7" t="str">
        <f>IF(B1899="","",IFERROR(INDEX(Vidriería!$C$2:$C$301,MATCH(B1899,Vidriería!$A$2:$A$301,0))&amp;" "&amp;INDEX(Vidriería!$D$2:$D$301,MATCH(B1899,Vidriería!$A$2:$A$301,0)),"ID no existe"))</f>
        <v/>
      </c>
      <c r="D1899" s="8"/>
      <c r="E1899" s="8"/>
      <c r="F1899" s="8"/>
      <c r="G1899" s="13"/>
    </row>
    <row r="1900" spans="1:7" x14ac:dyDescent="0.3">
      <c r="A1900" s="11"/>
      <c r="B1900" s="8"/>
      <c r="C1900" s="7" t="str">
        <f>IF(B1900="","",IFERROR(INDEX(Vidriería!$C$2:$C$301,MATCH(B1900,Vidriería!$A$2:$A$301,0))&amp;" "&amp;INDEX(Vidriería!$D$2:$D$301,MATCH(B1900,Vidriería!$A$2:$A$301,0)),"ID no existe"))</f>
        <v/>
      </c>
      <c r="D1900" s="8"/>
      <c r="E1900" s="8"/>
      <c r="F1900" s="8"/>
      <c r="G1900" s="13"/>
    </row>
    <row r="1901" spans="1:7" x14ac:dyDescent="0.3">
      <c r="A1901" s="11"/>
      <c r="B1901" s="8"/>
      <c r="C1901" s="7" t="str">
        <f>IF(B1901="","",IFERROR(INDEX(Vidriería!$C$2:$C$301,MATCH(B1901,Vidriería!$A$2:$A$301,0))&amp;" "&amp;INDEX(Vidriería!$D$2:$D$301,MATCH(B1901,Vidriería!$A$2:$A$301,0)),"ID no existe"))</f>
        <v/>
      </c>
      <c r="D1901" s="8"/>
      <c r="E1901" s="8"/>
      <c r="F1901" s="8"/>
      <c r="G1901" s="13"/>
    </row>
    <row r="1902" spans="1:7" x14ac:dyDescent="0.3">
      <c r="A1902" s="11"/>
      <c r="B1902" s="8"/>
      <c r="C1902" s="7" t="str">
        <f>IF(B1902="","",IFERROR(INDEX(Vidriería!$C$2:$C$301,MATCH(B1902,Vidriería!$A$2:$A$301,0))&amp;" "&amp;INDEX(Vidriería!$D$2:$D$301,MATCH(B1902,Vidriería!$A$2:$A$301,0)),"ID no existe"))</f>
        <v/>
      </c>
      <c r="D1902" s="8"/>
      <c r="E1902" s="8"/>
      <c r="F1902" s="8"/>
      <c r="G1902" s="13"/>
    </row>
    <row r="1903" spans="1:7" x14ac:dyDescent="0.3">
      <c r="A1903" s="11"/>
      <c r="B1903" s="8"/>
      <c r="C1903" s="7" t="str">
        <f>IF(B1903="","",IFERROR(INDEX(Vidriería!$C$2:$C$301,MATCH(B1903,Vidriería!$A$2:$A$301,0))&amp;" "&amp;INDEX(Vidriería!$D$2:$D$301,MATCH(B1903,Vidriería!$A$2:$A$301,0)),"ID no existe"))</f>
        <v/>
      </c>
      <c r="D1903" s="8"/>
      <c r="E1903" s="8"/>
      <c r="F1903" s="8"/>
      <c r="G1903" s="13"/>
    </row>
    <row r="1904" spans="1:7" x14ac:dyDescent="0.3">
      <c r="A1904" s="11"/>
      <c r="B1904" s="8"/>
      <c r="C1904" s="7" t="str">
        <f>IF(B1904="","",IFERROR(INDEX(Vidriería!$C$2:$C$301,MATCH(B1904,Vidriería!$A$2:$A$301,0))&amp;" "&amp;INDEX(Vidriería!$D$2:$D$301,MATCH(B1904,Vidriería!$A$2:$A$301,0)),"ID no existe"))</f>
        <v/>
      </c>
      <c r="D1904" s="8"/>
      <c r="E1904" s="8"/>
      <c r="F1904" s="8"/>
      <c r="G1904" s="13"/>
    </row>
    <row r="1905" spans="1:7" x14ac:dyDescent="0.3">
      <c r="A1905" s="11"/>
      <c r="B1905" s="8"/>
      <c r="C1905" s="7" t="str">
        <f>IF(B1905="","",IFERROR(INDEX(Vidriería!$C$2:$C$301,MATCH(B1905,Vidriería!$A$2:$A$301,0))&amp;" "&amp;INDEX(Vidriería!$D$2:$D$301,MATCH(B1905,Vidriería!$A$2:$A$301,0)),"ID no existe"))</f>
        <v/>
      </c>
      <c r="D1905" s="8"/>
      <c r="E1905" s="8"/>
      <c r="F1905" s="8"/>
      <c r="G1905" s="13"/>
    </row>
    <row r="1906" spans="1:7" x14ac:dyDescent="0.3">
      <c r="A1906" s="11"/>
      <c r="B1906" s="8"/>
      <c r="C1906" s="7" t="str">
        <f>IF(B1906="","",IFERROR(INDEX(Vidriería!$C$2:$C$301,MATCH(B1906,Vidriería!$A$2:$A$301,0))&amp;" "&amp;INDEX(Vidriería!$D$2:$D$301,MATCH(B1906,Vidriería!$A$2:$A$301,0)),"ID no existe"))</f>
        <v/>
      </c>
      <c r="D1906" s="8"/>
      <c r="E1906" s="8"/>
      <c r="F1906" s="8"/>
      <c r="G1906" s="13"/>
    </row>
    <row r="1907" spans="1:7" x14ac:dyDescent="0.3">
      <c r="A1907" s="11"/>
      <c r="B1907" s="8"/>
      <c r="C1907" s="7" t="str">
        <f>IF(B1907="","",IFERROR(INDEX(Vidriería!$C$2:$C$301,MATCH(B1907,Vidriería!$A$2:$A$301,0))&amp;" "&amp;INDEX(Vidriería!$D$2:$D$301,MATCH(B1907,Vidriería!$A$2:$A$301,0)),"ID no existe"))</f>
        <v/>
      </c>
      <c r="D1907" s="8"/>
      <c r="E1907" s="8"/>
      <c r="F1907" s="8"/>
      <c r="G1907" s="13"/>
    </row>
    <row r="1908" spans="1:7" x14ac:dyDescent="0.3">
      <c r="A1908" s="11"/>
      <c r="B1908" s="8"/>
      <c r="C1908" s="7" t="str">
        <f>IF(B1908="","",IFERROR(INDEX(Vidriería!$C$2:$C$301,MATCH(B1908,Vidriería!$A$2:$A$301,0))&amp;" "&amp;INDEX(Vidriería!$D$2:$D$301,MATCH(B1908,Vidriería!$A$2:$A$301,0)),"ID no existe"))</f>
        <v/>
      </c>
      <c r="D1908" s="8"/>
      <c r="E1908" s="8"/>
      <c r="F1908" s="8"/>
      <c r="G1908" s="13"/>
    </row>
    <row r="1909" spans="1:7" x14ac:dyDescent="0.3">
      <c r="A1909" s="11"/>
      <c r="B1909" s="8"/>
      <c r="C1909" s="7" t="str">
        <f>IF(B1909="","",IFERROR(INDEX(Vidriería!$C$2:$C$301,MATCH(B1909,Vidriería!$A$2:$A$301,0))&amp;" "&amp;INDEX(Vidriería!$D$2:$D$301,MATCH(B1909,Vidriería!$A$2:$A$301,0)),"ID no existe"))</f>
        <v/>
      </c>
      <c r="D1909" s="8"/>
      <c r="E1909" s="8"/>
      <c r="F1909" s="8"/>
      <c r="G1909" s="13"/>
    </row>
    <row r="1910" spans="1:7" x14ac:dyDescent="0.3">
      <c r="A1910" s="11"/>
      <c r="B1910" s="8"/>
      <c r="C1910" s="7" t="str">
        <f>IF(B1910="","",IFERROR(INDEX(Vidriería!$C$2:$C$301,MATCH(B1910,Vidriería!$A$2:$A$301,0))&amp;" "&amp;INDEX(Vidriería!$D$2:$D$301,MATCH(B1910,Vidriería!$A$2:$A$301,0)),"ID no existe"))</f>
        <v/>
      </c>
      <c r="D1910" s="8"/>
      <c r="E1910" s="8"/>
      <c r="F1910" s="8"/>
      <c r="G1910" s="13"/>
    </row>
    <row r="1911" spans="1:7" x14ac:dyDescent="0.3">
      <c r="A1911" s="11"/>
      <c r="B1911" s="8"/>
      <c r="C1911" s="7" t="str">
        <f>IF(B1911="","",IFERROR(INDEX(Vidriería!$C$2:$C$301,MATCH(B1911,Vidriería!$A$2:$A$301,0))&amp;" "&amp;INDEX(Vidriería!$D$2:$D$301,MATCH(B1911,Vidriería!$A$2:$A$301,0)),"ID no existe"))</f>
        <v/>
      </c>
      <c r="D1911" s="8"/>
      <c r="E1911" s="8"/>
      <c r="F1911" s="8"/>
      <c r="G1911" s="13"/>
    </row>
    <row r="1912" spans="1:7" x14ac:dyDescent="0.3">
      <c r="A1912" s="11"/>
      <c r="B1912" s="8"/>
      <c r="C1912" s="7" t="str">
        <f>IF(B1912="","",IFERROR(INDEX(Vidriería!$C$2:$C$301,MATCH(B1912,Vidriería!$A$2:$A$301,0))&amp;" "&amp;INDEX(Vidriería!$D$2:$D$301,MATCH(B1912,Vidriería!$A$2:$A$301,0)),"ID no existe"))</f>
        <v/>
      </c>
      <c r="D1912" s="8"/>
      <c r="E1912" s="8"/>
      <c r="F1912" s="8"/>
      <c r="G1912" s="13"/>
    </row>
    <row r="1913" spans="1:7" x14ac:dyDescent="0.3">
      <c r="A1913" s="11"/>
      <c r="B1913" s="8"/>
      <c r="C1913" s="7" t="str">
        <f>IF(B1913="","",IFERROR(INDEX(Vidriería!$C$2:$C$301,MATCH(B1913,Vidriería!$A$2:$A$301,0))&amp;" "&amp;INDEX(Vidriería!$D$2:$D$301,MATCH(B1913,Vidriería!$A$2:$A$301,0)),"ID no existe"))</f>
        <v/>
      </c>
      <c r="D1913" s="8"/>
      <c r="E1913" s="8"/>
      <c r="F1913" s="8"/>
      <c r="G1913" s="13"/>
    </row>
    <row r="1914" spans="1:7" x14ac:dyDescent="0.3">
      <c r="A1914" s="11"/>
      <c r="B1914" s="8"/>
      <c r="C1914" s="7" t="str">
        <f>IF(B1914="","",IFERROR(INDEX(Vidriería!$C$2:$C$301,MATCH(B1914,Vidriería!$A$2:$A$301,0))&amp;" "&amp;INDEX(Vidriería!$D$2:$D$301,MATCH(B1914,Vidriería!$A$2:$A$301,0)),"ID no existe"))</f>
        <v/>
      </c>
      <c r="D1914" s="8"/>
      <c r="E1914" s="8"/>
      <c r="F1914" s="8"/>
      <c r="G1914" s="13"/>
    </row>
    <row r="1915" spans="1:7" x14ac:dyDescent="0.3">
      <c r="A1915" s="11"/>
      <c r="B1915" s="8"/>
      <c r="C1915" s="7" t="str">
        <f>IF(B1915="","",IFERROR(INDEX(Vidriería!$C$2:$C$301,MATCH(B1915,Vidriería!$A$2:$A$301,0))&amp;" "&amp;INDEX(Vidriería!$D$2:$D$301,MATCH(B1915,Vidriería!$A$2:$A$301,0)),"ID no existe"))</f>
        <v/>
      </c>
      <c r="D1915" s="8"/>
      <c r="E1915" s="8"/>
      <c r="F1915" s="8"/>
      <c r="G1915" s="13"/>
    </row>
    <row r="1916" spans="1:7" x14ac:dyDescent="0.3">
      <c r="A1916" s="11"/>
      <c r="B1916" s="8"/>
      <c r="C1916" s="7" t="str">
        <f>IF(B1916="","",IFERROR(INDEX(Vidriería!$C$2:$C$301,MATCH(B1916,Vidriería!$A$2:$A$301,0))&amp;" "&amp;INDEX(Vidriería!$D$2:$D$301,MATCH(B1916,Vidriería!$A$2:$A$301,0)),"ID no existe"))</f>
        <v/>
      </c>
      <c r="D1916" s="8"/>
      <c r="E1916" s="8"/>
      <c r="F1916" s="8"/>
      <c r="G1916" s="13"/>
    </row>
    <row r="1917" spans="1:7" x14ac:dyDescent="0.3">
      <c r="A1917" s="11"/>
      <c r="B1917" s="8"/>
      <c r="C1917" s="7" t="str">
        <f>IF(B1917="","",IFERROR(INDEX(Vidriería!$C$2:$C$301,MATCH(B1917,Vidriería!$A$2:$A$301,0))&amp;" "&amp;INDEX(Vidriería!$D$2:$D$301,MATCH(B1917,Vidriería!$A$2:$A$301,0)),"ID no existe"))</f>
        <v/>
      </c>
      <c r="D1917" s="8"/>
      <c r="E1917" s="8"/>
      <c r="F1917" s="8"/>
      <c r="G1917" s="13"/>
    </row>
    <row r="1918" spans="1:7" x14ac:dyDescent="0.3">
      <c r="A1918" s="11"/>
      <c r="B1918" s="8"/>
      <c r="C1918" s="7" t="str">
        <f>IF(B1918="","",IFERROR(INDEX(Vidriería!$C$2:$C$301,MATCH(B1918,Vidriería!$A$2:$A$301,0))&amp;" "&amp;INDEX(Vidriería!$D$2:$D$301,MATCH(B1918,Vidriería!$A$2:$A$301,0)),"ID no existe"))</f>
        <v/>
      </c>
      <c r="D1918" s="8"/>
      <c r="E1918" s="8"/>
      <c r="F1918" s="8"/>
      <c r="G1918" s="13"/>
    </row>
    <row r="1919" spans="1:7" x14ac:dyDescent="0.3">
      <c r="A1919" s="11"/>
      <c r="B1919" s="8"/>
      <c r="C1919" s="7" t="str">
        <f>IF(B1919="","",IFERROR(INDEX(Vidriería!$C$2:$C$301,MATCH(B1919,Vidriería!$A$2:$A$301,0))&amp;" "&amp;INDEX(Vidriería!$D$2:$D$301,MATCH(B1919,Vidriería!$A$2:$A$301,0)),"ID no existe"))</f>
        <v/>
      </c>
      <c r="D1919" s="8"/>
      <c r="E1919" s="8"/>
      <c r="F1919" s="8"/>
      <c r="G1919" s="13"/>
    </row>
    <row r="1920" spans="1:7" x14ac:dyDescent="0.3">
      <c r="A1920" s="11"/>
      <c r="B1920" s="8"/>
      <c r="C1920" s="7" t="str">
        <f>IF(B1920="","",IFERROR(INDEX(Vidriería!$C$2:$C$301,MATCH(B1920,Vidriería!$A$2:$A$301,0))&amp;" "&amp;INDEX(Vidriería!$D$2:$D$301,MATCH(B1920,Vidriería!$A$2:$A$301,0)),"ID no existe"))</f>
        <v/>
      </c>
      <c r="D1920" s="8"/>
      <c r="E1920" s="8"/>
      <c r="F1920" s="8"/>
      <c r="G1920" s="13"/>
    </row>
    <row r="1921" spans="1:7" x14ac:dyDescent="0.3">
      <c r="A1921" s="11"/>
      <c r="B1921" s="8"/>
      <c r="C1921" s="7" t="str">
        <f>IF(B1921="","",IFERROR(INDEX(Vidriería!$C$2:$C$301,MATCH(B1921,Vidriería!$A$2:$A$301,0))&amp;" "&amp;INDEX(Vidriería!$D$2:$D$301,MATCH(B1921,Vidriería!$A$2:$A$301,0)),"ID no existe"))</f>
        <v/>
      </c>
      <c r="D1921" s="8"/>
      <c r="E1921" s="8"/>
      <c r="F1921" s="8"/>
      <c r="G1921" s="13"/>
    </row>
    <row r="1922" spans="1:7" x14ac:dyDescent="0.3">
      <c r="A1922" s="11"/>
      <c r="B1922" s="8"/>
      <c r="C1922" s="7" t="str">
        <f>IF(B1922="","",IFERROR(INDEX(Vidriería!$C$2:$C$301,MATCH(B1922,Vidriería!$A$2:$A$301,0))&amp;" "&amp;INDEX(Vidriería!$D$2:$D$301,MATCH(B1922,Vidriería!$A$2:$A$301,0)),"ID no existe"))</f>
        <v/>
      </c>
      <c r="D1922" s="8"/>
      <c r="E1922" s="8"/>
      <c r="F1922" s="8"/>
      <c r="G1922" s="13"/>
    </row>
    <row r="1923" spans="1:7" x14ac:dyDescent="0.3">
      <c r="A1923" s="11"/>
      <c r="B1923" s="8"/>
      <c r="C1923" s="7" t="str">
        <f>IF(B1923="","",IFERROR(INDEX(Vidriería!$C$2:$C$301,MATCH(B1923,Vidriería!$A$2:$A$301,0))&amp;" "&amp;INDEX(Vidriería!$D$2:$D$301,MATCH(B1923,Vidriería!$A$2:$A$301,0)),"ID no existe"))</f>
        <v/>
      </c>
      <c r="D1923" s="8"/>
      <c r="E1923" s="8"/>
      <c r="F1923" s="8"/>
      <c r="G1923" s="13"/>
    </row>
    <row r="1924" spans="1:7" x14ac:dyDescent="0.3">
      <c r="A1924" s="11"/>
      <c r="B1924" s="8"/>
      <c r="C1924" s="7" t="str">
        <f>IF(B1924="","",IFERROR(INDEX(Vidriería!$C$2:$C$301,MATCH(B1924,Vidriería!$A$2:$A$301,0))&amp;" "&amp;INDEX(Vidriería!$D$2:$D$301,MATCH(B1924,Vidriería!$A$2:$A$301,0)),"ID no existe"))</f>
        <v/>
      </c>
      <c r="D1924" s="8"/>
      <c r="E1924" s="8"/>
      <c r="F1924" s="8"/>
      <c r="G1924" s="13"/>
    </row>
    <row r="1925" spans="1:7" x14ac:dyDescent="0.3">
      <c r="A1925" s="11"/>
      <c r="B1925" s="8"/>
      <c r="C1925" s="7" t="str">
        <f>IF(B1925="","",IFERROR(INDEX(Vidriería!$C$2:$C$301,MATCH(B1925,Vidriería!$A$2:$A$301,0))&amp;" "&amp;INDEX(Vidriería!$D$2:$D$301,MATCH(B1925,Vidriería!$A$2:$A$301,0)),"ID no existe"))</f>
        <v/>
      </c>
      <c r="D1925" s="8"/>
      <c r="E1925" s="8"/>
      <c r="F1925" s="8"/>
      <c r="G1925" s="13"/>
    </row>
    <row r="1926" spans="1:7" x14ac:dyDescent="0.3">
      <c r="A1926" s="11"/>
      <c r="B1926" s="8"/>
      <c r="C1926" s="7" t="str">
        <f>IF(B1926="","",IFERROR(INDEX(Vidriería!$C$2:$C$301,MATCH(B1926,Vidriería!$A$2:$A$301,0))&amp;" "&amp;INDEX(Vidriería!$D$2:$D$301,MATCH(B1926,Vidriería!$A$2:$A$301,0)),"ID no existe"))</f>
        <v/>
      </c>
      <c r="D1926" s="8"/>
      <c r="E1926" s="8"/>
      <c r="F1926" s="8"/>
      <c r="G1926" s="13"/>
    </row>
    <row r="1927" spans="1:7" x14ac:dyDescent="0.3">
      <c r="A1927" s="11"/>
      <c r="B1927" s="8"/>
      <c r="C1927" s="7" t="str">
        <f>IF(B1927="","",IFERROR(INDEX(Vidriería!$C$2:$C$301,MATCH(B1927,Vidriería!$A$2:$A$301,0))&amp;" "&amp;INDEX(Vidriería!$D$2:$D$301,MATCH(B1927,Vidriería!$A$2:$A$301,0)),"ID no existe"))</f>
        <v/>
      </c>
      <c r="D1927" s="8"/>
      <c r="E1927" s="8"/>
      <c r="F1927" s="8"/>
      <c r="G1927" s="13"/>
    </row>
    <row r="1928" spans="1:7" x14ac:dyDescent="0.3">
      <c r="A1928" s="11"/>
      <c r="B1928" s="8"/>
      <c r="C1928" s="7" t="str">
        <f>IF(B1928="","",IFERROR(INDEX(Vidriería!$C$2:$C$301,MATCH(B1928,Vidriería!$A$2:$A$301,0))&amp;" "&amp;INDEX(Vidriería!$D$2:$D$301,MATCH(B1928,Vidriería!$A$2:$A$301,0)),"ID no existe"))</f>
        <v/>
      </c>
      <c r="D1928" s="8"/>
      <c r="E1928" s="8"/>
      <c r="F1928" s="8"/>
      <c r="G1928" s="13"/>
    </row>
    <row r="1929" spans="1:7" x14ac:dyDescent="0.3">
      <c r="A1929" s="11"/>
      <c r="B1929" s="8"/>
      <c r="C1929" s="7" t="str">
        <f>IF(B1929="","",IFERROR(INDEX(Vidriería!$C$2:$C$301,MATCH(B1929,Vidriería!$A$2:$A$301,0))&amp;" "&amp;INDEX(Vidriería!$D$2:$D$301,MATCH(B1929,Vidriería!$A$2:$A$301,0)),"ID no existe"))</f>
        <v/>
      </c>
      <c r="D1929" s="8"/>
      <c r="E1929" s="8"/>
      <c r="F1929" s="8"/>
      <c r="G1929" s="13"/>
    </row>
    <row r="1930" spans="1:7" x14ac:dyDescent="0.3">
      <c r="A1930" s="11"/>
      <c r="B1930" s="8"/>
      <c r="C1930" s="7" t="str">
        <f>IF(B1930="","",IFERROR(INDEX(Vidriería!$C$2:$C$301,MATCH(B1930,Vidriería!$A$2:$A$301,0))&amp;" "&amp;INDEX(Vidriería!$D$2:$D$301,MATCH(B1930,Vidriería!$A$2:$A$301,0)),"ID no existe"))</f>
        <v/>
      </c>
      <c r="D1930" s="8"/>
      <c r="E1930" s="8"/>
      <c r="F1930" s="8"/>
      <c r="G1930" s="13"/>
    </row>
    <row r="1931" spans="1:7" x14ac:dyDescent="0.3">
      <c r="A1931" s="11"/>
      <c r="B1931" s="8"/>
      <c r="C1931" s="7" t="str">
        <f>IF(B1931="","",IFERROR(INDEX(Vidriería!$C$2:$C$301,MATCH(B1931,Vidriería!$A$2:$A$301,0))&amp;" "&amp;INDEX(Vidriería!$D$2:$D$301,MATCH(B1931,Vidriería!$A$2:$A$301,0)),"ID no existe"))</f>
        <v/>
      </c>
      <c r="D1931" s="8"/>
      <c r="E1931" s="8"/>
      <c r="F1931" s="8"/>
      <c r="G1931" s="13"/>
    </row>
    <row r="1932" spans="1:7" x14ac:dyDescent="0.3">
      <c r="A1932" s="11"/>
      <c r="B1932" s="8"/>
      <c r="C1932" s="7" t="str">
        <f>IF(B1932="","",IFERROR(INDEX(Vidriería!$C$2:$C$301,MATCH(B1932,Vidriería!$A$2:$A$301,0))&amp;" "&amp;INDEX(Vidriería!$D$2:$D$301,MATCH(B1932,Vidriería!$A$2:$A$301,0)),"ID no existe"))</f>
        <v/>
      </c>
      <c r="D1932" s="8"/>
      <c r="E1932" s="8"/>
      <c r="F1932" s="8"/>
      <c r="G1932" s="13"/>
    </row>
    <row r="1933" spans="1:7" x14ac:dyDescent="0.3">
      <c r="A1933" s="11"/>
      <c r="B1933" s="8"/>
      <c r="C1933" s="7" t="str">
        <f>IF(B1933="","",IFERROR(INDEX(Vidriería!$C$2:$C$301,MATCH(B1933,Vidriería!$A$2:$A$301,0))&amp;" "&amp;INDEX(Vidriería!$D$2:$D$301,MATCH(B1933,Vidriería!$A$2:$A$301,0)),"ID no existe"))</f>
        <v/>
      </c>
      <c r="D1933" s="8"/>
      <c r="E1933" s="8"/>
      <c r="F1933" s="8"/>
      <c r="G1933" s="13"/>
    </row>
    <row r="1934" spans="1:7" x14ac:dyDescent="0.3">
      <c r="A1934" s="11"/>
      <c r="B1934" s="8"/>
      <c r="C1934" s="7" t="str">
        <f>IF(B1934="","",IFERROR(INDEX(Vidriería!$C$2:$C$301,MATCH(B1934,Vidriería!$A$2:$A$301,0))&amp;" "&amp;INDEX(Vidriería!$D$2:$D$301,MATCH(B1934,Vidriería!$A$2:$A$301,0)),"ID no existe"))</f>
        <v/>
      </c>
      <c r="D1934" s="8"/>
      <c r="E1934" s="8"/>
      <c r="F1934" s="8"/>
      <c r="G1934" s="13"/>
    </row>
    <row r="1935" spans="1:7" x14ac:dyDescent="0.3">
      <c r="A1935" s="11"/>
      <c r="B1935" s="8"/>
      <c r="C1935" s="7" t="str">
        <f>IF(B1935="","",IFERROR(INDEX(Vidriería!$C$2:$C$301,MATCH(B1935,Vidriería!$A$2:$A$301,0))&amp;" "&amp;INDEX(Vidriería!$D$2:$D$301,MATCH(B1935,Vidriería!$A$2:$A$301,0)),"ID no existe"))</f>
        <v/>
      </c>
      <c r="D1935" s="8"/>
      <c r="E1935" s="8"/>
      <c r="F1935" s="8"/>
      <c r="G1935" s="13"/>
    </row>
    <row r="1936" spans="1:7" x14ac:dyDescent="0.3">
      <c r="A1936" s="11"/>
      <c r="B1936" s="8"/>
      <c r="C1936" s="7" t="str">
        <f>IF(B1936="","",IFERROR(INDEX(Vidriería!$C$2:$C$301,MATCH(B1936,Vidriería!$A$2:$A$301,0))&amp;" "&amp;INDEX(Vidriería!$D$2:$D$301,MATCH(B1936,Vidriería!$A$2:$A$301,0)),"ID no existe"))</f>
        <v/>
      </c>
      <c r="D1936" s="8"/>
      <c r="E1936" s="8"/>
      <c r="F1936" s="8"/>
      <c r="G1936" s="13"/>
    </row>
    <row r="1937" spans="1:7" x14ac:dyDescent="0.3">
      <c r="A1937" s="11"/>
      <c r="B1937" s="8"/>
      <c r="C1937" s="7" t="str">
        <f>IF(B1937="","",IFERROR(INDEX(Vidriería!$C$2:$C$301,MATCH(B1937,Vidriería!$A$2:$A$301,0))&amp;" "&amp;INDEX(Vidriería!$D$2:$D$301,MATCH(B1937,Vidriería!$A$2:$A$301,0)),"ID no existe"))</f>
        <v/>
      </c>
      <c r="D1937" s="8"/>
      <c r="E1937" s="8"/>
      <c r="F1937" s="8"/>
      <c r="G1937" s="13"/>
    </row>
    <row r="1938" spans="1:7" x14ac:dyDescent="0.3">
      <c r="A1938" s="11"/>
      <c r="B1938" s="8"/>
      <c r="C1938" s="7" t="str">
        <f>IF(B1938="","",IFERROR(INDEX(Vidriería!$C$2:$C$301,MATCH(B1938,Vidriería!$A$2:$A$301,0))&amp;" "&amp;INDEX(Vidriería!$D$2:$D$301,MATCH(B1938,Vidriería!$A$2:$A$301,0)),"ID no existe"))</f>
        <v/>
      </c>
      <c r="D1938" s="8"/>
      <c r="E1938" s="8"/>
      <c r="F1938" s="8"/>
      <c r="G1938" s="13"/>
    </row>
    <row r="1939" spans="1:7" x14ac:dyDescent="0.3">
      <c r="A1939" s="11"/>
      <c r="B1939" s="8"/>
      <c r="C1939" s="7" t="str">
        <f>IF(B1939="","",IFERROR(INDEX(Vidriería!$C$2:$C$301,MATCH(B1939,Vidriería!$A$2:$A$301,0))&amp;" "&amp;INDEX(Vidriería!$D$2:$D$301,MATCH(B1939,Vidriería!$A$2:$A$301,0)),"ID no existe"))</f>
        <v/>
      </c>
      <c r="D1939" s="8"/>
      <c r="E1939" s="8"/>
      <c r="F1939" s="8"/>
      <c r="G1939" s="13"/>
    </row>
    <row r="1940" spans="1:7" x14ac:dyDescent="0.3">
      <c r="A1940" s="11"/>
      <c r="B1940" s="8"/>
      <c r="C1940" s="7" t="str">
        <f>IF(B1940="","",IFERROR(INDEX(Vidriería!$C$2:$C$301,MATCH(B1940,Vidriería!$A$2:$A$301,0))&amp;" "&amp;INDEX(Vidriería!$D$2:$D$301,MATCH(B1940,Vidriería!$A$2:$A$301,0)),"ID no existe"))</f>
        <v/>
      </c>
      <c r="D1940" s="8"/>
      <c r="E1940" s="8"/>
      <c r="F1940" s="8"/>
      <c r="G1940" s="13"/>
    </row>
    <row r="1941" spans="1:7" x14ac:dyDescent="0.3">
      <c r="A1941" s="11"/>
      <c r="B1941" s="8"/>
      <c r="C1941" s="7" t="str">
        <f>IF(B1941="","",IFERROR(INDEX(Vidriería!$C$2:$C$301,MATCH(B1941,Vidriería!$A$2:$A$301,0))&amp;" "&amp;INDEX(Vidriería!$D$2:$D$301,MATCH(B1941,Vidriería!$A$2:$A$301,0)),"ID no existe"))</f>
        <v/>
      </c>
      <c r="D1941" s="8"/>
      <c r="E1941" s="8"/>
      <c r="F1941" s="8"/>
      <c r="G1941" s="13"/>
    </row>
    <row r="1942" spans="1:7" x14ac:dyDescent="0.3">
      <c r="A1942" s="11"/>
      <c r="B1942" s="8"/>
      <c r="C1942" s="7" t="str">
        <f>IF(B1942="","",IFERROR(INDEX(Vidriería!$C$2:$C$301,MATCH(B1942,Vidriería!$A$2:$A$301,0))&amp;" "&amp;INDEX(Vidriería!$D$2:$D$301,MATCH(B1942,Vidriería!$A$2:$A$301,0)),"ID no existe"))</f>
        <v/>
      </c>
      <c r="D1942" s="8"/>
      <c r="E1942" s="8"/>
      <c r="F1942" s="8"/>
      <c r="G1942" s="13"/>
    </row>
    <row r="1943" spans="1:7" x14ac:dyDescent="0.3">
      <c r="A1943" s="11"/>
      <c r="B1943" s="8"/>
      <c r="C1943" s="7" t="str">
        <f>IF(B1943="","",IFERROR(INDEX(Vidriería!$C$2:$C$301,MATCH(B1943,Vidriería!$A$2:$A$301,0))&amp;" "&amp;INDEX(Vidriería!$D$2:$D$301,MATCH(B1943,Vidriería!$A$2:$A$301,0)),"ID no existe"))</f>
        <v/>
      </c>
      <c r="D1943" s="8"/>
      <c r="E1943" s="8"/>
      <c r="F1943" s="8"/>
      <c r="G1943" s="13"/>
    </row>
    <row r="1944" spans="1:7" x14ac:dyDescent="0.3">
      <c r="A1944" s="11"/>
      <c r="B1944" s="8"/>
      <c r="C1944" s="7" t="str">
        <f>IF(B1944="","",IFERROR(INDEX(Vidriería!$C$2:$C$301,MATCH(B1944,Vidriería!$A$2:$A$301,0))&amp;" "&amp;INDEX(Vidriería!$D$2:$D$301,MATCH(B1944,Vidriería!$A$2:$A$301,0)),"ID no existe"))</f>
        <v/>
      </c>
      <c r="D1944" s="8"/>
      <c r="E1944" s="8"/>
      <c r="F1944" s="8"/>
      <c r="G1944" s="13"/>
    </row>
    <row r="1945" spans="1:7" x14ac:dyDescent="0.3">
      <c r="A1945" s="11"/>
      <c r="B1945" s="8"/>
      <c r="C1945" s="7" t="str">
        <f>IF(B1945="","",IFERROR(INDEX(Vidriería!$C$2:$C$301,MATCH(B1945,Vidriería!$A$2:$A$301,0))&amp;" "&amp;INDEX(Vidriería!$D$2:$D$301,MATCH(B1945,Vidriería!$A$2:$A$301,0)),"ID no existe"))</f>
        <v/>
      </c>
      <c r="D1945" s="8"/>
      <c r="E1945" s="8"/>
      <c r="F1945" s="8"/>
      <c r="G1945" s="13"/>
    </row>
    <row r="1946" spans="1:7" x14ac:dyDescent="0.3">
      <c r="A1946" s="11"/>
      <c r="B1946" s="8"/>
      <c r="C1946" s="7" t="str">
        <f>IF(B1946="","",IFERROR(INDEX(Vidriería!$C$2:$C$301,MATCH(B1946,Vidriería!$A$2:$A$301,0))&amp;" "&amp;INDEX(Vidriería!$D$2:$D$301,MATCH(B1946,Vidriería!$A$2:$A$301,0)),"ID no existe"))</f>
        <v/>
      </c>
      <c r="D1946" s="8"/>
      <c r="E1946" s="8"/>
      <c r="F1946" s="8"/>
      <c r="G1946" s="13"/>
    </row>
    <row r="1947" spans="1:7" x14ac:dyDescent="0.3">
      <c r="A1947" s="11"/>
      <c r="B1947" s="8"/>
      <c r="C1947" s="7" t="str">
        <f>IF(B1947="","",IFERROR(INDEX(Vidriería!$C$2:$C$301,MATCH(B1947,Vidriería!$A$2:$A$301,0))&amp;" "&amp;INDEX(Vidriería!$D$2:$D$301,MATCH(B1947,Vidriería!$A$2:$A$301,0)),"ID no existe"))</f>
        <v/>
      </c>
      <c r="D1947" s="8"/>
      <c r="E1947" s="8"/>
      <c r="F1947" s="8"/>
      <c r="G1947" s="13"/>
    </row>
    <row r="1948" spans="1:7" x14ac:dyDescent="0.3">
      <c r="A1948" s="11"/>
      <c r="B1948" s="8"/>
      <c r="C1948" s="7" t="str">
        <f>IF(B1948="","",IFERROR(INDEX(Vidriería!$C$2:$C$301,MATCH(B1948,Vidriería!$A$2:$A$301,0))&amp;" "&amp;INDEX(Vidriería!$D$2:$D$301,MATCH(B1948,Vidriería!$A$2:$A$301,0)),"ID no existe"))</f>
        <v/>
      </c>
      <c r="D1948" s="8"/>
      <c r="E1948" s="8"/>
      <c r="F1948" s="8"/>
      <c r="G1948" s="13"/>
    </row>
    <row r="1949" spans="1:7" x14ac:dyDescent="0.3">
      <c r="A1949" s="11"/>
      <c r="B1949" s="8"/>
      <c r="C1949" s="7" t="str">
        <f>IF(B1949="","",IFERROR(INDEX(Vidriería!$C$2:$C$301,MATCH(B1949,Vidriería!$A$2:$A$301,0))&amp;" "&amp;INDEX(Vidriería!$D$2:$D$301,MATCH(B1949,Vidriería!$A$2:$A$301,0)),"ID no existe"))</f>
        <v/>
      </c>
      <c r="D1949" s="8"/>
      <c r="E1949" s="8"/>
      <c r="F1949" s="8"/>
      <c r="G1949" s="13"/>
    </row>
    <row r="1950" spans="1:7" x14ac:dyDescent="0.3">
      <c r="A1950" s="11"/>
      <c r="B1950" s="8"/>
      <c r="C1950" s="7" t="str">
        <f>IF(B1950="","",IFERROR(INDEX(Vidriería!$C$2:$C$301,MATCH(B1950,Vidriería!$A$2:$A$301,0))&amp;" "&amp;INDEX(Vidriería!$D$2:$D$301,MATCH(B1950,Vidriería!$A$2:$A$301,0)),"ID no existe"))</f>
        <v/>
      </c>
      <c r="D1950" s="8"/>
      <c r="E1950" s="8"/>
      <c r="F1950" s="8"/>
      <c r="G1950" s="13"/>
    </row>
    <row r="1951" spans="1:7" x14ac:dyDescent="0.3">
      <c r="A1951" s="11"/>
      <c r="B1951" s="8"/>
      <c r="C1951" s="7" t="str">
        <f>IF(B1951="","",IFERROR(INDEX(Vidriería!$C$2:$C$301,MATCH(B1951,Vidriería!$A$2:$A$301,0))&amp;" "&amp;INDEX(Vidriería!$D$2:$D$301,MATCH(B1951,Vidriería!$A$2:$A$301,0)),"ID no existe"))</f>
        <v/>
      </c>
      <c r="D1951" s="8"/>
      <c r="E1951" s="8"/>
      <c r="F1951" s="8"/>
      <c r="G1951" s="13"/>
    </row>
    <row r="1952" spans="1:7" x14ac:dyDescent="0.3">
      <c r="A1952" s="11"/>
      <c r="B1952" s="8"/>
      <c r="C1952" s="7" t="str">
        <f>IF(B1952="","",IFERROR(INDEX(Vidriería!$C$2:$C$301,MATCH(B1952,Vidriería!$A$2:$A$301,0))&amp;" "&amp;INDEX(Vidriería!$D$2:$D$301,MATCH(B1952,Vidriería!$A$2:$A$301,0)),"ID no existe"))</f>
        <v/>
      </c>
      <c r="D1952" s="8"/>
      <c r="E1952" s="8"/>
      <c r="F1952" s="8"/>
      <c r="G1952" s="13"/>
    </row>
    <row r="1953" spans="1:7" x14ac:dyDescent="0.3">
      <c r="A1953" s="11"/>
      <c r="B1953" s="8"/>
      <c r="C1953" s="7" t="str">
        <f>IF(B1953="","",IFERROR(INDEX(Vidriería!$C$2:$C$301,MATCH(B1953,Vidriería!$A$2:$A$301,0))&amp;" "&amp;INDEX(Vidriería!$D$2:$D$301,MATCH(B1953,Vidriería!$A$2:$A$301,0)),"ID no existe"))</f>
        <v/>
      </c>
      <c r="D1953" s="8"/>
      <c r="E1953" s="8"/>
      <c r="F1953" s="8"/>
      <c r="G1953" s="13"/>
    </row>
    <row r="1954" spans="1:7" x14ac:dyDescent="0.3">
      <c r="A1954" s="11"/>
      <c r="B1954" s="8"/>
      <c r="C1954" s="7" t="str">
        <f>IF(B1954="","",IFERROR(INDEX(Vidriería!$C$2:$C$301,MATCH(B1954,Vidriería!$A$2:$A$301,0))&amp;" "&amp;INDEX(Vidriería!$D$2:$D$301,MATCH(B1954,Vidriería!$A$2:$A$301,0)),"ID no existe"))</f>
        <v/>
      </c>
      <c r="D1954" s="8"/>
      <c r="E1954" s="8"/>
      <c r="F1954" s="8"/>
      <c r="G1954" s="13"/>
    </row>
    <row r="1955" spans="1:7" x14ac:dyDescent="0.3">
      <c r="A1955" s="11"/>
      <c r="B1955" s="8"/>
      <c r="C1955" s="7" t="str">
        <f>IF(B1955="","",IFERROR(INDEX(Vidriería!$C$2:$C$301,MATCH(B1955,Vidriería!$A$2:$A$301,0))&amp;" "&amp;INDEX(Vidriería!$D$2:$D$301,MATCH(B1955,Vidriería!$A$2:$A$301,0)),"ID no existe"))</f>
        <v/>
      </c>
      <c r="D1955" s="8"/>
      <c r="E1955" s="8"/>
      <c r="F1955" s="8"/>
      <c r="G1955" s="13"/>
    </row>
    <row r="1956" spans="1:7" x14ac:dyDescent="0.3">
      <c r="A1956" s="11"/>
      <c r="B1956" s="8"/>
      <c r="C1956" s="7" t="str">
        <f>IF(B1956="","",IFERROR(INDEX(Vidriería!$C$2:$C$301,MATCH(B1956,Vidriería!$A$2:$A$301,0))&amp;" "&amp;INDEX(Vidriería!$D$2:$D$301,MATCH(B1956,Vidriería!$A$2:$A$301,0)),"ID no existe"))</f>
        <v/>
      </c>
      <c r="D1956" s="8"/>
      <c r="E1956" s="8"/>
      <c r="F1956" s="8"/>
      <c r="G1956" s="13"/>
    </row>
    <row r="1957" spans="1:7" x14ac:dyDescent="0.3">
      <c r="A1957" s="11"/>
      <c r="B1957" s="8"/>
      <c r="C1957" s="7" t="str">
        <f>IF(B1957="","",IFERROR(INDEX(Vidriería!$C$2:$C$301,MATCH(B1957,Vidriería!$A$2:$A$301,0))&amp;" "&amp;INDEX(Vidriería!$D$2:$D$301,MATCH(B1957,Vidriería!$A$2:$A$301,0)),"ID no existe"))</f>
        <v/>
      </c>
      <c r="D1957" s="8"/>
      <c r="E1957" s="8"/>
      <c r="F1957" s="8"/>
      <c r="G1957" s="13"/>
    </row>
    <row r="1958" spans="1:7" x14ac:dyDescent="0.3">
      <c r="A1958" s="11"/>
      <c r="B1958" s="8"/>
      <c r="C1958" s="7" t="str">
        <f>IF(B1958="","",IFERROR(INDEX(Vidriería!$C$2:$C$301,MATCH(B1958,Vidriería!$A$2:$A$301,0))&amp;" "&amp;INDEX(Vidriería!$D$2:$D$301,MATCH(B1958,Vidriería!$A$2:$A$301,0)),"ID no existe"))</f>
        <v/>
      </c>
      <c r="D1958" s="8"/>
      <c r="E1958" s="8"/>
      <c r="F1958" s="8"/>
      <c r="G1958" s="13"/>
    </row>
    <row r="1959" spans="1:7" x14ac:dyDescent="0.3">
      <c r="A1959" s="11"/>
      <c r="B1959" s="8"/>
      <c r="C1959" s="7" t="str">
        <f>IF(B1959="","",IFERROR(INDEX(Vidriería!$C$2:$C$301,MATCH(B1959,Vidriería!$A$2:$A$301,0))&amp;" "&amp;INDEX(Vidriería!$D$2:$D$301,MATCH(B1959,Vidriería!$A$2:$A$301,0)),"ID no existe"))</f>
        <v/>
      </c>
      <c r="D1959" s="8"/>
      <c r="E1959" s="8"/>
      <c r="F1959" s="8"/>
      <c r="G1959" s="13"/>
    </row>
    <row r="1960" spans="1:7" x14ac:dyDescent="0.3">
      <c r="A1960" s="11"/>
      <c r="B1960" s="8"/>
      <c r="C1960" s="7" t="str">
        <f>IF(B1960="","",IFERROR(INDEX(Vidriería!$C$2:$C$301,MATCH(B1960,Vidriería!$A$2:$A$301,0))&amp;" "&amp;INDEX(Vidriería!$D$2:$D$301,MATCH(B1960,Vidriería!$A$2:$A$301,0)),"ID no existe"))</f>
        <v/>
      </c>
      <c r="D1960" s="8"/>
      <c r="E1960" s="8"/>
      <c r="F1960" s="8"/>
      <c r="G1960" s="13"/>
    </row>
    <row r="1961" spans="1:7" x14ac:dyDescent="0.3">
      <c r="A1961" s="11"/>
      <c r="B1961" s="8"/>
      <c r="C1961" s="7" t="str">
        <f>IF(B1961="","",IFERROR(INDEX(Vidriería!$C$2:$C$301,MATCH(B1961,Vidriería!$A$2:$A$301,0))&amp;" "&amp;INDEX(Vidriería!$D$2:$D$301,MATCH(B1961,Vidriería!$A$2:$A$301,0)),"ID no existe"))</f>
        <v/>
      </c>
      <c r="D1961" s="8"/>
      <c r="E1961" s="8"/>
      <c r="F1961" s="8"/>
      <c r="G1961" s="13"/>
    </row>
    <row r="1962" spans="1:7" x14ac:dyDescent="0.3">
      <c r="A1962" s="11"/>
      <c r="B1962" s="8"/>
      <c r="C1962" s="7" t="str">
        <f>IF(B1962="","",IFERROR(INDEX(Vidriería!$C$2:$C$301,MATCH(B1962,Vidriería!$A$2:$A$301,0))&amp;" "&amp;INDEX(Vidriería!$D$2:$D$301,MATCH(B1962,Vidriería!$A$2:$A$301,0)),"ID no existe"))</f>
        <v/>
      </c>
      <c r="D1962" s="8"/>
      <c r="E1962" s="8"/>
      <c r="F1962" s="8"/>
      <c r="G1962" s="13"/>
    </row>
    <row r="1963" spans="1:7" x14ac:dyDescent="0.3">
      <c r="A1963" s="11"/>
      <c r="B1963" s="8"/>
      <c r="C1963" s="7" t="str">
        <f>IF(B1963="","",IFERROR(INDEX(Vidriería!$C$2:$C$301,MATCH(B1963,Vidriería!$A$2:$A$301,0))&amp;" "&amp;INDEX(Vidriería!$D$2:$D$301,MATCH(B1963,Vidriería!$A$2:$A$301,0)),"ID no existe"))</f>
        <v/>
      </c>
      <c r="D1963" s="8"/>
      <c r="E1963" s="8"/>
      <c r="F1963" s="8"/>
      <c r="G1963" s="13"/>
    </row>
    <row r="1964" spans="1:7" x14ac:dyDescent="0.3">
      <c r="A1964" s="11"/>
      <c r="B1964" s="8"/>
      <c r="C1964" s="7" t="str">
        <f>IF(B1964="","",IFERROR(INDEX(Vidriería!$C$2:$C$301,MATCH(B1964,Vidriería!$A$2:$A$301,0))&amp;" "&amp;INDEX(Vidriería!$D$2:$D$301,MATCH(B1964,Vidriería!$A$2:$A$301,0)),"ID no existe"))</f>
        <v/>
      </c>
      <c r="D1964" s="8"/>
      <c r="E1964" s="8"/>
      <c r="F1964" s="8"/>
      <c r="G1964" s="13"/>
    </row>
    <row r="1965" spans="1:7" x14ac:dyDescent="0.3">
      <c r="A1965" s="11"/>
      <c r="B1965" s="8"/>
      <c r="C1965" s="7" t="str">
        <f>IF(B1965="","",IFERROR(INDEX(Vidriería!$C$2:$C$301,MATCH(B1965,Vidriería!$A$2:$A$301,0))&amp;" "&amp;INDEX(Vidriería!$D$2:$D$301,MATCH(B1965,Vidriería!$A$2:$A$301,0)),"ID no existe"))</f>
        <v/>
      </c>
      <c r="D1965" s="8"/>
      <c r="E1965" s="8"/>
      <c r="F1965" s="8"/>
      <c r="G1965" s="13"/>
    </row>
    <row r="1966" spans="1:7" x14ac:dyDescent="0.3">
      <c r="A1966" s="11"/>
      <c r="B1966" s="8"/>
      <c r="C1966" s="7" t="str">
        <f>IF(B1966="","",IFERROR(INDEX(Vidriería!$C$2:$C$301,MATCH(B1966,Vidriería!$A$2:$A$301,0))&amp;" "&amp;INDEX(Vidriería!$D$2:$D$301,MATCH(B1966,Vidriería!$A$2:$A$301,0)),"ID no existe"))</f>
        <v/>
      </c>
      <c r="D1966" s="8"/>
      <c r="E1966" s="8"/>
      <c r="F1966" s="8"/>
      <c r="G1966" s="13"/>
    </row>
    <row r="1967" spans="1:7" x14ac:dyDescent="0.3">
      <c r="A1967" s="11"/>
      <c r="B1967" s="8"/>
      <c r="C1967" s="7" t="str">
        <f>IF(B1967="","",IFERROR(INDEX(Vidriería!$C$2:$C$301,MATCH(B1967,Vidriería!$A$2:$A$301,0))&amp;" "&amp;INDEX(Vidriería!$D$2:$D$301,MATCH(B1967,Vidriería!$A$2:$A$301,0)),"ID no existe"))</f>
        <v/>
      </c>
      <c r="D1967" s="8"/>
      <c r="E1967" s="8"/>
      <c r="F1967" s="8"/>
      <c r="G1967" s="13"/>
    </row>
    <row r="1968" spans="1:7" x14ac:dyDescent="0.3">
      <c r="A1968" s="11"/>
      <c r="B1968" s="8"/>
      <c r="C1968" s="7" t="str">
        <f>IF(B1968="","",IFERROR(INDEX(Vidriería!$C$2:$C$301,MATCH(B1968,Vidriería!$A$2:$A$301,0))&amp;" "&amp;INDEX(Vidriería!$D$2:$D$301,MATCH(B1968,Vidriería!$A$2:$A$301,0)),"ID no existe"))</f>
        <v/>
      </c>
      <c r="D1968" s="8"/>
      <c r="E1968" s="8"/>
      <c r="F1968" s="8"/>
      <c r="G1968" s="13"/>
    </row>
    <row r="1969" spans="1:7" x14ac:dyDescent="0.3">
      <c r="A1969" s="11"/>
      <c r="B1969" s="8"/>
      <c r="C1969" s="7" t="str">
        <f>IF(B1969="","",IFERROR(INDEX(Vidriería!$C$2:$C$301,MATCH(B1969,Vidriería!$A$2:$A$301,0))&amp;" "&amp;INDEX(Vidriería!$D$2:$D$301,MATCH(B1969,Vidriería!$A$2:$A$301,0)),"ID no existe"))</f>
        <v/>
      </c>
      <c r="D1969" s="8"/>
      <c r="E1969" s="8"/>
      <c r="F1969" s="8"/>
      <c r="G1969" s="13"/>
    </row>
    <row r="1970" spans="1:7" x14ac:dyDescent="0.3">
      <c r="A1970" s="11"/>
      <c r="B1970" s="8"/>
      <c r="C1970" s="7" t="str">
        <f>IF(B1970="","",IFERROR(INDEX(Vidriería!$C$2:$C$301,MATCH(B1970,Vidriería!$A$2:$A$301,0))&amp;" "&amp;INDEX(Vidriería!$D$2:$D$301,MATCH(B1970,Vidriería!$A$2:$A$301,0)),"ID no existe"))</f>
        <v/>
      </c>
      <c r="D1970" s="8"/>
      <c r="E1970" s="8"/>
      <c r="F1970" s="8"/>
      <c r="G1970" s="13"/>
    </row>
    <row r="1971" spans="1:7" x14ac:dyDescent="0.3">
      <c r="A1971" s="11"/>
      <c r="B1971" s="8"/>
      <c r="C1971" s="7" t="str">
        <f>IF(B1971="","",IFERROR(INDEX(Vidriería!$C$2:$C$301,MATCH(B1971,Vidriería!$A$2:$A$301,0))&amp;" "&amp;INDEX(Vidriería!$D$2:$D$301,MATCH(B1971,Vidriería!$A$2:$A$301,0)),"ID no existe"))</f>
        <v/>
      </c>
      <c r="D1971" s="8"/>
      <c r="E1971" s="8"/>
      <c r="F1971" s="8"/>
      <c r="G1971" s="13"/>
    </row>
    <row r="1972" spans="1:7" x14ac:dyDescent="0.3">
      <c r="A1972" s="11"/>
      <c r="B1972" s="8"/>
      <c r="C1972" s="7" t="str">
        <f>IF(B1972="","",IFERROR(INDEX(Vidriería!$C$2:$C$301,MATCH(B1972,Vidriería!$A$2:$A$301,0))&amp;" "&amp;INDEX(Vidriería!$D$2:$D$301,MATCH(B1972,Vidriería!$A$2:$A$301,0)),"ID no existe"))</f>
        <v/>
      </c>
      <c r="D1972" s="8"/>
      <c r="E1972" s="8"/>
      <c r="F1972" s="8"/>
      <c r="G1972" s="13"/>
    </row>
    <row r="1973" spans="1:7" x14ac:dyDescent="0.3">
      <c r="A1973" s="11"/>
      <c r="B1973" s="8"/>
      <c r="C1973" s="7" t="str">
        <f>IF(B1973="","",IFERROR(INDEX(Vidriería!$C$2:$C$301,MATCH(B1973,Vidriería!$A$2:$A$301,0))&amp;" "&amp;INDEX(Vidriería!$D$2:$D$301,MATCH(B1973,Vidriería!$A$2:$A$301,0)),"ID no existe"))</f>
        <v/>
      </c>
      <c r="D1973" s="8"/>
      <c r="E1973" s="8"/>
      <c r="F1973" s="8"/>
      <c r="G1973" s="13"/>
    </row>
    <row r="1974" spans="1:7" x14ac:dyDescent="0.3">
      <c r="A1974" s="11"/>
      <c r="B1974" s="8"/>
      <c r="C1974" s="7" t="str">
        <f>IF(B1974="","",IFERROR(INDEX(Vidriería!$C$2:$C$301,MATCH(B1974,Vidriería!$A$2:$A$301,0))&amp;" "&amp;INDEX(Vidriería!$D$2:$D$301,MATCH(B1974,Vidriería!$A$2:$A$301,0)),"ID no existe"))</f>
        <v/>
      </c>
      <c r="D1974" s="8"/>
      <c r="E1974" s="8"/>
      <c r="F1974" s="8"/>
      <c r="G1974" s="13"/>
    </row>
    <row r="1975" spans="1:7" x14ac:dyDescent="0.3">
      <c r="A1975" s="11"/>
      <c r="B1975" s="8"/>
      <c r="C1975" s="7" t="str">
        <f>IF(B1975="","",IFERROR(INDEX(Vidriería!$C$2:$C$301,MATCH(B1975,Vidriería!$A$2:$A$301,0))&amp;" "&amp;INDEX(Vidriería!$D$2:$D$301,MATCH(B1975,Vidriería!$A$2:$A$301,0)),"ID no existe"))</f>
        <v/>
      </c>
      <c r="D1975" s="8"/>
      <c r="E1975" s="8"/>
      <c r="F1975" s="8"/>
      <c r="G1975" s="13"/>
    </row>
    <row r="1976" spans="1:7" x14ac:dyDescent="0.3">
      <c r="A1976" s="11"/>
      <c r="B1976" s="8"/>
      <c r="C1976" s="7" t="str">
        <f>IF(B1976="","",IFERROR(INDEX(Vidriería!$C$2:$C$301,MATCH(B1976,Vidriería!$A$2:$A$301,0))&amp;" "&amp;INDEX(Vidriería!$D$2:$D$301,MATCH(B1976,Vidriería!$A$2:$A$301,0)),"ID no existe"))</f>
        <v/>
      </c>
      <c r="D1976" s="8"/>
      <c r="E1976" s="8"/>
      <c r="F1976" s="8"/>
      <c r="G1976" s="13"/>
    </row>
    <row r="1977" spans="1:7" x14ac:dyDescent="0.3">
      <c r="A1977" s="11"/>
      <c r="B1977" s="8"/>
      <c r="C1977" s="7" t="str">
        <f>IF(B1977="","",IFERROR(INDEX(Vidriería!$C$2:$C$301,MATCH(B1977,Vidriería!$A$2:$A$301,0))&amp;" "&amp;INDEX(Vidriería!$D$2:$D$301,MATCH(B1977,Vidriería!$A$2:$A$301,0)),"ID no existe"))</f>
        <v/>
      </c>
      <c r="D1977" s="8"/>
      <c r="E1977" s="8"/>
      <c r="F1977" s="8"/>
      <c r="G1977" s="13"/>
    </row>
    <row r="1978" spans="1:7" x14ac:dyDescent="0.3">
      <c r="A1978" s="11"/>
      <c r="B1978" s="8"/>
      <c r="C1978" s="7" t="str">
        <f>IF(B1978="","",IFERROR(INDEX(Vidriería!$C$2:$C$301,MATCH(B1978,Vidriería!$A$2:$A$301,0))&amp;" "&amp;INDEX(Vidriería!$D$2:$D$301,MATCH(B1978,Vidriería!$A$2:$A$301,0)),"ID no existe"))</f>
        <v/>
      </c>
      <c r="D1978" s="8"/>
      <c r="E1978" s="8"/>
      <c r="F1978" s="8"/>
      <c r="G1978" s="13"/>
    </row>
    <row r="1979" spans="1:7" x14ac:dyDescent="0.3">
      <c r="A1979" s="11"/>
      <c r="B1979" s="8"/>
      <c r="C1979" s="7" t="str">
        <f>IF(B1979="","",IFERROR(INDEX(Vidriería!$C$2:$C$301,MATCH(B1979,Vidriería!$A$2:$A$301,0))&amp;" "&amp;INDEX(Vidriería!$D$2:$D$301,MATCH(B1979,Vidriería!$A$2:$A$301,0)),"ID no existe"))</f>
        <v/>
      </c>
      <c r="D1979" s="8"/>
      <c r="E1979" s="8"/>
      <c r="F1979" s="8"/>
      <c r="G1979" s="13"/>
    </row>
    <row r="1980" spans="1:7" x14ac:dyDescent="0.3">
      <c r="A1980" s="11"/>
      <c r="B1980" s="8"/>
      <c r="C1980" s="7" t="str">
        <f>IF(B1980="","",IFERROR(INDEX(Vidriería!$C$2:$C$301,MATCH(B1980,Vidriería!$A$2:$A$301,0))&amp;" "&amp;INDEX(Vidriería!$D$2:$D$301,MATCH(B1980,Vidriería!$A$2:$A$301,0)),"ID no existe"))</f>
        <v/>
      </c>
      <c r="D1980" s="8"/>
      <c r="E1980" s="8"/>
      <c r="F1980" s="8"/>
      <c r="G1980" s="13"/>
    </row>
    <row r="1981" spans="1:7" x14ac:dyDescent="0.3">
      <c r="A1981" s="11"/>
      <c r="B1981" s="8"/>
      <c r="C1981" s="7" t="str">
        <f>IF(B1981="","",IFERROR(INDEX(Vidriería!$C$2:$C$301,MATCH(B1981,Vidriería!$A$2:$A$301,0))&amp;" "&amp;INDEX(Vidriería!$D$2:$D$301,MATCH(B1981,Vidriería!$A$2:$A$301,0)),"ID no existe"))</f>
        <v/>
      </c>
      <c r="D1981" s="8"/>
      <c r="E1981" s="8"/>
      <c r="F1981" s="8"/>
      <c r="G1981" s="13"/>
    </row>
    <row r="1982" spans="1:7" x14ac:dyDescent="0.3">
      <c r="A1982" s="11"/>
      <c r="B1982" s="8"/>
      <c r="C1982" s="7" t="str">
        <f>IF(B1982="","",IFERROR(INDEX(Vidriería!$C$2:$C$301,MATCH(B1982,Vidriería!$A$2:$A$301,0))&amp;" "&amp;INDEX(Vidriería!$D$2:$D$301,MATCH(B1982,Vidriería!$A$2:$A$301,0)),"ID no existe"))</f>
        <v/>
      </c>
      <c r="D1982" s="8"/>
      <c r="E1982" s="8"/>
      <c r="F1982" s="8"/>
      <c r="G1982" s="13"/>
    </row>
    <row r="1983" spans="1:7" x14ac:dyDescent="0.3">
      <c r="A1983" s="11"/>
      <c r="B1983" s="8"/>
      <c r="C1983" s="7" t="str">
        <f>IF(B1983="","",IFERROR(INDEX(Vidriería!$C$2:$C$301,MATCH(B1983,Vidriería!$A$2:$A$301,0))&amp;" "&amp;INDEX(Vidriería!$D$2:$D$301,MATCH(B1983,Vidriería!$A$2:$A$301,0)),"ID no existe"))</f>
        <v/>
      </c>
      <c r="D1983" s="8"/>
      <c r="E1983" s="8"/>
      <c r="F1983" s="8"/>
      <c r="G1983" s="13"/>
    </row>
    <row r="1984" spans="1:7" x14ac:dyDescent="0.3">
      <c r="A1984" s="11"/>
      <c r="B1984" s="8"/>
      <c r="C1984" s="7" t="str">
        <f>IF(B1984="","",IFERROR(INDEX(Vidriería!$C$2:$C$301,MATCH(B1984,Vidriería!$A$2:$A$301,0))&amp;" "&amp;INDEX(Vidriería!$D$2:$D$301,MATCH(B1984,Vidriería!$A$2:$A$301,0)),"ID no existe"))</f>
        <v/>
      </c>
      <c r="D1984" s="8"/>
      <c r="E1984" s="8"/>
      <c r="F1984" s="8"/>
      <c r="G1984" s="13"/>
    </row>
    <row r="1985" spans="1:7" x14ac:dyDescent="0.3">
      <c r="A1985" s="11"/>
      <c r="B1985" s="8"/>
      <c r="C1985" s="7" t="str">
        <f>IF(B1985="","",IFERROR(INDEX(Vidriería!$C$2:$C$301,MATCH(B1985,Vidriería!$A$2:$A$301,0))&amp;" "&amp;INDEX(Vidriería!$D$2:$D$301,MATCH(B1985,Vidriería!$A$2:$A$301,0)),"ID no existe"))</f>
        <v/>
      </c>
      <c r="D1985" s="8"/>
      <c r="E1985" s="8"/>
      <c r="F1985" s="8"/>
      <c r="G1985" s="13"/>
    </row>
    <row r="1986" spans="1:7" x14ac:dyDescent="0.3">
      <c r="A1986" s="11"/>
      <c r="B1986" s="8"/>
      <c r="C1986" s="7" t="str">
        <f>IF(B1986="","",IFERROR(INDEX(Vidriería!$C$2:$C$301,MATCH(B1986,Vidriería!$A$2:$A$301,0))&amp;" "&amp;INDEX(Vidriería!$D$2:$D$301,MATCH(B1986,Vidriería!$A$2:$A$301,0)),"ID no existe"))</f>
        <v/>
      </c>
      <c r="D1986" s="8"/>
      <c r="E1986" s="8"/>
      <c r="F1986" s="8"/>
      <c r="G1986" s="13"/>
    </row>
    <row r="1987" spans="1:7" x14ac:dyDescent="0.3">
      <c r="A1987" s="11"/>
      <c r="B1987" s="8"/>
      <c r="C1987" s="7" t="str">
        <f>IF(B1987="","",IFERROR(INDEX(Vidriería!$C$2:$C$301,MATCH(B1987,Vidriería!$A$2:$A$301,0))&amp;" "&amp;INDEX(Vidriería!$D$2:$D$301,MATCH(B1987,Vidriería!$A$2:$A$301,0)),"ID no existe"))</f>
        <v/>
      </c>
      <c r="D1987" s="8"/>
      <c r="E1987" s="8"/>
      <c r="F1987" s="8"/>
      <c r="G1987" s="13"/>
    </row>
    <row r="1988" spans="1:7" x14ac:dyDescent="0.3">
      <c r="A1988" s="11"/>
      <c r="B1988" s="8"/>
      <c r="C1988" s="7" t="str">
        <f>IF(B1988="","",IFERROR(INDEX(Vidriería!$C$2:$C$301,MATCH(B1988,Vidriería!$A$2:$A$301,0))&amp;" "&amp;INDEX(Vidriería!$D$2:$D$301,MATCH(B1988,Vidriería!$A$2:$A$301,0)),"ID no existe"))</f>
        <v/>
      </c>
      <c r="D1988" s="8"/>
      <c r="E1988" s="8"/>
      <c r="F1988" s="8"/>
      <c r="G1988" s="13"/>
    </row>
    <row r="1989" spans="1:7" x14ac:dyDescent="0.3">
      <c r="A1989" s="11"/>
      <c r="B1989" s="8"/>
      <c r="C1989" s="7" t="str">
        <f>IF(B1989="","",IFERROR(INDEX(Vidriería!$C$2:$C$301,MATCH(B1989,Vidriería!$A$2:$A$301,0))&amp;" "&amp;INDEX(Vidriería!$D$2:$D$301,MATCH(B1989,Vidriería!$A$2:$A$301,0)),"ID no existe"))</f>
        <v/>
      </c>
      <c r="D1989" s="8"/>
      <c r="E1989" s="8"/>
      <c r="F1989" s="8"/>
      <c r="G1989" s="13"/>
    </row>
    <row r="1990" spans="1:7" x14ac:dyDescent="0.3">
      <c r="A1990" s="11"/>
      <c r="B1990" s="8"/>
      <c r="C1990" s="7" t="str">
        <f>IF(B1990="","",IFERROR(INDEX(Vidriería!$C$2:$C$301,MATCH(B1990,Vidriería!$A$2:$A$301,0))&amp;" "&amp;INDEX(Vidriería!$D$2:$D$301,MATCH(B1990,Vidriería!$A$2:$A$301,0)),"ID no existe"))</f>
        <v/>
      </c>
      <c r="D1990" s="8"/>
      <c r="E1990" s="8"/>
      <c r="F1990" s="8"/>
      <c r="G1990" s="13"/>
    </row>
    <row r="1991" spans="1:7" x14ac:dyDescent="0.3">
      <c r="A1991" s="11"/>
      <c r="B1991" s="8"/>
      <c r="C1991" s="7" t="str">
        <f>IF(B1991="","",IFERROR(INDEX(Vidriería!$C$2:$C$301,MATCH(B1991,Vidriería!$A$2:$A$301,0))&amp;" "&amp;INDEX(Vidriería!$D$2:$D$301,MATCH(B1991,Vidriería!$A$2:$A$301,0)),"ID no existe"))</f>
        <v/>
      </c>
      <c r="D1991" s="8"/>
      <c r="E1991" s="8"/>
      <c r="F1991" s="8"/>
      <c r="G1991" s="13"/>
    </row>
    <row r="1992" spans="1:7" x14ac:dyDescent="0.3">
      <c r="A1992" s="11"/>
      <c r="B1992" s="8"/>
      <c r="C1992" s="7" t="str">
        <f>IF(B1992="","",IFERROR(INDEX(Vidriería!$C$2:$C$301,MATCH(B1992,Vidriería!$A$2:$A$301,0))&amp;" "&amp;INDEX(Vidriería!$D$2:$D$301,MATCH(B1992,Vidriería!$A$2:$A$301,0)),"ID no existe"))</f>
        <v/>
      </c>
      <c r="D1992" s="8"/>
      <c r="E1992" s="8"/>
      <c r="F1992" s="8"/>
      <c r="G1992" s="13"/>
    </row>
    <row r="1993" spans="1:7" x14ac:dyDescent="0.3">
      <c r="A1993" s="11"/>
      <c r="B1993" s="8"/>
      <c r="C1993" s="7" t="str">
        <f>IF(B1993="","",IFERROR(INDEX(Vidriería!$C$2:$C$301,MATCH(B1993,Vidriería!$A$2:$A$301,0))&amp;" "&amp;INDEX(Vidriería!$D$2:$D$301,MATCH(B1993,Vidriería!$A$2:$A$301,0)),"ID no existe"))</f>
        <v/>
      </c>
      <c r="D1993" s="8"/>
      <c r="E1993" s="8"/>
      <c r="F1993" s="8"/>
      <c r="G1993" s="13"/>
    </row>
    <row r="1994" spans="1:7" x14ac:dyDescent="0.3">
      <c r="A1994" s="11"/>
      <c r="B1994" s="8"/>
      <c r="C1994" s="7" t="str">
        <f>IF(B1994="","",IFERROR(INDEX(Vidriería!$C$2:$C$301,MATCH(B1994,Vidriería!$A$2:$A$301,0))&amp;" "&amp;INDEX(Vidriería!$D$2:$D$301,MATCH(B1994,Vidriería!$A$2:$A$301,0)),"ID no existe"))</f>
        <v/>
      </c>
      <c r="D1994" s="8"/>
      <c r="E1994" s="8"/>
      <c r="F1994" s="8"/>
      <c r="G1994" s="13"/>
    </row>
    <row r="1995" spans="1:7" x14ac:dyDescent="0.3">
      <c r="A1995" s="11"/>
      <c r="B1995" s="8"/>
      <c r="C1995" s="7" t="str">
        <f>IF(B1995="","",IFERROR(INDEX(Vidriería!$C$2:$C$301,MATCH(B1995,Vidriería!$A$2:$A$301,0))&amp;" "&amp;INDEX(Vidriería!$D$2:$D$301,MATCH(B1995,Vidriería!$A$2:$A$301,0)),"ID no existe"))</f>
        <v/>
      </c>
      <c r="D1995" s="8"/>
      <c r="E1995" s="8"/>
      <c r="F1995" s="8"/>
      <c r="G1995" s="13"/>
    </row>
    <row r="1996" spans="1:7" x14ac:dyDescent="0.3">
      <c r="A1996" s="11"/>
      <c r="B1996" s="8"/>
      <c r="C1996" s="7" t="str">
        <f>IF(B1996="","",IFERROR(INDEX(Vidriería!$C$2:$C$301,MATCH(B1996,Vidriería!$A$2:$A$301,0))&amp;" "&amp;INDEX(Vidriería!$D$2:$D$301,MATCH(B1996,Vidriería!$A$2:$A$301,0)),"ID no existe"))</f>
        <v/>
      </c>
      <c r="D1996" s="8"/>
      <c r="E1996" s="8"/>
      <c r="F1996" s="8"/>
      <c r="G1996" s="13"/>
    </row>
    <row r="1997" spans="1:7" x14ac:dyDescent="0.3">
      <c r="A1997" s="11"/>
      <c r="B1997" s="8"/>
      <c r="C1997" s="7" t="str">
        <f>IF(B1997="","",IFERROR(INDEX(Vidriería!$C$2:$C$301,MATCH(B1997,Vidriería!$A$2:$A$301,0))&amp;" "&amp;INDEX(Vidriería!$D$2:$D$301,MATCH(B1997,Vidriería!$A$2:$A$301,0)),"ID no existe"))</f>
        <v/>
      </c>
      <c r="D1997" s="8"/>
      <c r="E1997" s="8"/>
      <c r="F1997" s="8"/>
      <c r="G1997" s="13"/>
    </row>
    <row r="1998" spans="1:7" x14ac:dyDescent="0.3">
      <c r="A1998" s="11"/>
      <c r="B1998" s="8"/>
      <c r="C1998" s="7" t="str">
        <f>IF(B1998="","",IFERROR(INDEX(Vidriería!$C$2:$C$301,MATCH(B1998,Vidriería!$A$2:$A$301,0))&amp;" "&amp;INDEX(Vidriería!$D$2:$D$301,MATCH(B1998,Vidriería!$A$2:$A$301,0)),"ID no existe"))</f>
        <v/>
      </c>
      <c r="D1998" s="8"/>
      <c r="E1998" s="8"/>
      <c r="F1998" s="8"/>
      <c r="G1998" s="13"/>
    </row>
    <row r="1999" spans="1:7" x14ac:dyDescent="0.3">
      <c r="A1999" s="11"/>
      <c r="B1999" s="8"/>
      <c r="C1999" s="7" t="str">
        <f>IF(B1999="","",IFERROR(INDEX(Vidriería!$C$2:$C$301,MATCH(B1999,Vidriería!$A$2:$A$301,0))&amp;" "&amp;INDEX(Vidriería!$D$2:$D$301,MATCH(B1999,Vidriería!$A$2:$A$301,0)),"ID no existe"))</f>
        <v/>
      </c>
      <c r="D1999" s="8"/>
      <c r="E1999" s="8"/>
      <c r="F1999" s="8"/>
      <c r="G1999" s="13"/>
    </row>
    <row r="2000" spans="1:7" x14ac:dyDescent="0.3">
      <c r="A2000" s="11"/>
      <c r="B2000" s="8"/>
      <c r="C2000" s="7" t="str">
        <f>IF(B2000="","",IFERROR(INDEX(Vidriería!$C$2:$C$301,MATCH(B2000,Vidriería!$A$2:$A$301,0))&amp;" "&amp;INDEX(Vidriería!$D$2:$D$301,MATCH(B2000,Vidriería!$A$2:$A$301,0)),"ID no existe"))</f>
        <v/>
      </c>
      <c r="D2000" s="8"/>
      <c r="E2000" s="8"/>
      <c r="F2000" s="8"/>
      <c r="G2000" s="13"/>
    </row>
    <row r="2001" spans="1:7" x14ac:dyDescent="0.3">
      <c r="A2001" s="11"/>
      <c r="B2001" s="8"/>
      <c r="C2001" s="7" t="str">
        <f>IF(B2001="","",IFERROR(INDEX(Vidriería!$C$2:$C$301,MATCH(B2001,Vidriería!$A$2:$A$301,0))&amp;" "&amp;INDEX(Vidriería!$D$2:$D$301,MATCH(B2001,Vidriería!$A$2:$A$301,0)),"ID no existe"))</f>
        <v/>
      </c>
      <c r="D2001" s="8"/>
      <c r="E2001" s="8"/>
      <c r="F2001" s="8"/>
      <c r="G2001" s="13"/>
    </row>
  </sheetData>
  <dataValidations count="1">
    <dataValidation type="whole" operator="greaterThan" allowBlank="1" showErrorMessage="1" error="Número entero mayor que 0" sqref="D2:D2001" xr:uid="{00000000-0002-0000-0600-000001000000}">
      <formula1>0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="Elija un ID de la hoja Vidriería." xr:uid="{00000000-0002-0000-0600-000000000000}">
          <x14:formula1>
            <xm:f>Vidriería!$A$2:$A$301</xm:f>
          </x14:formula1>
          <xm:sqref>B2:B2001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Léame</vt:lpstr>
      <vt:lpstr>Listas</vt:lpstr>
      <vt:lpstr>Reactivos</vt:lpstr>
      <vt:lpstr>Movimientos</vt:lpstr>
      <vt:lpstr>Equipos</vt:lpstr>
      <vt:lpstr>Vidriería</vt:lpstr>
      <vt:lpstr>Roturas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LEIDY PAOLA GONZALEZ CANO</cp:lastModifiedBy>
  <dcterms:created xsi:type="dcterms:W3CDTF">2026-10-29T02:55:34Z</dcterms:created>
  <dcterms:modified xsi:type="dcterms:W3CDTF">2026-10-29T03:00:58Z</dcterms:modified>
</cp:coreProperties>
</file>